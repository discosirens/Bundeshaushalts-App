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DieseArbeitsmappe" defaultThemeVersion="124226"/>
  <mc:AlternateContent xmlns:mc="http://schemas.openxmlformats.org/markup-compatibility/2006">
    <mc:Choice Requires="x15">
      <x15ac:absPath xmlns:x15ac="http://schemas.microsoft.com/office/spreadsheetml/2010/11/ac" url="N:\BA-Daten\Statistik\4803_Produkte\01_UEB\145771_Ausgaben_SGB_II\2024\04_Produkt\"/>
    </mc:Choice>
  </mc:AlternateContent>
  <xr:revisionPtr revIDLastSave="0" documentId="13_ncr:1_{3763491C-F7FE-4142-AAAF-CEBEF92F7419}" xr6:coauthVersionLast="47" xr6:coauthVersionMax="47" xr10:uidLastSave="{00000000-0000-0000-0000-000000000000}"/>
  <bookViews>
    <workbookView xWindow="-120" yWindow="-120" windowWidth="29040" windowHeight="15720" tabRatio="881" xr2:uid="{00000000-000D-0000-FFFF-FFFF00000000}"/>
  </bookViews>
  <sheets>
    <sheet name="Deckblatt" sheetId="55" r:id="rId1"/>
    <sheet name="Impressum" sheetId="66" r:id="rId2"/>
    <sheet name="Inhaltsverzeichnis" sheetId="25" r:id="rId3"/>
    <sheet name="1" sheetId="4" r:id="rId4"/>
    <sheet name="2" sheetId="14" r:id="rId5"/>
    <sheet name="3" sheetId="69" r:id="rId6"/>
    <sheet name="4" sheetId="70" r:id="rId7"/>
    <sheet name="Methodische Hinweise" sheetId="78" r:id="rId8"/>
    <sheet name="Glossar" sheetId="79" r:id="rId9"/>
    <sheet name="Statistik-Infoseite" sheetId="80" r:id="rId10"/>
    <sheet name="Steuerung_Eckwerte" sheetId="1" state="veryHidden" r:id="rId11"/>
    <sheet name="Daten" sheetId="27" state="hidden" r:id="rId12"/>
  </sheets>
  <definedNames>
    <definedName name="_xlnm._FilterDatabase" localSheetId="4" hidden="1">'2'!$A$13:$D$437</definedName>
    <definedName name="_xlnm._FilterDatabase" localSheetId="5" hidden="1">'3'!$B$10:$D$10</definedName>
    <definedName name="_xlnm._FilterDatabase" localSheetId="6" hidden="1">'4'!$B$36:$D$36</definedName>
    <definedName name="_xlnm._FilterDatabase" localSheetId="11" hidden="1">Daten!$A$6:$AP$429</definedName>
    <definedName name="_xlnm._FilterDatabase" localSheetId="10" hidden="1">Steuerung_Eckwerte!$A$6:$C$428</definedName>
    <definedName name="_xlnm.Print_Area" localSheetId="3">'1'!$A$1:$I$53</definedName>
    <definedName name="_xlnm.Print_Area" localSheetId="4">'2'!$A$1:$L$443</definedName>
    <definedName name="_xlnm.Print_Area" localSheetId="5">'3'!$A$1:$I$418</definedName>
    <definedName name="_xlnm.Print_Area" localSheetId="6">'4'!$A$1:$I$447</definedName>
    <definedName name="_xlnm.Print_Area" localSheetId="8">Glossar!$A$1:$H$198</definedName>
    <definedName name="_xlnm.Print_Area" localSheetId="2">Inhaltsverzeichnis!$A$1:$F$20</definedName>
    <definedName name="_xlnm.Print_Area" localSheetId="7">'Methodische Hinweise'!$A$1:$H$54</definedName>
    <definedName name="_xlnm.Print_Area" localSheetId="9">'Statistik-Infoseite'!$A$1:$G$46</definedName>
    <definedName name="_xlnm.Print_Titles" localSheetId="4">'2'!$1:$13</definedName>
    <definedName name="_xlnm.Print_Titles" localSheetId="5">'3'!$1:$10</definedName>
    <definedName name="_xlnm.Print_Titles" localSheetId="6">'4'!$A:$D,'4'!$30:$36</definedName>
    <definedName name="_xlnm.Print_Titles" localSheetId="8">Glossar!$1:$5</definedName>
    <definedName name="_xlnm.Print_Titles" localSheetId="7">'Methodische Hinweise'!$1:$5</definedName>
    <definedName name="SAPBEXhrIndnt" hidden="1">"Wide"</definedName>
    <definedName name="SAPsysID" hidden="1">"708C5W7SBKP804JT78WJ0JNKI"</definedName>
    <definedName name="SAPwbID" hidden="1">"ARS"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97" i="1" l="1"/>
  <c r="A9" i="14" l="1"/>
  <c r="A8" i="14"/>
  <c r="A7" i="14"/>
  <c r="A33" i="14" l="1"/>
  <c r="D33" i="14"/>
  <c r="C14" i="14"/>
  <c r="A14" i="14"/>
  <c r="B14" i="14"/>
  <c r="E14" i="14" s="1"/>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15" i="14"/>
  <c r="C16" i="14"/>
  <c r="C17" i="14"/>
  <c r="C18" i="14"/>
  <c r="C19" i="14"/>
  <c r="C20" i="14"/>
  <c r="B15" i="14"/>
  <c r="E15" i="14" s="1"/>
  <c r="B16" i="14"/>
  <c r="E16" i="14" s="1"/>
  <c r="B17" i="14"/>
  <c r="E17" i="14" s="1"/>
  <c r="B18" i="14"/>
  <c r="E18" i="14" s="1"/>
  <c r="B19" i="14"/>
  <c r="E19" i="14" s="1"/>
  <c r="B20" i="14"/>
  <c r="E20" i="14" s="1"/>
  <c r="B21" i="14"/>
  <c r="E21" i="14" s="1"/>
  <c r="B22" i="14"/>
  <c r="E22" i="14" s="1"/>
  <c r="B23" i="14"/>
  <c r="E23" i="14" s="1"/>
  <c r="B24" i="14"/>
  <c r="E24" i="14" s="1"/>
  <c r="B25" i="14"/>
  <c r="E25" i="14" s="1"/>
  <c r="B26" i="14"/>
  <c r="E26" i="14" s="1"/>
  <c r="B27" i="14"/>
  <c r="E27" i="14" s="1"/>
  <c r="B28" i="14"/>
  <c r="E28" i="14" s="1"/>
  <c r="B29" i="14"/>
  <c r="E29" i="14" s="1"/>
  <c r="B30" i="14"/>
  <c r="E30" i="14" s="1"/>
  <c r="B31" i="14"/>
  <c r="E31" i="14" s="1"/>
  <c r="B32" i="14"/>
  <c r="E32" i="14" s="1"/>
  <c r="B33" i="14"/>
  <c r="E33" i="14" s="1"/>
  <c r="B34" i="14"/>
  <c r="E34" i="14" s="1"/>
  <c r="B35" i="14"/>
  <c r="E35" i="14" s="1"/>
  <c r="B36" i="14"/>
  <c r="E36" i="14" s="1"/>
  <c r="B37" i="14"/>
  <c r="E37" i="14" s="1"/>
  <c r="B38" i="14"/>
  <c r="E38" i="14" s="1"/>
  <c r="B39" i="14"/>
  <c r="E39" i="14" s="1"/>
  <c r="B40" i="14"/>
  <c r="E40" i="14" s="1"/>
  <c r="B41" i="14"/>
  <c r="E41" i="14" s="1"/>
  <c r="B42" i="14"/>
  <c r="E42" i="14" s="1"/>
  <c r="B43" i="14"/>
  <c r="E43" i="14" s="1"/>
  <c r="B44" i="14"/>
  <c r="E44" i="14" s="1"/>
  <c r="B45" i="14"/>
  <c r="E45" i="14" s="1"/>
  <c r="B46" i="14"/>
  <c r="E46" i="14" s="1"/>
  <c r="B47" i="14"/>
  <c r="E47" i="14" s="1"/>
  <c r="B48" i="14"/>
  <c r="E48" i="14" s="1"/>
  <c r="B49" i="14"/>
  <c r="E49" i="14" s="1"/>
  <c r="B50" i="14"/>
  <c r="E50" i="14" s="1"/>
  <c r="B51" i="14"/>
  <c r="E51" i="14" s="1"/>
  <c r="B52" i="14"/>
  <c r="E52" i="14" s="1"/>
  <c r="B53" i="14"/>
  <c r="E53" i="14" s="1"/>
  <c r="B54" i="14"/>
  <c r="E54" i="14" s="1"/>
  <c r="B55" i="14"/>
  <c r="E55" i="14" s="1"/>
  <c r="B56" i="14"/>
  <c r="E56" i="14" s="1"/>
  <c r="B57" i="14"/>
  <c r="E57" i="14" s="1"/>
  <c r="B58" i="14"/>
  <c r="E58" i="14" s="1"/>
  <c r="B59" i="14"/>
  <c r="E59" i="14" s="1"/>
  <c r="B60" i="14"/>
  <c r="E60" i="14" s="1"/>
  <c r="B61" i="14"/>
  <c r="E61" i="14" s="1"/>
  <c r="B62" i="14"/>
  <c r="E62" i="14" s="1"/>
  <c r="B63" i="14"/>
  <c r="E63" i="14" s="1"/>
  <c r="B64" i="14"/>
  <c r="E64" i="14" s="1"/>
  <c r="B65" i="14"/>
  <c r="E65" i="14" s="1"/>
  <c r="B66" i="14"/>
  <c r="E66" i="14" s="1"/>
  <c r="B67" i="14"/>
  <c r="E67" i="14" s="1"/>
  <c r="B68" i="14"/>
  <c r="E68" i="14" s="1"/>
  <c r="B69" i="14"/>
  <c r="E69" i="14" s="1"/>
  <c r="B70" i="14"/>
  <c r="E70" i="14" s="1"/>
  <c r="B71" i="14"/>
  <c r="E71" i="14" s="1"/>
  <c r="B72" i="14"/>
  <c r="E72" i="14" s="1"/>
  <c r="B73" i="14"/>
  <c r="E73" i="14" s="1"/>
  <c r="B74" i="14"/>
  <c r="E74" i="14" s="1"/>
  <c r="B75" i="14"/>
  <c r="E75" i="14" s="1"/>
  <c r="B76" i="14"/>
  <c r="E76" i="14" s="1"/>
  <c r="B77" i="14"/>
  <c r="E77" i="14" s="1"/>
  <c r="B78" i="14"/>
  <c r="E78" i="14" s="1"/>
  <c r="B79" i="14"/>
  <c r="E79" i="14" s="1"/>
  <c r="B80" i="14"/>
  <c r="E80" i="14" s="1"/>
  <c r="B81" i="14"/>
  <c r="E81" i="14" s="1"/>
  <c r="B82" i="14"/>
  <c r="E82" i="14" s="1"/>
  <c r="B83" i="14"/>
  <c r="E83" i="14" s="1"/>
  <c r="B84" i="14"/>
  <c r="E84" i="14" s="1"/>
  <c r="B85" i="14"/>
  <c r="E85" i="14" s="1"/>
  <c r="B86" i="14"/>
  <c r="E86" i="14" s="1"/>
  <c r="B87" i="14"/>
  <c r="E87" i="14" s="1"/>
  <c r="B88" i="14"/>
  <c r="E88" i="14" s="1"/>
  <c r="B89" i="14"/>
  <c r="E89" i="14" s="1"/>
  <c r="B90" i="14"/>
  <c r="E90" i="14" s="1"/>
  <c r="B91" i="14"/>
  <c r="E91" i="14" s="1"/>
  <c r="B92" i="14"/>
  <c r="E92" i="14" s="1"/>
  <c r="B93" i="14"/>
  <c r="E93" i="14" s="1"/>
  <c r="B94" i="14"/>
  <c r="E94" i="14" s="1"/>
  <c r="B95" i="14"/>
  <c r="E95" i="14" s="1"/>
  <c r="B96" i="14"/>
  <c r="E96" i="14" s="1"/>
  <c r="B97" i="14"/>
  <c r="E97" i="14" s="1"/>
  <c r="B98" i="14"/>
  <c r="E98" i="14" s="1"/>
  <c r="B99" i="14"/>
  <c r="E99" i="14" s="1"/>
  <c r="B100" i="14"/>
  <c r="E100" i="14" s="1"/>
  <c r="B101" i="14"/>
  <c r="E101" i="14" s="1"/>
  <c r="B102" i="14"/>
  <c r="E102" i="14" s="1"/>
  <c r="B103" i="14"/>
  <c r="E103" i="14" s="1"/>
  <c r="B104" i="14"/>
  <c r="E104" i="14" s="1"/>
  <c r="B105" i="14"/>
  <c r="E105" i="14" s="1"/>
  <c r="B106" i="14"/>
  <c r="E106" i="14" s="1"/>
  <c r="B107" i="14"/>
  <c r="E107" i="14" s="1"/>
  <c r="B108" i="14"/>
  <c r="E108" i="14" s="1"/>
  <c r="B109" i="14"/>
  <c r="E109" i="14" s="1"/>
  <c r="B110" i="14"/>
  <c r="E110" i="14" s="1"/>
  <c r="B111" i="14"/>
  <c r="E111" i="14" s="1"/>
  <c r="B112" i="14"/>
  <c r="E112" i="14" s="1"/>
  <c r="B113" i="14"/>
  <c r="E113" i="14" s="1"/>
  <c r="B114" i="14"/>
  <c r="E114" i="14" s="1"/>
  <c r="B115" i="14"/>
  <c r="E115" i="14" s="1"/>
  <c r="B116" i="14"/>
  <c r="E116" i="14" s="1"/>
  <c r="B117" i="14"/>
  <c r="E117" i="14" s="1"/>
  <c r="B118" i="14"/>
  <c r="E118" i="14" s="1"/>
  <c r="B119" i="14"/>
  <c r="E119" i="14" s="1"/>
  <c r="B120" i="14"/>
  <c r="E120" i="14" s="1"/>
  <c r="B121" i="14"/>
  <c r="E121" i="14" s="1"/>
  <c r="B122" i="14"/>
  <c r="E122" i="14" s="1"/>
  <c r="B123" i="14"/>
  <c r="E123" i="14" s="1"/>
  <c r="B124" i="14"/>
  <c r="E124" i="14" s="1"/>
  <c r="B125" i="14"/>
  <c r="E125" i="14" s="1"/>
  <c r="B126" i="14"/>
  <c r="E126" i="14" s="1"/>
  <c r="B127" i="14"/>
  <c r="E127" i="14" s="1"/>
  <c r="B128" i="14"/>
  <c r="E128" i="14" s="1"/>
  <c r="B129" i="14"/>
  <c r="E129" i="14" s="1"/>
  <c r="B130" i="14"/>
  <c r="E130" i="14" s="1"/>
  <c r="B131" i="14"/>
  <c r="E131" i="14" s="1"/>
  <c r="B132" i="14"/>
  <c r="E132" i="14" s="1"/>
  <c r="B133" i="14"/>
  <c r="E133" i="14" s="1"/>
  <c r="B134" i="14"/>
  <c r="E134" i="14" s="1"/>
  <c r="B135" i="14"/>
  <c r="E135" i="14" s="1"/>
  <c r="B136" i="14"/>
  <c r="E136" i="14" s="1"/>
  <c r="B137" i="14"/>
  <c r="E137" i="14" s="1"/>
  <c r="B138" i="14"/>
  <c r="E138" i="14" s="1"/>
  <c r="B139" i="14"/>
  <c r="E139" i="14" s="1"/>
  <c r="B140" i="14"/>
  <c r="E140" i="14" s="1"/>
  <c r="B141" i="14"/>
  <c r="E141" i="14" s="1"/>
  <c r="B142" i="14"/>
  <c r="E142" i="14" s="1"/>
  <c r="B143" i="14"/>
  <c r="E143" i="14" s="1"/>
  <c r="B144" i="14"/>
  <c r="E144" i="14" s="1"/>
  <c r="B145" i="14"/>
  <c r="E145" i="14" s="1"/>
  <c r="B146" i="14"/>
  <c r="E146" i="14" s="1"/>
  <c r="B147" i="14"/>
  <c r="E147" i="14" s="1"/>
  <c r="B148" i="14"/>
  <c r="E148" i="14" s="1"/>
  <c r="B149" i="14"/>
  <c r="E149" i="14" s="1"/>
  <c r="B150" i="14"/>
  <c r="E150" i="14" s="1"/>
  <c r="B151" i="14"/>
  <c r="E151" i="14" s="1"/>
  <c r="B152" i="14"/>
  <c r="E152" i="14" s="1"/>
  <c r="B153" i="14"/>
  <c r="E153" i="14" s="1"/>
  <c r="B154" i="14"/>
  <c r="E154" i="14" s="1"/>
  <c r="B155" i="14"/>
  <c r="E155" i="14" s="1"/>
  <c r="B156" i="14"/>
  <c r="E156" i="14" s="1"/>
  <c r="B157" i="14"/>
  <c r="E157" i="14" s="1"/>
  <c r="B158" i="14"/>
  <c r="E158" i="14" s="1"/>
  <c r="B159" i="14"/>
  <c r="E159" i="14" s="1"/>
  <c r="B160" i="14"/>
  <c r="E160" i="14" s="1"/>
  <c r="B161" i="14"/>
  <c r="E161" i="14" s="1"/>
  <c r="B162" i="14"/>
  <c r="E162" i="14" s="1"/>
  <c r="B163" i="14"/>
  <c r="E163" i="14" s="1"/>
  <c r="B164" i="14"/>
  <c r="E164" i="14" s="1"/>
  <c r="B165" i="14"/>
  <c r="E165" i="14" s="1"/>
  <c r="B166" i="14"/>
  <c r="E166" i="14" s="1"/>
  <c r="B167" i="14"/>
  <c r="E167" i="14" s="1"/>
  <c r="B168" i="14"/>
  <c r="E168" i="14" s="1"/>
  <c r="B169" i="14"/>
  <c r="E169" i="14" s="1"/>
  <c r="B170" i="14"/>
  <c r="E170" i="14" s="1"/>
  <c r="B171" i="14"/>
  <c r="E171" i="14" s="1"/>
  <c r="B172" i="14"/>
  <c r="E172" i="14" s="1"/>
  <c r="B173" i="14"/>
  <c r="E173" i="14" s="1"/>
  <c r="B174" i="14"/>
  <c r="E174" i="14" s="1"/>
  <c r="B175" i="14"/>
  <c r="E175" i="14" s="1"/>
  <c r="B176" i="14"/>
  <c r="E176" i="14" s="1"/>
  <c r="B177" i="14"/>
  <c r="E177" i="14" s="1"/>
  <c r="B178" i="14"/>
  <c r="E178" i="14" s="1"/>
  <c r="B179" i="14"/>
  <c r="E179" i="14" s="1"/>
  <c r="B180" i="14"/>
  <c r="E180" i="14" s="1"/>
  <c r="B181" i="14"/>
  <c r="E181" i="14" s="1"/>
  <c r="B182" i="14"/>
  <c r="E182" i="14" s="1"/>
  <c r="B183" i="14"/>
  <c r="E183" i="14" s="1"/>
  <c r="B184" i="14"/>
  <c r="E184" i="14" s="1"/>
  <c r="B185" i="14"/>
  <c r="E185" i="14" s="1"/>
  <c r="B186" i="14"/>
  <c r="E186" i="14" s="1"/>
  <c r="B187" i="14"/>
  <c r="E187" i="14" s="1"/>
  <c r="B188" i="14"/>
  <c r="E188" i="14" s="1"/>
  <c r="B189" i="14"/>
  <c r="E189" i="14" s="1"/>
  <c r="B190" i="14"/>
  <c r="E190" i="14" s="1"/>
  <c r="B191" i="14"/>
  <c r="E191" i="14" s="1"/>
  <c r="B192" i="14"/>
  <c r="E192" i="14" s="1"/>
  <c r="B193" i="14"/>
  <c r="E193" i="14" s="1"/>
  <c r="B194" i="14"/>
  <c r="E194" i="14" s="1"/>
  <c r="B195" i="14"/>
  <c r="E195" i="14" s="1"/>
  <c r="B196" i="14"/>
  <c r="E196" i="14" s="1"/>
  <c r="B197" i="14"/>
  <c r="E197" i="14" s="1"/>
  <c r="B198" i="14"/>
  <c r="E198" i="14" s="1"/>
  <c r="B199" i="14"/>
  <c r="E199" i="14" s="1"/>
  <c r="B200" i="14"/>
  <c r="E200" i="14" s="1"/>
  <c r="B201" i="14"/>
  <c r="E201" i="14" s="1"/>
  <c r="B202" i="14"/>
  <c r="E202" i="14" s="1"/>
  <c r="B203" i="14"/>
  <c r="E203" i="14" s="1"/>
  <c r="B204" i="14"/>
  <c r="E204" i="14" s="1"/>
  <c r="B205" i="14"/>
  <c r="E205" i="14" s="1"/>
  <c r="B206" i="14"/>
  <c r="E206" i="14" s="1"/>
  <c r="B207" i="14"/>
  <c r="E207" i="14" s="1"/>
  <c r="B208" i="14"/>
  <c r="E208" i="14" s="1"/>
  <c r="B209" i="14"/>
  <c r="E209" i="14" s="1"/>
  <c r="B210" i="14"/>
  <c r="E210" i="14" s="1"/>
  <c r="B211" i="14"/>
  <c r="E211" i="14" s="1"/>
  <c r="B212" i="14"/>
  <c r="E212" i="14" s="1"/>
  <c r="B213" i="14"/>
  <c r="E213" i="14" s="1"/>
  <c r="B214" i="14"/>
  <c r="E214" i="14" s="1"/>
  <c r="B215" i="14"/>
  <c r="E215" i="14" s="1"/>
  <c r="B216" i="14"/>
  <c r="E216" i="14" s="1"/>
  <c r="B217" i="14"/>
  <c r="E217" i="14" s="1"/>
  <c r="B218" i="14"/>
  <c r="E218" i="14" s="1"/>
  <c r="B219" i="14"/>
  <c r="E219" i="14" s="1"/>
  <c r="B220" i="14"/>
  <c r="E220" i="14" s="1"/>
  <c r="B221" i="14"/>
  <c r="E221" i="14" s="1"/>
  <c r="B222" i="14"/>
  <c r="E222" i="14" s="1"/>
  <c r="B223" i="14"/>
  <c r="E223" i="14" s="1"/>
  <c r="B224" i="14"/>
  <c r="E224" i="14" s="1"/>
  <c r="B225" i="14"/>
  <c r="E225" i="14" s="1"/>
  <c r="B226" i="14"/>
  <c r="E226" i="14" s="1"/>
  <c r="B227" i="14"/>
  <c r="E227" i="14" s="1"/>
  <c r="B228" i="14"/>
  <c r="E228" i="14" s="1"/>
  <c r="B229" i="14"/>
  <c r="E229" i="14" s="1"/>
  <c r="B230" i="14"/>
  <c r="E230" i="14" s="1"/>
  <c r="B231" i="14"/>
  <c r="E231" i="14" s="1"/>
  <c r="B232" i="14"/>
  <c r="E232" i="14" s="1"/>
  <c r="B233" i="14"/>
  <c r="E233" i="14" s="1"/>
  <c r="B234" i="14"/>
  <c r="E234" i="14" s="1"/>
  <c r="B235" i="14"/>
  <c r="E235" i="14" s="1"/>
  <c r="B236" i="14"/>
  <c r="E236" i="14" s="1"/>
  <c r="B237" i="14"/>
  <c r="E237" i="14" s="1"/>
  <c r="B238" i="14"/>
  <c r="E238" i="14" s="1"/>
  <c r="B239" i="14"/>
  <c r="E239" i="14" s="1"/>
  <c r="B240" i="14"/>
  <c r="E240" i="14" s="1"/>
  <c r="B241" i="14"/>
  <c r="E241" i="14" s="1"/>
  <c r="B242" i="14"/>
  <c r="E242" i="14" s="1"/>
  <c r="B243" i="14"/>
  <c r="E243" i="14" s="1"/>
  <c r="B244" i="14"/>
  <c r="E244" i="14" s="1"/>
  <c r="B245" i="14"/>
  <c r="E245" i="14" s="1"/>
  <c r="B246" i="14"/>
  <c r="E246" i="14" s="1"/>
  <c r="B247" i="14"/>
  <c r="E247" i="14" s="1"/>
  <c r="B248" i="14"/>
  <c r="E248" i="14" s="1"/>
  <c r="B249" i="14"/>
  <c r="E249" i="14" s="1"/>
  <c r="B250" i="14"/>
  <c r="E250" i="14" s="1"/>
  <c r="B251" i="14"/>
  <c r="E251" i="14" s="1"/>
  <c r="B252" i="14"/>
  <c r="E252" i="14" s="1"/>
  <c r="B253" i="14"/>
  <c r="E253" i="14" s="1"/>
  <c r="B254" i="14"/>
  <c r="E254" i="14" s="1"/>
  <c r="B255" i="14"/>
  <c r="E255" i="14" s="1"/>
  <c r="B256" i="14"/>
  <c r="E256" i="14" s="1"/>
  <c r="B257" i="14"/>
  <c r="E257" i="14" s="1"/>
  <c r="B258" i="14"/>
  <c r="E258" i="14" s="1"/>
  <c r="B259" i="14"/>
  <c r="E259" i="14" s="1"/>
  <c r="B260" i="14"/>
  <c r="E260" i="14" s="1"/>
  <c r="B261" i="14"/>
  <c r="E261" i="14" s="1"/>
  <c r="B262" i="14"/>
  <c r="E262" i="14" s="1"/>
  <c r="B263" i="14"/>
  <c r="E263" i="14" s="1"/>
  <c r="B264" i="14"/>
  <c r="E264" i="14" s="1"/>
  <c r="B265" i="14"/>
  <c r="E265" i="14" s="1"/>
  <c r="B266" i="14"/>
  <c r="E266" i="14" s="1"/>
  <c r="B267" i="14"/>
  <c r="E267" i="14" s="1"/>
  <c r="B268" i="14"/>
  <c r="E268" i="14" s="1"/>
  <c r="B269" i="14"/>
  <c r="E269" i="14" s="1"/>
  <c r="B270" i="14"/>
  <c r="E270" i="14" s="1"/>
  <c r="B271" i="14"/>
  <c r="E271" i="14" s="1"/>
  <c r="B272" i="14"/>
  <c r="E272" i="14" s="1"/>
  <c r="B273" i="14"/>
  <c r="E273" i="14" s="1"/>
  <c r="B274" i="14"/>
  <c r="E274" i="14" s="1"/>
  <c r="B275" i="14"/>
  <c r="E275" i="14" s="1"/>
  <c r="B276" i="14"/>
  <c r="E276" i="14" s="1"/>
  <c r="B277" i="14"/>
  <c r="E277" i="14" s="1"/>
  <c r="B278" i="14"/>
  <c r="E278" i="14" s="1"/>
  <c r="B279" i="14"/>
  <c r="E279" i="14" s="1"/>
  <c r="B280" i="14"/>
  <c r="E280" i="14" s="1"/>
  <c r="B281" i="14"/>
  <c r="E281" i="14" s="1"/>
  <c r="B282" i="14"/>
  <c r="E282" i="14" s="1"/>
  <c r="B283" i="14"/>
  <c r="E283" i="14" s="1"/>
  <c r="B284" i="14"/>
  <c r="E284" i="14" s="1"/>
  <c r="B285" i="14"/>
  <c r="E285" i="14" s="1"/>
  <c r="B286" i="14"/>
  <c r="E286" i="14" s="1"/>
  <c r="B287" i="14"/>
  <c r="E287" i="14" s="1"/>
  <c r="B288" i="14"/>
  <c r="E288" i="14" s="1"/>
  <c r="B289" i="14"/>
  <c r="E289" i="14" s="1"/>
  <c r="B290" i="14"/>
  <c r="E290" i="14" s="1"/>
  <c r="B291" i="14"/>
  <c r="E291" i="14" s="1"/>
  <c r="B292" i="14"/>
  <c r="E292" i="14" s="1"/>
  <c r="B293" i="14"/>
  <c r="E293" i="14" s="1"/>
  <c r="B294" i="14"/>
  <c r="E294" i="14" s="1"/>
  <c r="B295" i="14"/>
  <c r="E295" i="14" s="1"/>
  <c r="B296" i="14"/>
  <c r="E296" i="14" s="1"/>
  <c r="B297" i="14"/>
  <c r="E297" i="14" s="1"/>
  <c r="B298" i="14"/>
  <c r="E298" i="14" s="1"/>
  <c r="B299" i="14"/>
  <c r="E299" i="14" s="1"/>
  <c r="B300" i="14"/>
  <c r="E300" i="14" s="1"/>
  <c r="B301" i="14"/>
  <c r="E301" i="14" s="1"/>
  <c r="B302" i="14"/>
  <c r="E302" i="14" s="1"/>
  <c r="B303" i="14"/>
  <c r="E303" i="14" s="1"/>
  <c r="B304" i="14"/>
  <c r="E304" i="14" s="1"/>
  <c r="B305" i="14"/>
  <c r="E305" i="14" s="1"/>
  <c r="B306" i="14"/>
  <c r="E306" i="14" s="1"/>
  <c r="B307" i="14"/>
  <c r="E307" i="14" s="1"/>
  <c r="B308" i="14"/>
  <c r="E308" i="14" s="1"/>
  <c r="B309" i="14"/>
  <c r="E309" i="14" s="1"/>
  <c r="B310" i="14"/>
  <c r="E310" i="14" s="1"/>
  <c r="B311" i="14"/>
  <c r="E311" i="14" s="1"/>
  <c r="B312" i="14"/>
  <c r="E312" i="14" s="1"/>
  <c r="B313" i="14"/>
  <c r="E313" i="14" s="1"/>
  <c r="B314" i="14"/>
  <c r="E314" i="14" s="1"/>
  <c r="B315" i="14"/>
  <c r="E315" i="14" s="1"/>
  <c r="B316" i="14"/>
  <c r="E316" i="14" s="1"/>
  <c r="B317" i="14"/>
  <c r="E317" i="14" s="1"/>
  <c r="B318" i="14"/>
  <c r="E318" i="14" s="1"/>
  <c r="B319" i="14"/>
  <c r="E319" i="14" s="1"/>
  <c r="B320" i="14"/>
  <c r="E320" i="14" s="1"/>
  <c r="B321" i="14"/>
  <c r="E321" i="14" s="1"/>
  <c r="B322" i="14"/>
  <c r="E322" i="14" s="1"/>
  <c r="B323" i="14"/>
  <c r="E323" i="14" s="1"/>
  <c r="B324" i="14"/>
  <c r="E324" i="14" s="1"/>
  <c r="B325" i="14"/>
  <c r="E325" i="14" s="1"/>
  <c r="B326" i="14"/>
  <c r="E326" i="14" s="1"/>
  <c r="B327" i="14"/>
  <c r="E327" i="14" s="1"/>
  <c r="B328" i="14"/>
  <c r="E328" i="14" s="1"/>
  <c r="B329" i="14"/>
  <c r="E329" i="14" s="1"/>
  <c r="B330" i="14"/>
  <c r="E330" i="14" s="1"/>
  <c r="B331" i="14"/>
  <c r="E331" i="14" s="1"/>
  <c r="B332" i="14"/>
  <c r="E332" i="14" s="1"/>
  <c r="B333" i="14"/>
  <c r="E333" i="14" s="1"/>
  <c r="B334" i="14"/>
  <c r="E334" i="14" s="1"/>
  <c r="B335" i="14"/>
  <c r="E335" i="14" s="1"/>
  <c r="B336" i="14"/>
  <c r="E336" i="14" s="1"/>
  <c r="B337" i="14"/>
  <c r="E337" i="14" s="1"/>
  <c r="B338" i="14"/>
  <c r="E338" i="14" s="1"/>
  <c r="B339" i="14"/>
  <c r="E339" i="14" s="1"/>
  <c r="B340" i="14"/>
  <c r="E340" i="14" s="1"/>
  <c r="B341" i="14"/>
  <c r="E341" i="14" s="1"/>
  <c r="B342" i="14"/>
  <c r="E342" i="14" s="1"/>
  <c r="B343" i="14"/>
  <c r="E343" i="14" s="1"/>
  <c r="B344" i="14"/>
  <c r="E344" i="14" s="1"/>
  <c r="B345" i="14"/>
  <c r="E345" i="14" s="1"/>
  <c r="B346" i="14"/>
  <c r="E346" i="14" s="1"/>
  <c r="B347" i="14"/>
  <c r="E347" i="14" s="1"/>
  <c r="B348" i="14"/>
  <c r="E348" i="14" s="1"/>
  <c r="B349" i="14"/>
  <c r="E349" i="14" s="1"/>
  <c r="B350" i="14"/>
  <c r="E350" i="14" s="1"/>
  <c r="B351" i="14"/>
  <c r="E351" i="14" s="1"/>
  <c r="B352" i="14"/>
  <c r="E352" i="14" s="1"/>
  <c r="B353" i="14"/>
  <c r="E353" i="14" s="1"/>
  <c r="B354" i="14"/>
  <c r="E354" i="14" s="1"/>
  <c r="B355" i="14"/>
  <c r="E355" i="14" s="1"/>
  <c r="B356" i="14"/>
  <c r="E356" i="14" s="1"/>
  <c r="B357" i="14"/>
  <c r="E357" i="14" s="1"/>
  <c r="B358" i="14"/>
  <c r="E358" i="14" s="1"/>
  <c r="B359" i="14"/>
  <c r="E359" i="14" s="1"/>
  <c r="B360" i="14"/>
  <c r="E360" i="14" s="1"/>
  <c r="B361" i="14"/>
  <c r="E361" i="14" s="1"/>
  <c r="B362" i="14"/>
  <c r="E362" i="14" s="1"/>
  <c r="B363" i="14"/>
  <c r="E363" i="14" s="1"/>
  <c r="B364" i="14"/>
  <c r="E364" i="14" s="1"/>
  <c r="B365" i="14"/>
  <c r="E365" i="14" s="1"/>
  <c r="B366" i="14"/>
  <c r="E366" i="14" s="1"/>
  <c r="B367" i="14"/>
  <c r="E367" i="14" s="1"/>
  <c r="B368" i="14"/>
  <c r="E368" i="14" s="1"/>
  <c r="B369" i="14"/>
  <c r="E369" i="14" s="1"/>
  <c r="B370" i="14"/>
  <c r="E370" i="14" s="1"/>
  <c r="B371" i="14"/>
  <c r="E371" i="14" s="1"/>
  <c r="B372" i="14"/>
  <c r="E372" i="14" s="1"/>
  <c r="B373" i="14"/>
  <c r="E373" i="14" s="1"/>
  <c r="B374" i="14"/>
  <c r="E374" i="14" s="1"/>
  <c r="B375" i="14"/>
  <c r="E375" i="14" s="1"/>
  <c r="B376" i="14"/>
  <c r="E376" i="14" s="1"/>
  <c r="B377" i="14"/>
  <c r="E377" i="14" s="1"/>
  <c r="B378" i="14"/>
  <c r="E378" i="14" s="1"/>
  <c r="B379" i="14"/>
  <c r="E379" i="14" s="1"/>
  <c r="B380" i="14"/>
  <c r="E380" i="14" s="1"/>
  <c r="B381" i="14"/>
  <c r="E381" i="14" s="1"/>
  <c r="B382" i="14"/>
  <c r="E382" i="14" s="1"/>
  <c r="B383" i="14"/>
  <c r="E383" i="14" s="1"/>
  <c r="B384" i="14"/>
  <c r="E384" i="14" s="1"/>
  <c r="B385" i="14"/>
  <c r="E385" i="14" s="1"/>
  <c r="B386" i="14"/>
  <c r="E386" i="14" s="1"/>
  <c r="B387" i="14"/>
  <c r="E387" i="14" s="1"/>
  <c r="B388" i="14"/>
  <c r="E388" i="14" s="1"/>
  <c r="B389" i="14"/>
  <c r="E389" i="14" s="1"/>
  <c r="B390" i="14"/>
  <c r="E390" i="14" s="1"/>
  <c r="B391" i="14"/>
  <c r="E391" i="14" s="1"/>
  <c r="B392" i="14"/>
  <c r="E392" i="14" s="1"/>
  <c r="B393" i="14"/>
  <c r="E393" i="14" s="1"/>
  <c r="B394" i="14"/>
  <c r="E394" i="14" s="1"/>
  <c r="B395" i="14"/>
  <c r="E395" i="14" s="1"/>
  <c r="B396" i="14"/>
  <c r="E396" i="14" s="1"/>
  <c r="B397" i="14"/>
  <c r="E397" i="14" s="1"/>
  <c r="B398" i="14"/>
  <c r="E398" i="14" s="1"/>
  <c r="B399" i="14"/>
  <c r="E399" i="14" s="1"/>
  <c r="B400" i="14"/>
  <c r="E400" i="14" s="1"/>
  <c r="B401" i="14"/>
  <c r="E401" i="14" s="1"/>
  <c r="B402" i="14"/>
  <c r="E402" i="14" s="1"/>
  <c r="B403" i="14"/>
  <c r="E403" i="14" s="1"/>
  <c r="B404" i="14"/>
  <c r="E404" i="14" s="1"/>
  <c r="B405" i="14"/>
  <c r="E405" i="14" s="1"/>
  <c r="B406" i="14"/>
  <c r="E406" i="14" s="1"/>
  <c r="B407" i="14"/>
  <c r="E407" i="14" s="1"/>
  <c r="B408" i="14"/>
  <c r="E408" i="14" s="1"/>
  <c r="B409" i="14"/>
  <c r="E409" i="14" s="1"/>
  <c r="B410" i="14"/>
  <c r="E410" i="14" s="1"/>
  <c r="B411" i="14"/>
  <c r="E411" i="14" s="1"/>
  <c r="B412" i="14"/>
  <c r="E412" i="14" s="1"/>
  <c r="B413" i="14"/>
  <c r="E413" i="14" s="1"/>
  <c r="B414" i="14"/>
  <c r="E414" i="14" s="1"/>
  <c r="B415" i="14"/>
  <c r="E415" i="14" s="1"/>
  <c r="B416" i="14"/>
  <c r="E416" i="14" s="1"/>
  <c r="B417" i="14"/>
  <c r="E417" i="14" s="1"/>
  <c r="B418" i="14"/>
  <c r="E418" i="14" s="1"/>
  <c r="B419" i="14"/>
  <c r="E419" i="14" s="1"/>
  <c r="B420" i="14"/>
  <c r="E420" i="14" s="1"/>
  <c r="B421" i="14"/>
  <c r="E421" i="14" s="1"/>
  <c r="B422" i="14"/>
  <c r="E422" i="14" s="1"/>
  <c r="B423" i="14"/>
  <c r="E423" i="14" s="1"/>
  <c r="B424" i="14"/>
  <c r="E424" i="14" s="1"/>
  <c r="B425" i="14"/>
  <c r="E425" i="14" s="1"/>
  <c r="B426" i="14"/>
  <c r="E426" i="14" s="1"/>
  <c r="B427" i="14"/>
  <c r="E427" i="14" s="1"/>
  <c r="B428" i="14"/>
  <c r="E428" i="14" s="1"/>
  <c r="B429" i="14"/>
  <c r="E429" i="14" s="1"/>
  <c r="B430" i="14"/>
  <c r="E430" i="14" s="1"/>
  <c r="B431" i="14"/>
  <c r="E431" i="14" s="1"/>
  <c r="B432" i="14"/>
  <c r="E432" i="14" s="1"/>
  <c r="B433" i="14"/>
  <c r="E433" i="14" s="1"/>
  <c r="B434" i="14"/>
  <c r="E434" i="14" s="1"/>
  <c r="B435" i="14"/>
  <c r="E435" i="14" s="1"/>
  <c r="B436" i="14"/>
  <c r="E436" i="14" s="1"/>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A79" i="14"/>
  <c r="A80" i="14"/>
  <c r="A81" i="14"/>
  <c r="A82" i="14"/>
  <c r="A83" i="14"/>
  <c r="A84" i="14"/>
  <c r="A85" i="14"/>
  <c r="A86" i="14"/>
  <c r="A87" i="14"/>
  <c r="A88" i="14"/>
  <c r="A89" i="14"/>
  <c r="A90" i="14"/>
  <c r="A91" i="14"/>
  <c r="A92" i="14"/>
  <c r="A93"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8"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A147" i="14"/>
  <c r="A148" i="14"/>
  <c r="A149" i="14"/>
  <c r="A150" i="14"/>
  <c r="A151" i="14"/>
  <c r="A152" i="14"/>
  <c r="A153" i="14"/>
  <c r="A154" i="14"/>
  <c r="A155" i="14"/>
  <c r="A156" i="14"/>
  <c r="A157" i="14"/>
  <c r="A158" i="14"/>
  <c r="A159" i="14"/>
  <c r="A160" i="14"/>
  <c r="A161" i="14"/>
  <c r="A162" i="14"/>
  <c r="A163" i="14"/>
  <c r="A164" i="14"/>
  <c r="A165" i="14"/>
  <c r="A166" i="14"/>
  <c r="A167" i="14"/>
  <c r="A168" i="14"/>
  <c r="A169" i="14"/>
  <c r="A170" i="14"/>
  <c r="A171" i="14"/>
  <c r="A172" i="14"/>
  <c r="A173" i="14"/>
  <c r="A174" i="14"/>
  <c r="A175" i="14"/>
  <c r="A176" i="14"/>
  <c r="A177" i="14"/>
  <c r="A178" i="14"/>
  <c r="A179" i="14"/>
  <c r="A180" i="14"/>
  <c r="A181" i="14"/>
  <c r="A182" i="14"/>
  <c r="A183" i="14"/>
  <c r="A184" i="14"/>
  <c r="A185" i="14"/>
  <c r="A186" i="14"/>
  <c r="A187" i="14"/>
  <c r="A188" i="14"/>
  <c r="A189" i="14"/>
  <c r="A190" i="14"/>
  <c r="A191" i="14"/>
  <c r="A192" i="14"/>
  <c r="A193" i="14"/>
  <c r="A194" i="14"/>
  <c r="A195" i="14"/>
  <c r="A196" i="14"/>
  <c r="A197" i="14"/>
  <c r="A198" i="14"/>
  <c r="A199" i="14"/>
  <c r="A200" i="14"/>
  <c r="A201" i="14"/>
  <c r="A202" i="14"/>
  <c r="A203" i="14"/>
  <c r="A204" i="14"/>
  <c r="A205" i="14"/>
  <c r="A206" i="14"/>
  <c r="A207" i="14"/>
  <c r="A208" i="14"/>
  <c r="A209" i="14"/>
  <c r="A210" i="14"/>
  <c r="A211" i="14"/>
  <c r="A212" i="14"/>
  <c r="A213" i="14"/>
  <c r="A214" i="14"/>
  <c r="A215" i="14"/>
  <c r="A216" i="14"/>
  <c r="A217" i="14"/>
  <c r="A218" i="14"/>
  <c r="A219" i="14"/>
  <c r="A220" i="14"/>
  <c r="A221" i="14"/>
  <c r="A222" i="14"/>
  <c r="A223" i="14"/>
  <c r="A224" i="14"/>
  <c r="A225" i="14"/>
  <c r="A226" i="14"/>
  <c r="A227" i="14"/>
  <c r="A228" i="14"/>
  <c r="A229" i="14"/>
  <c r="A230" i="14"/>
  <c r="A231" i="14"/>
  <c r="A232" i="14"/>
  <c r="A233" i="14"/>
  <c r="A234" i="14"/>
  <c r="A235" i="14"/>
  <c r="A236" i="14"/>
  <c r="A237" i="14"/>
  <c r="A238" i="14"/>
  <c r="A239" i="14"/>
  <c r="A240" i="14"/>
  <c r="A241" i="14"/>
  <c r="A242" i="14"/>
  <c r="A243" i="14"/>
  <c r="A244" i="14"/>
  <c r="A245" i="14"/>
  <c r="A246" i="14"/>
  <c r="A247" i="14"/>
  <c r="A248" i="14"/>
  <c r="A249" i="14"/>
  <c r="A250" i="14"/>
  <c r="A251" i="14"/>
  <c r="A252" i="14"/>
  <c r="A253" i="14"/>
  <c r="A254" i="14"/>
  <c r="A255" i="14"/>
  <c r="A256" i="14"/>
  <c r="A257" i="14"/>
  <c r="A258" i="14"/>
  <c r="A259" i="14"/>
  <c r="A260" i="14"/>
  <c r="A261" i="14"/>
  <c r="A262" i="14"/>
  <c r="A263" i="14"/>
  <c r="A264" i="14"/>
  <c r="A265" i="14"/>
  <c r="A266" i="14"/>
  <c r="A267" i="14"/>
  <c r="A268" i="14"/>
  <c r="A269" i="14"/>
  <c r="A270" i="14"/>
  <c r="A271" i="14"/>
  <c r="A272" i="14"/>
  <c r="A273" i="14"/>
  <c r="A274" i="14"/>
  <c r="A275" i="14"/>
  <c r="A276" i="14"/>
  <c r="A277" i="14"/>
  <c r="A278" i="14"/>
  <c r="A279" i="14"/>
  <c r="A280" i="14"/>
  <c r="A281" i="14"/>
  <c r="A282" i="14"/>
  <c r="A283" i="14"/>
  <c r="A284" i="14"/>
  <c r="A285" i="14"/>
  <c r="A286" i="14"/>
  <c r="A287" i="14"/>
  <c r="A288" i="14"/>
  <c r="A289" i="14"/>
  <c r="A290" i="14"/>
  <c r="A291" i="14"/>
  <c r="A292" i="14"/>
  <c r="A293" i="14"/>
  <c r="A294" i="14"/>
  <c r="A295" i="14"/>
  <c r="A296" i="14"/>
  <c r="A297" i="14"/>
  <c r="A298" i="14"/>
  <c r="A299" i="14"/>
  <c r="A300" i="14"/>
  <c r="A301" i="14"/>
  <c r="A302" i="14"/>
  <c r="A303" i="14"/>
  <c r="A304" i="14"/>
  <c r="A305" i="14"/>
  <c r="A306" i="14"/>
  <c r="A307" i="14"/>
  <c r="A308" i="14"/>
  <c r="A309" i="14"/>
  <c r="A310" i="14"/>
  <c r="A311" i="14"/>
  <c r="A312" i="14"/>
  <c r="A313" i="14"/>
  <c r="A314" i="14"/>
  <c r="A315" i="14"/>
  <c r="A316" i="14"/>
  <c r="A317" i="14"/>
  <c r="A318" i="14"/>
  <c r="A319" i="14"/>
  <c r="A320" i="14"/>
  <c r="A321" i="14"/>
  <c r="A322" i="14"/>
  <c r="A323" i="14"/>
  <c r="A324" i="14"/>
  <c r="A325" i="14"/>
  <c r="A326" i="14"/>
  <c r="A327" i="14"/>
  <c r="A328" i="14"/>
  <c r="A329" i="14"/>
  <c r="A330" i="14"/>
  <c r="A331" i="14"/>
  <c r="A332" i="14"/>
  <c r="A333" i="14"/>
  <c r="A334" i="14"/>
  <c r="A335" i="14"/>
  <c r="A336" i="14"/>
  <c r="A337" i="14"/>
  <c r="A338" i="14"/>
  <c r="A339" i="14"/>
  <c r="A340" i="14"/>
  <c r="A341" i="14"/>
  <c r="A342" i="14"/>
  <c r="A343" i="14"/>
  <c r="A344" i="14"/>
  <c r="A345" i="14"/>
  <c r="A346" i="14"/>
  <c r="A347" i="14"/>
  <c r="A348" i="14"/>
  <c r="A349" i="14"/>
  <c r="A350" i="14"/>
  <c r="A351" i="14"/>
  <c r="A352" i="14"/>
  <c r="A353" i="14"/>
  <c r="A354" i="14"/>
  <c r="A355" i="14"/>
  <c r="A356" i="14"/>
  <c r="A357" i="14"/>
  <c r="A358" i="14"/>
  <c r="A359" i="14"/>
  <c r="A360" i="14"/>
  <c r="A361" i="14"/>
  <c r="A362" i="14"/>
  <c r="A363" i="14"/>
  <c r="A364" i="14"/>
  <c r="A365" i="14"/>
  <c r="A366" i="14"/>
  <c r="A367" i="14"/>
  <c r="A368" i="14"/>
  <c r="A369" i="14"/>
  <c r="A370" i="14"/>
  <c r="A371" i="14"/>
  <c r="A372" i="14"/>
  <c r="A373" i="14"/>
  <c r="A374" i="14"/>
  <c r="A375" i="14"/>
  <c r="A376" i="14"/>
  <c r="A377" i="14"/>
  <c r="A378" i="14"/>
  <c r="A379" i="14"/>
  <c r="A380" i="14"/>
  <c r="A381" i="14"/>
  <c r="A382" i="14"/>
  <c r="A383" i="14"/>
  <c r="A384" i="14"/>
  <c r="A385" i="14"/>
  <c r="A386" i="14"/>
  <c r="A387" i="14"/>
  <c r="A388" i="14"/>
  <c r="A389" i="14"/>
  <c r="A390" i="14"/>
  <c r="A391" i="14"/>
  <c r="A392" i="14"/>
  <c r="A393" i="14"/>
  <c r="A394" i="14"/>
  <c r="A395" i="14"/>
  <c r="A396" i="14"/>
  <c r="A397" i="14"/>
  <c r="A398" i="14"/>
  <c r="A399" i="14"/>
  <c r="A400" i="14"/>
  <c r="A401" i="14"/>
  <c r="A402" i="14"/>
  <c r="A403" i="14"/>
  <c r="A404" i="14"/>
  <c r="A405" i="14"/>
  <c r="A406" i="14"/>
  <c r="A407" i="14"/>
  <c r="A408" i="14"/>
  <c r="A409" i="14"/>
  <c r="A410" i="14"/>
  <c r="A411" i="14"/>
  <c r="A412" i="14"/>
  <c r="A413" i="14"/>
  <c r="A414" i="14"/>
  <c r="A415" i="14"/>
  <c r="A416" i="14"/>
  <c r="A417" i="14"/>
  <c r="A418" i="14"/>
  <c r="A419" i="14"/>
  <c r="A420" i="14"/>
  <c r="A421" i="14"/>
  <c r="A422" i="14"/>
  <c r="A423" i="14"/>
  <c r="A424" i="14"/>
  <c r="A425" i="14"/>
  <c r="A426" i="14"/>
  <c r="A427" i="14"/>
  <c r="A428" i="14"/>
  <c r="A429" i="14"/>
  <c r="A430" i="14"/>
  <c r="A431" i="14"/>
  <c r="A432" i="14"/>
  <c r="A433" i="14"/>
  <c r="A434" i="14"/>
  <c r="A435" i="14"/>
  <c r="A436" i="14"/>
  <c r="A34" i="14"/>
  <c r="A15" i="14"/>
  <c r="A16" i="14"/>
  <c r="A17" i="14"/>
  <c r="A18" i="14"/>
  <c r="A19" i="14"/>
  <c r="A20" i="14"/>
  <c r="A21" i="14"/>
  <c r="A22" i="14"/>
  <c r="A23" i="14"/>
  <c r="A24" i="14"/>
  <c r="A25" i="14"/>
  <c r="A26" i="14"/>
  <c r="A27" i="14"/>
  <c r="A28" i="14"/>
  <c r="A29" i="14"/>
  <c r="A30" i="14"/>
  <c r="A31" i="14"/>
  <c r="A32" i="14"/>
  <c r="A440" i="14" l="1"/>
  <c r="A441" i="14"/>
  <c r="A442" i="14"/>
  <c r="A443" i="14"/>
  <c r="A439" i="14"/>
  <c r="A25" i="4"/>
  <c r="A29" i="4"/>
  <c r="F15" i="14"/>
  <c r="G15" i="14"/>
  <c r="H15" i="14"/>
  <c r="I15" i="14"/>
  <c r="J15" i="14"/>
  <c r="K15" i="14"/>
  <c r="L15" i="14"/>
  <c r="F16" i="14"/>
  <c r="G16" i="14"/>
  <c r="H16" i="14"/>
  <c r="I16" i="14"/>
  <c r="J16" i="14"/>
  <c r="K16" i="14"/>
  <c r="L16" i="14"/>
  <c r="F17" i="14"/>
  <c r="G17" i="14"/>
  <c r="H17" i="14"/>
  <c r="I17" i="14"/>
  <c r="J17" i="14"/>
  <c r="K17" i="14"/>
  <c r="L17" i="14"/>
  <c r="F18" i="14"/>
  <c r="G18" i="14"/>
  <c r="H18" i="14"/>
  <c r="I18" i="14"/>
  <c r="J18" i="14"/>
  <c r="K18" i="14"/>
  <c r="L18" i="14"/>
  <c r="F19" i="14"/>
  <c r="G19" i="14"/>
  <c r="H19" i="14"/>
  <c r="I19" i="14"/>
  <c r="J19" i="14"/>
  <c r="K19" i="14"/>
  <c r="L19" i="14"/>
  <c r="F20" i="14"/>
  <c r="G20" i="14"/>
  <c r="H20" i="14"/>
  <c r="I20" i="14"/>
  <c r="J20" i="14"/>
  <c r="K20" i="14"/>
  <c r="L20" i="14"/>
  <c r="F21" i="14"/>
  <c r="G21" i="14"/>
  <c r="H21" i="14"/>
  <c r="I21" i="14"/>
  <c r="J21" i="14"/>
  <c r="K21" i="14"/>
  <c r="L21" i="14"/>
  <c r="F22" i="14"/>
  <c r="G22" i="14"/>
  <c r="H22" i="14"/>
  <c r="I22" i="14"/>
  <c r="J22" i="14"/>
  <c r="K22" i="14"/>
  <c r="L22" i="14"/>
  <c r="F23" i="14"/>
  <c r="G23" i="14"/>
  <c r="H23" i="14"/>
  <c r="I23" i="14"/>
  <c r="J23" i="14"/>
  <c r="K23" i="14"/>
  <c r="L23" i="14"/>
  <c r="F24" i="14"/>
  <c r="G24" i="14"/>
  <c r="H24" i="14"/>
  <c r="I24" i="14"/>
  <c r="J24" i="14"/>
  <c r="K24" i="14"/>
  <c r="L24" i="14"/>
  <c r="F25" i="14"/>
  <c r="G25" i="14"/>
  <c r="H25" i="14"/>
  <c r="I25" i="14"/>
  <c r="J25" i="14"/>
  <c r="K25" i="14"/>
  <c r="L25" i="14"/>
  <c r="F26" i="14"/>
  <c r="G26" i="14"/>
  <c r="H26" i="14"/>
  <c r="I26" i="14"/>
  <c r="J26" i="14"/>
  <c r="K26" i="14"/>
  <c r="L26" i="14"/>
  <c r="F27" i="14"/>
  <c r="G27" i="14"/>
  <c r="H27" i="14"/>
  <c r="I27" i="14"/>
  <c r="J27" i="14"/>
  <c r="K27" i="14"/>
  <c r="L27" i="14"/>
  <c r="F28" i="14"/>
  <c r="G28" i="14"/>
  <c r="H28" i="14"/>
  <c r="I28" i="14"/>
  <c r="J28" i="14"/>
  <c r="K28" i="14"/>
  <c r="L28" i="14"/>
  <c r="F29" i="14"/>
  <c r="G29" i="14"/>
  <c r="H29" i="14"/>
  <c r="I29" i="14"/>
  <c r="J29" i="14"/>
  <c r="K29" i="14"/>
  <c r="L29" i="14"/>
  <c r="F30" i="14"/>
  <c r="G30" i="14"/>
  <c r="H30" i="14"/>
  <c r="I30" i="14"/>
  <c r="J30" i="14"/>
  <c r="K30" i="14"/>
  <c r="L30" i="14"/>
  <c r="F31" i="14"/>
  <c r="G31" i="14"/>
  <c r="H31" i="14"/>
  <c r="I31" i="14"/>
  <c r="J31" i="14"/>
  <c r="K31" i="14"/>
  <c r="L31" i="14"/>
  <c r="F32" i="14"/>
  <c r="G32" i="14"/>
  <c r="H32" i="14"/>
  <c r="I32" i="14"/>
  <c r="J32" i="14"/>
  <c r="K32" i="14"/>
  <c r="L32" i="14"/>
  <c r="F33" i="14"/>
  <c r="G33" i="14"/>
  <c r="H33" i="14"/>
  <c r="I33" i="14"/>
  <c r="J33" i="14"/>
  <c r="K33" i="14"/>
  <c r="L33" i="14"/>
  <c r="F34" i="14"/>
  <c r="G34" i="14"/>
  <c r="H34" i="14"/>
  <c r="I34" i="14"/>
  <c r="J34" i="14"/>
  <c r="K34" i="14"/>
  <c r="L34" i="14"/>
  <c r="F35" i="14"/>
  <c r="G35" i="14"/>
  <c r="H35" i="14"/>
  <c r="I35" i="14"/>
  <c r="J35" i="14"/>
  <c r="K35" i="14"/>
  <c r="L35" i="14"/>
  <c r="F36" i="14"/>
  <c r="G36" i="14"/>
  <c r="H36" i="14"/>
  <c r="I36" i="14"/>
  <c r="J36" i="14"/>
  <c r="K36" i="14"/>
  <c r="L36" i="14"/>
  <c r="F37" i="14"/>
  <c r="G37" i="14"/>
  <c r="H37" i="14"/>
  <c r="I37" i="14"/>
  <c r="J37" i="14"/>
  <c r="K37" i="14"/>
  <c r="L37" i="14"/>
  <c r="F38" i="14"/>
  <c r="G38" i="14"/>
  <c r="H38" i="14"/>
  <c r="I38" i="14"/>
  <c r="J38" i="14"/>
  <c r="K38" i="14"/>
  <c r="L38" i="14"/>
  <c r="F39" i="14"/>
  <c r="G39" i="14"/>
  <c r="H39" i="14"/>
  <c r="I39" i="14"/>
  <c r="J39" i="14"/>
  <c r="K39" i="14"/>
  <c r="L39" i="14"/>
  <c r="F40" i="14"/>
  <c r="G40" i="14"/>
  <c r="H40" i="14"/>
  <c r="I40" i="14"/>
  <c r="J40" i="14"/>
  <c r="K40" i="14"/>
  <c r="L40" i="14"/>
  <c r="F41" i="14"/>
  <c r="G41" i="14"/>
  <c r="H41" i="14"/>
  <c r="I41" i="14"/>
  <c r="J41" i="14"/>
  <c r="K41" i="14"/>
  <c r="L41" i="14"/>
  <c r="F42" i="14"/>
  <c r="G42" i="14"/>
  <c r="H42" i="14"/>
  <c r="I42" i="14"/>
  <c r="J42" i="14"/>
  <c r="K42" i="14"/>
  <c r="L42" i="14"/>
  <c r="F43" i="14"/>
  <c r="G43" i="14"/>
  <c r="H43" i="14"/>
  <c r="I43" i="14"/>
  <c r="J43" i="14"/>
  <c r="K43" i="14"/>
  <c r="L43" i="14"/>
  <c r="F44" i="14"/>
  <c r="G44" i="14"/>
  <c r="H44" i="14"/>
  <c r="I44" i="14"/>
  <c r="J44" i="14"/>
  <c r="K44" i="14"/>
  <c r="L44" i="14"/>
  <c r="F45" i="14"/>
  <c r="G45" i="14"/>
  <c r="H45" i="14"/>
  <c r="I45" i="14"/>
  <c r="J45" i="14"/>
  <c r="K45" i="14"/>
  <c r="L45" i="14"/>
  <c r="F46" i="14"/>
  <c r="G46" i="14"/>
  <c r="H46" i="14"/>
  <c r="I46" i="14"/>
  <c r="J46" i="14"/>
  <c r="K46" i="14"/>
  <c r="L46" i="14"/>
  <c r="F47" i="14"/>
  <c r="G47" i="14"/>
  <c r="H47" i="14"/>
  <c r="I47" i="14"/>
  <c r="J47" i="14"/>
  <c r="K47" i="14"/>
  <c r="L47" i="14"/>
  <c r="F48" i="14"/>
  <c r="G48" i="14"/>
  <c r="H48" i="14"/>
  <c r="I48" i="14"/>
  <c r="J48" i="14"/>
  <c r="K48" i="14"/>
  <c r="L48" i="14"/>
  <c r="F49" i="14"/>
  <c r="G49" i="14"/>
  <c r="H49" i="14"/>
  <c r="I49" i="14"/>
  <c r="J49" i="14"/>
  <c r="K49" i="14"/>
  <c r="L49" i="14"/>
  <c r="F50" i="14"/>
  <c r="G50" i="14"/>
  <c r="H50" i="14"/>
  <c r="I50" i="14"/>
  <c r="J50" i="14"/>
  <c r="K50" i="14"/>
  <c r="L50" i="14"/>
  <c r="F51" i="14"/>
  <c r="G51" i="14"/>
  <c r="H51" i="14"/>
  <c r="I51" i="14"/>
  <c r="J51" i="14"/>
  <c r="K51" i="14"/>
  <c r="L51" i="14"/>
  <c r="F52" i="14"/>
  <c r="G52" i="14"/>
  <c r="H52" i="14"/>
  <c r="I52" i="14"/>
  <c r="J52" i="14"/>
  <c r="K52" i="14"/>
  <c r="L52" i="14"/>
  <c r="F53" i="14"/>
  <c r="G53" i="14"/>
  <c r="H53" i="14"/>
  <c r="I53" i="14"/>
  <c r="J53" i="14"/>
  <c r="K53" i="14"/>
  <c r="L53" i="14"/>
  <c r="F54" i="14"/>
  <c r="G54" i="14"/>
  <c r="H54" i="14"/>
  <c r="I54" i="14"/>
  <c r="J54" i="14"/>
  <c r="K54" i="14"/>
  <c r="L54" i="14"/>
  <c r="F55" i="14"/>
  <c r="G55" i="14"/>
  <c r="H55" i="14"/>
  <c r="I55" i="14"/>
  <c r="J55" i="14"/>
  <c r="K55" i="14"/>
  <c r="L55" i="14"/>
  <c r="F56" i="14"/>
  <c r="G56" i="14"/>
  <c r="H56" i="14"/>
  <c r="I56" i="14"/>
  <c r="J56" i="14"/>
  <c r="K56" i="14"/>
  <c r="L56" i="14"/>
  <c r="F57" i="14"/>
  <c r="G57" i="14"/>
  <c r="H57" i="14"/>
  <c r="I57" i="14"/>
  <c r="J57" i="14"/>
  <c r="K57" i="14"/>
  <c r="L57" i="14"/>
  <c r="F58" i="14"/>
  <c r="G58" i="14"/>
  <c r="H58" i="14"/>
  <c r="I58" i="14"/>
  <c r="J58" i="14"/>
  <c r="K58" i="14"/>
  <c r="L58" i="14"/>
  <c r="F59" i="14"/>
  <c r="G59" i="14"/>
  <c r="H59" i="14"/>
  <c r="I59" i="14"/>
  <c r="J59" i="14"/>
  <c r="K59" i="14"/>
  <c r="L59" i="14"/>
  <c r="F60" i="14"/>
  <c r="G60" i="14"/>
  <c r="H60" i="14"/>
  <c r="I60" i="14"/>
  <c r="J60" i="14"/>
  <c r="K60" i="14"/>
  <c r="L60" i="14"/>
  <c r="F61" i="14"/>
  <c r="G61" i="14"/>
  <c r="H61" i="14"/>
  <c r="I61" i="14"/>
  <c r="J61" i="14"/>
  <c r="K61" i="14"/>
  <c r="L61" i="14"/>
  <c r="F62" i="14"/>
  <c r="G62" i="14"/>
  <c r="H62" i="14"/>
  <c r="I62" i="14"/>
  <c r="J62" i="14"/>
  <c r="K62" i="14"/>
  <c r="L62" i="14"/>
  <c r="F63" i="14"/>
  <c r="G63" i="14"/>
  <c r="H63" i="14"/>
  <c r="I63" i="14"/>
  <c r="J63" i="14"/>
  <c r="K63" i="14"/>
  <c r="L63" i="14"/>
  <c r="F64" i="14"/>
  <c r="G64" i="14"/>
  <c r="H64" i="14"/>
  <c r="I64" i="14"/>
  <c r="J64" i="14"/>
  <c r="K64" i="14"/>
  <c r="L64" i="14"/>
  <c r="F65" i="14"/>
  <c r="G65" i="14"/>
  <c r="H65" i="14"/>
  <c r="I65" i="14"/>
  <c r="J65" i="14"/>
  <c r="K65" i="14"/>
  <c r="L65" i="14"/>
  <c r="F66" i="14"/>
  <c r="G66" i="14"/>
  <c r="H66" i="14"/>
  <c r="I66" i="14"/>
  <c r="J66" i="14"/>
  <c r="K66" i="14"/>
  <c r="L66" i="14"/>
  <c r="F67" i="14"/>
  <c r="G67" i="14"/>
  <c r="H67" i="14"/>
  <c r="I67" i="14"/>
  <c r="J67" i="14"/>
  <c r="K67" i="14"/>
  <c r="L67" i="14"/>
  <c r="F68" i="14"/>
  <c r="G68" i="14"/>
  <c r="H68" i="14"/>
  <c r="I68" i="14"/>
  <c r="J68" i="14"/>
  <c r="K68" i="14"/>
  <c r="L68" i="14"/>
  <c r="F69" i="14"/>
  <c r="G69" i="14"/>
  <c r="H69" i="14"/>
  <c r="I69" i="14"/>
  <c r="J69" i="14"/>
  <c r="K69" i="14"/>
  <c r="L69" i="14"/>
  <c r="F70" i="14"/>
  <c r="G70" i="14"/>
  <c r="H70" i="14"/>
  <c r="I70" i="14"/>
  <c r="J70" i="14"/>
  <c r="K70" i="14"/>
  <c r="L70" i="14"/>
  <c r="F71" i="14"/>
  <c r="G71" i="14"/>
  <c r="H71" i="14"/>
  <c r="I71" i="14"/>
  <c r="J71" i="14"/>
  <c r="K71" i="14"/>
  <c r="L71" i="14"/>
  <c r="F72" i="14"/>
  <c r="G72" i="14"/>
  <c r="H72" i="14"/>
  <c r="I72" i="14"/>
  <c r="J72" i="14"/>
  <c r="K72" i="14"/>
  <c r="L72" i="14"/>
  <c r="F73" i="14"/>
  <c r="G73" i="14"/>
  <c r="H73" i="14"/>
  <c r="I73" i="14"/>
  <c r="J73" i="14"/>
  <c r="K73" i="14"/>
  <c r="L73" i="14"/>
  <c r="F74" i="14"/>
  <c r="G74" i="14"/>
  <c r="H74" i="14"/>
  <c r="I74" i="14"/>
  <c r="J74" i="14"/>
  <c r="K74" i="14"/>
  <c r="L74" i="14"/>
  <c r="F75" i="14"/>
  <c r="G75" i="14"/>
  <c r="H75" i="14"/>
  <c r="I75" i="14"/>
  <c r="J75" i="14"/>
  <c r="K75" i="14"/>
  <c r="L75" i="14"/>
  <c r="F76" i="14"/>
  <c r="G76" i="14"/>
  <c r="H76" i="14"/>
  <c r="I76" i="14"/>
  <c r="J76" i="14"/>
  <c r="K76" i="14"/>
  <c r="L76" i="14"/>
  <c r="F77" i="14"/>
  <c r="G77" i="14"/>
  <c r="H77" i="14"/>
  <c r="I77" i="14"/>
  <c r="J77" i="14"/>
  <c r="K77" i="14"/>
  <c r="L77" i="14"/>
  <c r="F78" i="14"/>
  <c r="G78" i="14"/>
  <c r="H78" i="14"/>
  <c r="I78" i="14"/>
  <c r="J78" i="14"/>
  <c r="K78" i="14"/>
  <c r="L78" i="14"/>
  <c r="F79" i="14"/>
  <c r="G79" i="14"/>
  <c r="H79" i="14"/>
  <c r="I79" i="14"/>
  <c r="J79" i="14"/>
  <c r="K79" i="14"/>
  <c r="L79" i="14"/>
  <c r="F80" i="14"/>
  <c r="G80" i="14"/>
  <c r="H80" i="14"/>
  <c r="I80" i="14"/>
  <c r="J80" i="14"/>
  <c r="K80" i="14"/>
  <c r="L80" i="14"/>
  <c r="F81" i="14"/>
  <c r="G81" i="14"/>
  <c r="H81" i="14"/>
  <c r="I81" i="14"/>
  <c r="J81" i="14"/>
  <c r="K81" i="14"/>
  <c r="L81" i="14"/>
  <c r="F82" i="14"/>
  <c r="G82" i="14"/>
  <c r="H82" i="14"/>
  <c r="I82" i="14"/>
  <c r="J82" i="14"/>
  <c r="K82" i="14"/>
  <c r="L82" i="14"/>
  <c r="F83" i="14"/>
  <c r="G83" i="14"/>
  <c r="H83" i="14"/>
  <c r="I83" i="14"/>
  <c r="J83" i="14"/>
  <c r="K83" i="14"/>
  <c r="L83" i="14"/>
  <c r="F84" i="14"/>
  <c r="G84" i="14"/>
  <c r="H84" i="14"/>
  <c r="I84" i="14"/>
  <c r="J84" i="14"/>
  <c r="K84" i="14"/>
  <c r="L84" i="14"/>
  <c r="F85" i="14"/>
  <c r="G85" i="14"/>
  <c r="H85" i="14"/>
  <c r="I85" i="14"/>
  <c r="J85" i="14"/>
  <c r="K85" i="14"/>
  <c r="L85" i="14"/>
  <c r="F86" i="14"/>
  <c r="G86" i="14"/>
  <c r="H86" i="14"/>
  <c r="I86" i="14"/>
  <c r="J86" i="14"/>
  <c r="K86" i="14"/>
  <c r="L86" i="14"/>
  <c r="F87" i="14"/>
  <c r="G87" i="14"/>
  <c r="H87" i="14"/>
  <c r="I87" i="14"/>
  <c r="J87" i="14"/>
  <c r="K87" i="14"/>
  <c r="L87" i="14"/>
  <c r="F88" i="14"/>
  <c r="G88" i="14"/>
  <c r="H88" i="14"/>
  <c r="I88" i="14"/>
  <c r="J88" i="14"/>
  <c r="K88" i="14"/>
  <c r="L88" i="14"/>
  <c r="F89" i="14"/>
  <c r="G89" i="14"/>
  <c r="H89" i="14"/>
  <c r="I89" i="14"/>
  <c r="J89" i="14"/>
  <c r="K89" i="14"/>
  <c r="L89" i="14"/>
  <c r="F90" i="14"/>
  <c r="G90" i="14"/>
  <c r="H90" i="14"/>
  <c r="I90" i="14"/>
  <c r="J90" i="14"/>
  <c r="K90" i="14"/>
  <c r="L90" i="14"/>
  <c r="F91" i="14"/>
  <c r="G91" i="14"/>
  <c r="H91" i="14"/>
  <c r="I91" i="14"/>
  <c r="J91" i="14"/>
  <c r="K91" i="14"/>
  <c r="L91" i="14"/>
  <c r="F92" i="14"/>
  <c r="G92" i="14"/>
  <c r="H92" i="14"/>
  <c r="I92" i="14"/>
  <c r="J92" i="14"/>
  <c r="K92" i="14"/>
  <c r="L92" i="14"/>
  <c r="F93" i="14"/>
  <c r="G93" i="14"/>
  <c r="H93" i="14"/>
  <c r="I93" i="14"/>
  <c r="J93" i="14"/>
  <c r="K93" i="14"/>
  <c r="L93" i="14"/>
  <c r="F94" i="14"/>
  <c r="G94" i="14"/>
  <c r="H94" i="14"/>
  <c r="I94" i="14"/>
  <c r="J94" i="14"/>
  <c r="K94" i="14"/>
  <c r="L94" i="14"/>
  <c r="F95" i="14"/>
  <c r="G95" i="14"/>
  <c r="H95" i="14"/>
  <c r="I95" i="14"/>
  <c r="J95" i="14"/>
  <c r="K95" i="14"/>
  <c r="L95" i="14"/>
  <c r="F96" i="14"/>
  <c r="G96" i="14"/>
  <c r="H96" i="14"/>
  <c r="I96" i="14"/>
  <c r="J96" i="14"/>
  <c r="K96" i="14"/>
  <c r="L96" i="14"/>
  <c r="F98" i="14"/>
  <c r="G98" i="14"/>
  <c r="H98" i="14"/>
  <c r="I98" i="14"/>
  <c r="J98" i="14"/>
  <c r="K98" i="14"/>
  <c r="L98" i="14"/>
  <c r="F99" i="14"/>
  <c r="G99" i="14"/>
  <c r="H99" i="14"/>
  <c r="I99" i="14"/>
  <c r="J99" i="14"/>
  <c r="K99" i="14"/>
  <c r="L99" i="14"/>
  <c r="F100" i="14"/>
  <c r="G100" i="14"/>
  <c r="H100" i="14"/>
  <c r="I100" i="14"/>
  <c r="J100" i="14"/>
  <c r="K100" i="14"/>
  <c r="L100" i="14"/>
  <c r="F101" i="14"/>
  <c r="G101" i="14"/>
  <c r="H101" i="14"/>
  <c r="I101" i="14"/>
  <c r="J101" i="14"/>
  <c r="K101" i="14"/>
  <c r="L101" i="14"/>
  <c r="F102" i="14"/>
  <c r="G102" i="14"/>
  <c r="H102" i="14"/>
  <c r="I102" i="14"/>
  <c r="J102" i="14"/>
  <c r="K102" i="14"/>
  <c r="L102" i="14"/>
  <c r="F103" i="14"/>
  <c r="G103" i="14"/>
  <c r="H103" i="14"/>
  <c r="I103" i="14"/>
  <c r="J103" i="14"/>
  <c r="K103" i="14"/>
  <c r="L103" i="14"/>
  <c r="F104" i="14"/>
  <c r="G104" i="14"/>
  <c r="H104" i="14"/>
  <c r="I104" i="14"/>
  <c r="J104" i="14"/>
  <c r="K104" i="14"/>
  <c r="L104" i="14"/>
  <c r="F105" i="14"/>
  <c r="G105" i="14"/>
  <c r="H105" i="14"/>
  <c r="I105" i="14"/>
  <c r="J105" i="14"/>
  <c r="K105" i="14"/>
  <c r="L105" i="14"/>
  <c r="F106" i="14"/>
  <c r="G106" i="14"/>
  <c r="H106" i="14"/>
  <c r="I106" i="14"/>
  <c r="J106" i="14"/>
  <c r="K106" i="14"/>
  <c r="L106" i="14"/>
  <c r="F107" i="14"/>
  <c r="G107" i="14"/>
  <c r="H107" i="14"/>
  <c r="I107" i="14"/>
  <c r="J107" i="14"/>
  <c r="K107" i="14"/>
  <c r="L107" i="14"/>
  <c r="F108" i="14"/>
  <c r="G108" i="14"/>
  <c r="H108" i="14"/>
  <c r="I108" i="14"/>
  <c r="J108" i="14"/>
  <c r="K108" i="14"/>
  <c r="L108" i="14"/>
  <c r="F109" i="14"/>
  <c r="G109" i="14"/>
  <c r="H109" i="14"/>
  <c r="I109" i="14"/>
  <c r="J109" i="14"/>
  <c r="K109" i="14"/>
  <c r="L109" i="14"/>
  <c r="F110" i="14"/>
  <c r="G110" i="14"/>
  <c r="H110" i="14"/>
  <c r="I110" i="14"/>
  <c r="J110" i="14"/>
  <c r="K110" i="14"/>
  <c r="L110" i="14"/>
  <c r="F111" i="14"/>
  <c r="G111" i="14"/>
  <c r="H111" i="14"/>
  <c r="I111" i="14"/>
  <c r="J111" i="14"/>
  <c r="K111" i="14"/>
  <c r="L111" i="14"/>
  <c r="F112" i="14"/>
  <c r="G112" i="14"/>
  <c r="H112" i="14"/>
  <c r="I112" i="14"/>
  <c r="J112" i="14"/>
  <c r="K112" i="14"/>
  <c r="L112" i="14"/>
  <c r="F113" i="14"/>
  <c r="G113" i="14"/>
  <c r="H113" i="14"/>
  <c r="I113" i="14"/>
  <c r="J113" i="14"/>
  <c r="K113" i="14"/>
  <c r="L113" i="14"/>
  <c r="F114" i="14"/>
  <c r="G114" i="14"/>
  <c r="H114" i="14"/>
  <c r="I114" i="14"/>
  <c r="J114" i="14"/>
  <c r="K114" i="14"/>
  <c r="L114" i="14"/>
  <c r="F115" i="14"/>
  <c r="G115" i="14"/>
  <c r="H115" i="14"/>
  <c r="I115" i="14"/>
  <c r="J115" i="14"/>
  <c r="K115" i="14"/>
  <c r="L115" i="14"/>
  <c r="F116" i="14"/>
  <c r="G116" i="14"/>
  <c r="H116" i="14"/>
  <c r="I116" i="14"/>
  <c r="J116" i="14"/>
  <c r="K116" i="14"/>
  <c r="L116" i="14"/>
  <c r="F117" i="14"/>
  <c r="G117" i="14"/>
  <c r="H117" i="14"/>
  <c r="I117" i="14"/>
  <c r="J117" i="14"/>
  <c r="K117" i="14"/>
  <c r="L117" i="14"/>
  <c r="F118" i="14"/>
  <c r="G118" i="14"/>
  <c r="H118" i="14"/>
  <c r="I118" i="14"/>
  <c r="J118" i="14"/>
  <c r="K118" i="14"/>
  <c r="L118" i="14"/>
  <c r="F119" i="14"/>
  <c r="G119" i="14"/>
  <c r="H119" i="14"/>
  <c r="I119" i="14"/>
  <c r="J119" i="14"/>
  <c r="K119" i="14"/>
  <c r="L119" i="14"/>
  <c r="F120" i="14"/>
  <c r="G120" i="14"/>
  <c r="H120" i="14"/>
  <c r="I120" i="14"/>
  <c r="J120" i="14"/>
  <c r="K120" i="14"/>
  <c r="L120" i="14"/>
  <c r="F121" i="14"/>
  <c r="G121" i="14"/>
  <c r="H121" i="14"/>
  <c r="I121" i="14"/>
  <c r="J121" i="14"/>
  <c r="K121" i="14"/>
  <c r="L121" i="14"/>
  <c r="F122" i="14"/>
  <c r="G122" i="14"/>
  <c r="H122" i="14"/>
  <c r="I122" i="14"/>
  <c r="J122" i="14"/>
  <c r="K122" i="14"/>
  <c r="L122" i="14"/>
  <c r="F123" i="14"/>
  <c r="G123" i="14"/>
  <c r="H123" i="14"/>
  <c r="I123" i="14"/>
  <c r="J123" i="14"/>
  <c r="K123" i="14"/>
  <c r="L123" i="14"/>
  <c r="F124" i="14"/>
  <c r="G124" i="14"/>
  <c r="H124" i="14"/>
  <c r="I124" i="14"/>
  <c r="J124" i="14"/>
  <c r="K124" i="14"/>
  <c r="L124" i="14"/>
  <c r="F125" i="14"/>
  <c r="G125" i="14"/>
  <c r="H125" i="14"/>
  <c r="I125" i="14"/>
  <c r="J125" i="14"/>
  <c r="K125" i="14"/>
  <c r="L125" i="14"/>
  <c r="F126" i="14"/>
  <c r="G126" i="14"/>
  <c r="H126" i="14"/>
  <c r="I126" i="14"/>
  <c r="J126" i="14"/>
  <c r="K126" i="14"/>
  <c r="L126" i="14"/>
  <c r="F127" i="14"/>
  <c r="G127" i="14"/>
  <c r="H127" i="14"/>
  <c r="I127" i="14"/>
  <c r="J127" i="14"/>
  <c r="K127" i="14"/>
  <c r="L127" i="14"/>
  <c r="F128" i="14"/>
  <c r="G128" i="14"/>
  <c r="H128" i="14"/>
  <c r="I128" i="14"/>
  <c r="J128" i="14"/>
  <c r="K128" i="14"/>
  <c r="L128" i="14"/>
  <c r="F129" i="14"/>
  <c r="G129" i="14"/>
  <c r="H129" i="14"/>
  <c r="I129" i="14"/>
  <c r="J129" i="14"/>
  <c r="K129" i="14"/>
  <c r="L129" i="14"/>
  <c r="F130" i="14"/>
  <c r="G130" i="14"/>
  <c r="H130" i="14"/>
  <c r="I130" i="14"/>
  <c r="J130" i="14"/>
  <c r="K130" i="14"/>
  <c r="L130" i="14"/>
  <c r="F131" i="14"/>
  <c r="G131" i="14"/>
  <c r="H131" i="14"/>
  <c r="I131" i="14"/>
  <c r="J131" i="14"/>
  <c r="K131" i="14"/>
  <c r="L131" i="14"/>
  <c r="F132" i="14"/>
  <c r="G132" i="14"/>
  <c r="H132" i="14"/>
  <c r="I132" i="14"/>
  <c r="J132" i="14"/>
  <c r="K132" i="14"/>
  <c r="L132" i="14"/>
  <c r="F133" i="14"/>
  <c r="G133" i="14"/>
  <c r="H133" i="14"/>
  <c r="I133" i="14"/>
  <c r="J133" i="14"/>
  <c r="K133" i="14"/>
  <c r="L133" i="14"/>
  <c r="F134" i="14"/>
  <c r="G134" i="14"/>
  <c r="H134" i="14"/>
  <c r="I134" i="14"/>
  <c r="J134" i="14"/>
  <c r="K134" i="14"/>
  <c r="L134" i="14"/>
  <c r="F135" i="14"/>
  <c r="G135" i="14"/>
  <c r="H135" i="14"/>
  <c r="I135" i="14"/>
  <c r="J135" i="14"/>
  <c r="K135" i="14"/>
  <c r="L135" i="14"/>
  <c r="F136" i="14"/>
  <c r="G136" i="14"/>
  <c r="H136" i="14"/>
  <c r="I136" i="14"/>
  <c r="J136" i="14"/>
  <c r="K136" i="14"/>
  <c r="L136" i="14"/>
  <c r="F137" i="14"/>
  <c r="G137" i="14"/>
  <c r="H137" i="14"/>
  <c r="I137" i="14"/>
  <c r="J137" i="14"/>
  <c r="K137" i="14"/>
  <c r="L137" i="14"/>
  <c r="F138" i="14"/>
  <c r="G138" i="14"/>
  <c r="H138" i="14"/>
  <c r="I138" i="14"/>
  <c r="J138" i="14"/>
  <c r="K138" i="14"/>
  <c r="L138" i="14"/>
  <c r="F139" i="14"/>
  <c r="G139" i="14"/>
  <c r="H139" i="14"/>
  <c r="I139" i="14"/>
  <c r="J139" i="14"/>
  <c r="K139" i="14"/>
  <c r="L139" i="14"/>
  <c r="F140" i="14"/>
  <c r="G140" i="14"/>
  <c r="H140" i="14"/>
  <c r="I140" i="14"/>
  <c r="J140" i="14"/>
  <c r="K140" i="14"/>
  <c r="L140" i="14"/>
  <c r="F141" i="14"/>
  <c r="G141" i="14"/>
  <c r="H141" i="14"/>
  <c r="I141" i="14"/>
  <c r="J141" i="14"/>
  <c r="K141" i="14"/>
  <c r="L141" i="14"/>
  <c r="F142" i="14"/>
  <c r="G142" i="14"/>
  <c r="H142" i="14"/>
  <c r="I142" i="14"/>
  <c r="J142" i="14"/>
  <c r="K142" i="14"/>
  <c r="L142" i="14"/>
  <c r="F143" i="14"/>
  <c r="G143" i="14"/>
  <c r="H143" i="14"/>
  <c r="I143" i="14"/>
  <c r="J143" i="14"/>
  <c r="K143" i="14"/>
  <c r="L143" i="14"/>
  <c r="F144" i="14"/>
  <c r="G144" i="14"/>
  <c r="H144" i="14"/>
  <c r="I144" i="14"/>
  <c r="J144" i="14"/>
  <c r="K144" i="14"/>
  <c r="L144" i="14"/>
  <c r="F145" i="14"/>
  <c r="G145" i="14"/>
  <c r="H145" i="14"/>
  <c r="I145" i="14"/>
  <c r="J145" i="14"/>
  <c r="K145" i="14"/>
  <c r="L145" i="14"/>
  <c r="F146" i="14"/>
  <c r="G146" i="14"/>
  <c r="H146" i="14"/>
  <c r="I146" i="14"/>
  <c r="J146" i="14"/>
  <c r="K146" i="14"/>
  <c r="L146" i="14"/>
  <c r="F147" i="14"/>
  <c r="G147" i="14"/>
  <c r="H147" i="14"/>
  <c r="I147" i="14"/>
  <c r="J147" i="14"/>
  <c r="K147" i="14"/>
  <c r="L147" i="14"/>
  <c r="F148" i="14"/>
  <c r="G148" i="14"/>
  <c r="H148" i="14"/>
  <c r="I148" i="14"/>
  <c r="J148" i="14"/>
  <c r="K148" i="14"/>
  <c r="L148" i="14"/>
  <c r="F149" i="14"/>
  <c r="G149" i="14"/>
  <c r="H149" i="14"/>
  <c r="I149" i="14"/>
  <c r="J149" i="14"/>
  <c r="K149" i="14"/>
  <c r="L149" i="14"/>
  <c r="F150" i="14"/>
  <c r="G150" i="14"/>
  <c r="H150" i="14"/>
  <c r="I150" i="14"/>
  <c r="J150" i="14"/>
  <c r="K150" i="14"/>
  <c r="L150" i="14"/>
  <c r="F151" i="14"/>
  <c r="G151" i="14"/>
  <c r="H151" i="14"/>
  <c r="I151" i="14"/>
  <c r="J151" i="14"/>
  <c r="K151" i="14"/>
  <c r="L151" i="14"/>
  <c r="F152" i="14"/>
  <c r="G152" i="14"/>
  <c r="H152" i="14"/>
  <c r="I152" i="14"/>
  <c r="J152" i="14"/>
  <c r="K152" i="14"/>
  <c r="L152" i="14"/>
  <c r="F153" i="14"/>
  <c r="G153" i="14"/>
  <c r="H153" i="14"/>
  <c r="I153" i="14"/>
  <c r="J153" i="14"/>
  <c r="K153" i="14"/>
  <c r="L153" i="14"/>
  <c r="F154" i="14"/>
  <c r="G154" i="14"/>
  <c r="H154" i="14"/>
  <c r="I154" i="14"/>
  <c r="J154" i="14"/>
  <c r="K154" i="14"/>
  <c r="L154" i="14"/>
  <c r="F155" i="14"/>
  <c r="G155" i="14"/>
  <c r="H155" i="14"/>
  <c r="I155" i="14"/>
  <c r="J155" i="14"/>
  <c r="K155" i="14"/>
  <c r="L155" i="14"/>
  <c r="F156" i="14"/>
  <c r="G156" i="14"/>
  <c r="H156" i="14"/>
  <c r="I156" i="14"/>
  <c r="J156" i="14"/>
  <c r="K156" i="14"/>
  <c r="L156" i="14"/>
  <c r="F157" i="14"/>
  <c r="G157" i="14"/>
  <c r="H157" i="14"/>
  <c r="I157" i="14"/>
  <c r="J157" i="14"/>
  <c r="K157" i="14"/>
  <c r="L157" i="14"/>
  <c r="F158" i="14"/>
  <c r="G158" i="14"/>
  <c r="H158" i="14"/>
  <c r="I158" i="14"/>
  <c r="J158" i="14"/>
  <c r="K158" i="14"/>
  <c r="L158" i="14"/>
  <c r="F159" i="14"/>
  <c r="G159" i="14"/>
  <c r="H159" i="14"/>
  <c r="I159" i="14"/>
  <c r="J159" i="14"/>
  <c r="K159" i="14"/>
  <c r="L159" i="14"/>
  <c r="F160" i="14"/>
  <c r="G160" i="14"/>
  <c r="H160" i="14"/>
  <c r="I160" i="14"/>
  <c r="J160" i="14"/>
  <c r="K160" i="14"/>
  <c r="L160" i="14"/>
  <c r="F161" i="14"/>
  <c r="G161" i="14"/>
  <c r="H161" i="14"/>
  <c r="I161" i="14"/>
  <c r="J161" i="14"/>
  <c r="K161" i="14"/>
  <c r="L161" i="14"/>
  <c r="F162" i="14"/>
  <c r="G162" i="14"/>
  <c r="H162" i="14"/>
  <c r="I162" i="14"/>
  <c r="J162" i="14"/>
  <c r="K162" i="14"/>
  <c r="L162" i="14"/>
  <c r="F163" i="14"/>
  <c r="G163" i="14"/>
  <c r="H163" i="14"/>
  <c r="I163" i="14"/>
  <c r="J163" i="14"/>
  <c r="K163" i="14"/>
  <c r="L163" i="14"/>
  <c r="F164" i="14"/>
  <c r="G164" i="14"/>
  <c r="H164" i="14"/>
  <c r="I164" i="14"/>
  <c r="J164" i="14"/>
  <c r="K164" i="14"/>
  <c r="L164" i="14"/>
  <c r="F165" i="14"/>
  <c r="G165" i="14"/>
  <c r="H165" i="14"/>
  <c r="I165" i="14"/>
  <c r="J165" i="14"/>
  <c r="K165" i="14"/>
  <c r="L165" i="14"/>
  <c r="F166" i="14"/>
  <c r="G166" i="14"/>
  <c r="H166" i="14"/>
  <c r="I166" i="14"/>
  <c r="J166" i="14"/>
  <c r="K166" i="14"/>
  <c r="L166" i="14"/>
  <c r="F167" i="14"/>
  <c r="G167" i="14"/>
  <c r="H167" i="14"/>
  <c r="I167" i="14"/>
  <c r="J167" i="14"/>
  <c r="K167" i="14"/>
  <c r="L167" i="14"/>
  <c r="F168" i="14"/>
  <c r="G168" i="14"/>
  <c r="H168" i="14"/>
  <c r="I168" i="14"/>
  <c r="J168" i="14"/>
  <c r="K168" i="14"/>
  <c r="L168" i="14"/>
  <c r="F169" i="14"/>
  <c r="G169" i="14"/>
  <c r="H169" i="14"/>
  <c r="I169" i="14"/>
  <c r="J169" i="14"/>
  <c r="K169" i="14"/>
  <c r="L169" i="14"/>
  <c r="F170" i="14"/>
  <c r="G170" i="14"/>
  <c r="H170" i="14"/>
  <c r="I170" i="14"/>
  <c r="J170" i="14"/>
  <c r="K170" i="14"/>
  <c r="L170" i="14"/>
  <c r="F171" i="14"/>
  <c r="G171" i="14"/>
  <c r="H171" i="14"/>
  <c r="I171" i="14"/>
  <c r="J171" i="14"/>
  <c r="K171" i="14"/>
  <c r="L171" i="14"/>
  <c r="F172" i="14"/>
  <c r="G172" i="14"/>
  <c r="H172" i="14"/>
  <c r="I172" i="14"/>
  <c r="J172" i="14"/>
  <c r="K172" i="14"/>
  <c r="L172" i="14"/>
  <c r="F173" i="14"/>
  <c r="G173" i="14"/>
  <c r="H173" i="14"/>
  <c r="I173" i="14"/>
  <c r="J173" i="14"/>
  <c r="K173" i="14"/>
  <c r="L173" i="14"/>
  <c r="F174" i="14"/>
  <c r="G174" i="14"/>
  <c r="H174" i="14"/>
  <c r="I174" i="14"/>
  <c r="J174" i="14"/>
  <c r="K174" i="14"/>
  <c r="L174" i="14"/>
  <c r="F175" i="14"/>
  <c r="G175" i="14"/>
  <c r="H175" i="14"/>
  <c r="I175" i="14"/>
  <c r="J175" i="14"/>
  <c r="K175" i="14"/>
  <c r="L175" i="14"/>
  <c r="F176" i="14"/>
  <c r="G176" i="14"/>
  <c r="H176" i="14"/>
  <c r="I176" i="14"/>
  <c r="J176" i="14"/>
  <c r="K176" i="14"/>
  <c r="L176" i="14"/>
  <c r="F177" i="14"/>
  <c r="G177" i="14"/>
  <c r="H177" i="14"/>
  <c r="I177" i="14"/>
  <c r="J177" i="14"/>
  <c r="K177" i="14"/>
  <c r="L177" i="14"/>
  <c r="F178" i="14"/>
  <c r="G178" i="14"/>
  <c r="H178" i="14"/>
  <c r="I178" i="14"/>
  <c r="J178" i="14"/>
  <c r="K178" i="14"/>
  <c r="L178" i="14"/>
  <c r="F179" i="14"/>
  <c r="G179" i="14"/>
  <c r="H179" i="14"/>
  <c r="I179" i="14"/>
  <c r="J179" i="14"/>
  <c r="K179" i="14"/>
  <c r="L179" i="14"/>
  <c r="F180" i="14"/>
  <c r="G180" i="14"/>
  <c r="H180" i="14"/>
  <c r="I180" i="14"/>
  <c r="J180" i="14"/>
  <c r="K180" i="14"/>
  <c r="L180" i="14"/>
  <c r="F181" i="14"/>
  <c r="G181" i="14"/>
  <c r="H181" i="14"/>
  <c r="I181" i="14"/>
  <c r="J181" i="14"/>
  <c r="K181" i="14"/>
  <c r="L181" i="14"/>
  <c r="F182" i="14"/>
  <c r="G182" i="14"/>
  <c r="H182" i="14"/>
  <c r="I182" i="14"/>
  <c r="J182" i="14"/>
  <c r="K182" i="14"/>
  <c r="L182" i="14"/>
  <c r="F183" i="14"/>
  <c r="G183" i="14"/>
  <c r="H183" i="14"/>
  <c r="I183" i="14"/>
  <c r="J183" i="14"/>
  <c r="K183" i="14"/>
  <c r="L183" i="14"/>
  <c r="F184" i="14"/>
  <c r="G184" i="14"/>
  <c r="H184" i="14"/>
  <c r="I184" i="14"/>
  <c r="J184" i="14"/>
  <c r="K184" i="14"/>
  <c r="L184" i="14"/>
  <c r="F185" i="14"/>
  <c r="G185" i="14"/>
  <c r="H185" i="14"/>
  <c r="I185" i="14"/>
  <c r="J185" i="14"/>
  <c r="K185" i="14"/>
  <c r="L185" i="14"/>
  <c r="F186" i="14"/>
  <c r="G186" i="14"/>
  <c r="H186" i="14"/>
  <c r="I186" i="14"/>
  <c r="J186" i="14"/>
  <c r="K186" i="14"/>
  <c r="L186" i="14"/>
  <c r="F187" i="14"/>
  <c r="G187" i="14"/>
  <c r="H187" i="14"/>
  <c r="I187" i="14"/>
  <c r="J187" i="14"/>
  <c r="K187" i="14"/>
  <c r="L187" i="14"/>
  <c r="F188" i="14"/>
  <c r="G188" i="14"/>
  <c r="H188" i="14"/>
  <c r="I188" i="14"/>
  <c r="J188" i="14"/>
  <c r="K188" i="14"/>
  <c r="L188" i="14"/>
  <c r="F189" i="14"/>
  <c r="G189" i="14"/>
  <c r="H189" i="14"/>
  <c r="I189" i="14"/>
  <c r="J189" i="14"/>
  <c r="K189" i="14"/>
  <c r="L189" i="14"/>
  <c r="F190" i="14"/>
  <c r="G190" i="14"/>
  <c r="H190" i="14"/>
  <c r="I190" i="14"/>
  <c r="J190" i="14"/>
  <c r="K190" i="14"/>
  <c r="L190" i="14"/>
  <c r="F191" i="14"/>
  <c r="G191" i="14"/>
  <c r="H191" i="14"/>
  <c r="I191" i="14"/>
  <c r="J191" i="14"/>
  <c r="K191" i="14"/>
  <c r="L191" i="14"/>
  <c r="F192" i="14"/>
  <c r="G192" i="14"/>
  <c r="H192" i="14"/>
  <c r="I192" i="14"/>
  <c r="J192" i="14"/>
  <c r="K192" i="14"/>
  <c r="L192" i="14"/>
  <c r="F193" i="14"/>
  <c r="G193" i="14"/>
  <c r="H193" i="14"/>
  <c r="I193" i="14"/>
  <c r="J193" i="14"/>
  <c r="K193" i="14"/>
  <c r="L193" i="14"/>
  <c r="F194" i="14"/>
  <c r="G194" i="14"/>
  <c r="H194" i="14"/>
  <c r="I194" i="14"/>
  <c r="J194" i="14"/>
  <c r="K194" i="14"/>
  <c r="L194" i="14"/>
  <c r="F195" i="14"/>
  <c r="G195" i="14"/>
  <c r="H195" i="14"/>
  <c r="I195" i="14"/>
  <c r="J195" i="14"/>
  <c r="K195" i="14"/>
  <c r="L195" i="14"/>
  <c r="F196" i="14"/>
  <c r="G196" i="14"/>
  <c r="H196" i="14"/>
  <c r="I196" i="14"/>
  <c r="J196" i="14"/>
  <c r="K196" i="14"/>
  <c r="L196" i="14"/>
  <c r="F197" i="14"/>
  <c r="G197" i="14"/>
  <c r="H197" i="14"/>
  <c r="I197" i="14"/>
  <c r="J197" i="14"/>
  <c r="K197" i="14"/>
  <c r="L197" i="14"/>
  <c r="F198" i="14"/>
  <c r="G198" i="14"/>
  <c r="H198" i="14"/>
  <c r="I198" i="14"/>
  <c r="J198" i="14"/>
  <c r="K198" i="14"/>
  <c r="L198" i="14"/>
  <c r="F199" i="14"/>
  <c r="G199" i="14"/>
  <c r="H199" i="14"/>
  <c r="I199" i="14"/>
  <c r="J199" i="14"/>
  <c r="K199" i="14"/>
  <c r="L199" i="14"/>
  <c r="F200" i="14"/>
  <c r="G200" i="14"/>
  <c r="H200" i="14"/>
  <c r="I200" i="14"/>
  <c r="J200" i="14"/>
  <c r="K200" i="14"/>
  <c r="L200" i="14"/>
  <c r="F201" i="14"/>
  <c r="G201" i="14"/>
  <c r="H201" i="14"/>
  <c r="I201" i="14"/>
  <c r="J201" i="14"/>
  <c r="K201" i="14"/>
  <c r="L201" i="14"/>
  <c r="F202" i="14"/>
  <c r="G202" i="14"/>
  <c r="H202" i="14"/>
  <c r="I202" i="14"/>
  <c r="J202" i="14"/>
  <c r="K202" i="14"/>
  <c r="L202" i="14"/>
  <c r="F203" i="14"/>
  <c r="G203" i="14"/>
  <c r="H203" i="14"/>
  <c r="I203" i="14"/>
  <c r="J203" i="14"/>
  <c r="K203" i="14"/>
  <c r="L203" i="14"/>
  <c r="F204" i="14"/>
  <c r="G204" i="14"/>
  <c r="H204" i="14"/>
  <c r="I204" i="14"/>
  <c r="J204" i="14"/>
  <c r="K204" i="14"/>
  <c r="L204" i="14"/>
  <c r="F205" i="14"/>
  <c r="G205" i="14"/>
  <c r="H205" i="14"/>
  <c r="I205" i="14"/>
  <c r="J205" i="14"/>
  <c r="K205" i="14"/>
  <c r="L205" i="14"/>
  <c r="F206" i="14"/>
  <c r="G206" i="14"/>
  <c r="H206" i="14"/>
  <c r="I206" i="14"/>
  <c r="J206" i="14"/>
  <c r="K206" i="14"/>
  <c r="L206" i="14"/>
  <c r="F207" i="14"/>
  <c r="G207" i="14"/>
  <c r="H207" i="14"/>
  <c r="I207" i="14"/>
  <c r="J207" i="14"/>
  <c r="K207" i="14"/>
  <c r="L207" i="14"/>
  <c r="F208" i="14"/>
  <c r="G208" i="14"/>
  <c r="H208" i="14"/>
  <c r="I208" i="14"/>
  <c r="J208" i="14"/>
  <c r="K208" i="14"/>
  <c r="L208" i="14"/>
  <c r="F209" i="14"/>
  <c r="G209" i="14"/>
  <c r="H209" i="14"/>
  <c r="I209" i="14"/>
  <c r="J209" i="14"/>
  <c r="K209" i="14"/>
  <c r="L209" i="14"/>
  <c r="F210" i="14"/>
  <c r="G210" i="14"/>
  <c r="H210" i="14"/>
  <c r="I210" i="14"/>
  <c r="J210" i="14"/>
  <c r="K210" i="14"/>
  <c r="L210" i="14"/>
  <c r="F211" i="14"/>
  <c r="G211" i="14"/>
  <c r="H211" i="14"/>
  <c r="I211" i="14"/>
  <c r="J211" i="14"/>
  <c r="K211" i="14"/>
  <c r="L211" i="14"/>
  <c r="F212" i="14"/>
  <c r="G212" i="14"/>
  <c r="H212" i="14"/>
  <c r="I212" i="14"/>
  <c r="J212" i="14"/>
  <c r="K212" i="14"/>
  <c r="L212" i="14"/>
  <c r="F213" i="14"/>
  <c r="G213" i="14"/>
  <c r="H213" i="14"/>
  <c r="I213" i="14"/>
  <c r="J213" i="14"/>
  <c r="K213" i="14"/>
  <c r="L213" i="14"/>
  <c r="F214" i="14"/>
  <c r="G214" i="14"/>
  <c r="H214" i="14"/>
  <c r="I214" i="14"/>
  <c r="J214" i="14"/>
  <c r="K214" i="14"/>
  <c r="L214" i="14"/>
  <c r="F215" i="14"/>
  <c r="G215" i="14"/>
  <c r="H215" i="14"/>
  <c r="I215" i="14"/>
  <c r="J215" i="14"/>
  <c r="K215" i="14"/>
  <c r="L215" i="14"/>
  <c r="F216" i="14"/>
  <c r="G216" i="14"/>
  <c r="H216" i="14"/>
  <c r="I216" i="14"/>
  <c r="J216" i="14"/>
  <c r="K216" i="14"/>
  <c r="L216" i="14"/>
  <c r="F217" i="14"/>
  <c r="G217" i="14"/>
  <c r="H217" i="14"/>
  <c r="I217" i="14"/>
  <c r="J217" i="14"/>
  <c r="K217" i="14"/>
  <c r="L217" i="14"/>
  <c r="F218" i="14"/>
  <c r="G218" i="14"/>
  <c r="H218" i="14"/>
  <c r="I218" i="14"/>
  <c r="J218" i="14"/>
  <c r="K218" i="14"/>
  <c r="L218" i="14"/>
  <c r="F219" i="14"/>
  <c r="G219" i="14"/>
  <c r="H219" i="14"/>
  <c r="I219" i="14"/>
  <c r="J219" i="14"/>
  <c r="K219" i="14"/>
  <c r="L219" i="14"/>
  <c r="F220" i="14"/>
  <c r="G220" i="14"/>
  <c r="H220" i="14"/>
  <c r="I220" i="14"/>
  <c r="J220" i="14"/>
  <c r="K220" i="14"/>
  <c r="L220" i="14"/>
  <c r="F221" i="14"/>
  <c r="G221" i="14"/>
  <c r="H221" i="14"/>
  <c r="I221" i="14"/>
  <c r="J221" i="14"/>
  <c r="K221" i="14"/>
  <c r="L221" i="14"/>
  <c r="F222" i="14"/>
  <c r="G222" i="14"/>
  <c r="H222" i="14"/>
  <c r="I222" i="14"/>
  <c r="J222" i="14"/>
  <c r="K222" i="14"/>
  <c r="L222" i="14"/>
  <c r="F223" i="14"/>
  <c r="G223" i="14"/>
  <c r="H223" i="14"/>
  <c r="I223" i="14"/>
  <c r="J223" i="14"/>
  <c r="K223" i="14"/>
  <c r="L223" i="14"/>
  <c r="F224" i="14"/>
  <c r="G224" i="14"/>
  <c r="H224" i="14"/>
  <c r="I224" i="14"/>
  <c r="J224" i="14"/>
  <c r="K224" i="14"/>
  <c r="L224" i="14"/>
  <c r="F225" i="14"/>
  <c r="G225" i="14"/>
  <c r="H225" i="14"/>
  <c r="I225" i="14"/>
  <c r="J225" i="14"/>
  <c r="K225" i="14"/>
  <c r="L225" i="14"/>
  <c r="F226" i="14"/>
  <c r="G226" i="14"/>
  <c r="H226" i="14"/>
  <c r="I226" i="14"/>
  <c r="J226" i="14"/>
  <c r="K226" i="14"/>
  <c r="L226" i="14"/>
  <c r="F227" i="14"/>
  <c r="G227" i="14"/>
  <c r="H227" i="14"/>
  <c r="I227" i="14"/>
  <c r="J227" i="14"/>
  <c r="K227" i="14"/>
  <c r="L227" i="14"/>
  <c r="F228" i="14"/>
  <c r="G228" i="14"/>
  <c r="H228" i="14"/>
  <c r="I228" i="14"/>
  <c r="J228" i="14"/>
  <c r="K228" i="14"/>
  <c r="L228" i="14"/>
  <c r="F229" i="14"/>
  <c r="G229" i="14"/>
  <c r="H229" i="14"/>
  <c r="I229" i="14"/>
  <c r="J229" i="14"/>
  <c r="K229" i="14"/>
  <c r="L229" i="14"/>
  <c r="F230" i="14"/>
  <c r="G230" i="14"/>
  <c r="H230" i="14"/>
  <c r="I230" i="14"/>
  <c r="J230" i="14"/>
  <c r="K230" i="14"/>
  <c r="L230" i="14"/>
  <c r="F231" i="14"/>
  <c r="G231" i="14"/>
  <c r="H231" i="14"/>
  <c r="I231" i="14"/>
  <c r="J231" i="14"/>
  <c r="K231" i="14"/>
  <c r="L231" i="14"/>
  <c r="F232" i="14"/>
  <c r="G232" i="14"/>
  <c r="H232" i="14"/>
  <c r="I232" i="14"/>
  <c r="J232" i="14"/>
  <c r="K232" i="14"/>
  <c r="L232" i="14"/>
  <c r="F233" i="14"/>
  <c r="G233" i="14"/>
  <c r="H233" i="14"/>
  <c r="I233" i="14"/>
  <c r="J233" i="14"/>
  <c r="K233" i="14"/>
  <c r="L233" i="14"/>
  <c r="F234" i="14"/>
  <c r="G234" i="14"/>
  <c r="H234" i="14"/>
  <c r="I234" i="14"/>
  <c r="J234" i="14"/>
  <c r="K234" i="14"/>
  <c r="L234" i="14"/>
  <c r="F235" i="14"/>
  <c r="G235" i="14"/>
  <c r="H235" i="14"/>
  <c r="I235" i="14"/>
  <c r="J235" i="14"/>
  <c r="K235" i="14"/>
  <c r="L235" i="14"/>
  <c r="F236" i="14"/>
  <c r="G236" i="14"/>
  <c r="H236" i="14"/>
  <c r="I236" i="14"/>
  <c r="J236" i="14"/>
  <c r="K236" i="14"/>
  <c r="L236" i="14"/>
  <c r="F237" i="14"/>
  <c r="G237" i="14"/>
  <c r="H237" i="14"/>
  <c r="I237" i="14"/>
  <c r="J237" i="14"/>
  <c r="K237" i="14"/>
  <c r="L237" i="14"/>
  <c r="F238" i="14"/>
  <c r="G238" i="14"/>
  <c r="H238" i="14"/>
  <c r="I238" i="14"/>
  <c r="J238" i="14"/>
  <c r="K238" i="14"/>
  <c r="L238" i="14"/>
  <c r="F239" i="14"/>
  <c r="G239" i="14"/>
  <c r="H239" i="14"/>
  <c r="I239" i="14"/>
  <c r="J239" i="14"/>
  <c r="K239" i="14"/>
  <c r="L239" i="14"/>
  <c r="F240" i="14"/>
  <c r="G240" i="14"/>
  <c r="H240" i="14"/>
  <c r="I240" i="14"/>
  <c r="J240" i="14"/>
  <c r="K240" i="14"/>
  <c r="L240" i="14"/>
  <c r="F241" i="14"/>
  <c r="G241" i="14"/>
  <c r="H241" i="14"/>
  <c r="I241" i="14"/>
  <c r="J241" i="14"/>
  <c r="K241" i="14"/>
  <c r="L241" i="14"/>
  <c r="F242" i="14"/>
  <c r="G242" i="14"/>
  <c r="H242" i="14"/>
  <c r="I242" i="14"/>
  <c r="J242" i="14"/>
  <c r="K242" i="14"/>
  <c r="L242" i="14"/>
  <c r="F243" i="14"/>
  <c r="G243" i="14"/>
  <c r="H243" i="14"/>
  <c r="I243" i="14"/>
  <c r="J243" i="14"/>
  <c r="K243" i="14"/>
  <c r="L243" i="14"/>
  <c r="F244" i="14"/>
  <c r="G244" i="14"/>
  <c r="H244" i="14"/>
  <c r="I244" i="14"/>
  <c r="J244" i="14"/>
  <c r="K244" i="14"/>
  <c r="L244" i="14"/>
  <c r="F245" i="14"/>
  <c r="G245" i="14"/>
  <c r="H245" i="14"/>
  <c r="I245" i="14"/>
  <c r="J245" i="14"/>
  <c r="K245" i="14"/>
  <c r="L245" i="14"/>
  <c r="F246" i="14"/>
  <c r="G246" i="14"/>
  <c r="H246" i="14"/>
  <c r="I246" i="14"/>
  <c r="J246" i="14"/>
  <c r="K246" i="14"/>
  <c r="L246" i="14"/>
  <c r="F247" i="14"/>
  <c r="G247" i="14"/>
  <c r="H247" i="14"/>
  <c r="I247" i="14"/>
  <c r="J247" i="14"/>
  <c r="K247" i="14"/>
  <c r="L247" i="14"/>
  <c r="F248" i="14"/>
  <c r="G248" i="14"/>
  <c r="H248" i="14"/>
  <c r="I248" i="14"/>
  <c r="J248" i="14"/>
  <c r="K248" i="14"/>
  <c r="L248" i="14"/>
  <c r="F249" i="14"/>
  <c r="G249" i="14"/>
  <c r="H249" i="14"/>
  <c r="I249" i="14"/>
  <c r="J249" i="14"/>
  <c r="K249" i="14"/>
  <c r="L249" i="14"/>
  <c r="F250" i="14"/>
  <c r="G250" i="14"/>
  <c r="H250" i="14"/>
  <c r="I250" i="14"/>
  <c r="J250" i="14"/>
  <c r="K250" i="14"/>
  <c r="L250" i="14"/>
  <c r="F251" i="14"/>
  <c r="G251" i="14"/>
  <c r="H251" i="14"/>
  <c r="I251" i="14"/>
  <c r="J251" i="14"/>
  <c r="K251" i="14"/>
  <c r="L251" i="14"/>
  <c r="F252" i="14"/>
  <c r="G252" i="14"/>
  <c r="H252" i="14"/>
  <c r="I252" i="14"/>
  <c r="J252" i="14"/>
  <c r="K252" i="14"/>
  <c r="L252" i="14"/>
  <c r="F253" i="14"/>
  <c r="G253" i="14"/>
  <c r="H253" i="14"/>
  <c r="I253" i="14"/>
  <c r="J253" i="14"/>
  <c r="K253" i="14"/>
  <c r="L253" i="14"/>
  <c r="F254" i="14"/>
  <c r="G254" i="14"/>
  <c r="H254" i="14"/>
  <c r="I254" i="14"/>
  <c r="J254" i="14"/>
  <c r="K254" i="14"/>
  <c r="L254" i="14"/>
  <c r="F255" i="14"/>
  <c r="G255" i="14"/>
  <c r="H255" i="14"/>
  <c r="I255" i="14"/>
  <c r="J255" i="14"/>
  <c r="K255" i="14"/>
  <c r="L255" i="14"/>
  <c r="F256" i="14"/>
  <c r="G256" i="14"/>
  <c r="H256" i="14"/>
  <c r="I256" i="14"/>
  <c r="J256" i="14"/>
  <c r="K256" i="14"/>
  <c r="L256" i="14"/>
  <c r="F257" i="14"/>
  <c r="G257" i="14"/>
  <c r="H257" i="14"/>
  <c r="I257" i="14"/>
  <c r="J257" i="14"/>
  <c r="K257" i="14"/>
  <c r="L257" i="14"/>
  <c r="F258" i="14"/>
  <c r="G258" i="14"/>
  <c r="H258" i="14"/>
  <c r="I258" i="14"/>
  <c r="J258" i="14"/>
  <c r="K258" i="14"/>
  <c r="L258" i="14"/>
  <c r="F259" i="14"/>
  <c r="G259" i="14"/>
  <c r="H259" i="14"/>
  <c r="I259" i="14"/>
  <c r="J259" i="14"/>
  <c r="K259" i="14"/>
  <c r="L259" i="14"/>
  <c r="F260" i="14"/>
  <c r="G260" i="14"/>
  <c r="H260" i="14"/>
  <c r="I260" i="14"/>
  <c r="J260" i="14"/>
  <c r="K260" i="14"/>
  <c r="L260" i="14"/>
  <c r="F261" i="14"/>
  <c r="G261" i="14"/>
  <c r="H261" i="14"/>
  <c r="I261" i="14"/>
  <c r="J261" i="14"/>
  <c r="K261" i="14"/>
  <c r="L261" i="14"/>
  <c r="F262" i="14"/>
  <c r="G262" i="14"/>
  <c r="H262" i="14"/>
  <c r="I262" i="14"/>
  <c r="J262" i="14"/>
  <c r="K262" i="14"/>
  <c r="L262" i="14"/>
  <c r="F263" i="14"/>
  <c r="G263" i="14"/>
  <c r="H263" i="14"/>
  <c r="I263" i="14"/>
  <c r="J263" i="14"/>
  <c r="K263" i="14"/>
  <c r="L263" i="14"/>
  <c r="F264" i="14"/>
  <c r="G264" i="14"/>
  <c r="H264" i="14"/>
  <c r="I264" i="14"/>
  <c r="J264" i="14"/>
  <c r="K264" i="14"/>
  <c r="L264" i="14"/>
  <c r="F265" i="14"/>
  <c r="G265" i="14"/>
  <c r="H265" i="14"/>
  <c r="I265" i="14"/>
  <c r="J265" i="14"/>
  <c r="K265" i="14"/>
  <c r="L265" i="14"/>
  <c r="F266" i="14"/>
  <c r="G266" i="14"/>
  <c r="H266" i="14"/>
  <c r="I266" i="14"/>
  <c r="J266" i="14"/>
  <c r="K266" i="14"/>
  <c r="L266" i="14"/>
  <c r="F267" i="14"/>
  <c r="G267" i="14"/>
  <c r="H267" i="14"/>
  <c r="I267" i="14"/>
  <c r="J267" i="14"/>
  <c r="K267" i="14"/>
  <c r="L267" i="14"/>
  <c r="F268" i="14"/>
  <c r="G268" i="14"/>
  <c r="H268" i="14"/>
  <c r="I268" i="14"/>
  <c r="J268" i="14"/>
  <c r="K268" i="14"/>
  <c r="L268" i="14"/>
  <c r="F269" i="14"/>
  <c r="G269" i="14"/>
  <c r="H269" i="14"/>
  <c r="I269" i="14"/>
  <c r="J269" i="14"/>
  <c r="K269" i="14"/>
  <c r="L269" i="14"/>
  <c r="F270" i="14"/>
  <c r="G270" i="14"/>
  <c r="H270" i="14"/>
  <c r="I270" i="14"/>
  <c r="J270" i="14"/>
  <c r="K270" i="14"/>
  <c r="L270" i="14"/>
  <c r="F271" i="14"/>
  <c r="G271" i="14"/>
  <c r="H271" i="14"/>
  <c r="I271" i="14"/>
  <c r="J271" i="14"/>
  <c r="K271" i="14"/>
  <c r="L271" i="14"/>
  <c r="F272" i="14"/>
  <c r="G272" i="14"/>
  <c r="H272" i="14"/>
  <c r="I272" i="14"/>
  <c r="J272" i="14"/>
  <c r="K272" i="14"/>
  <c r="L272" i="14"/>
  <c r="F273" i="14"/>
  <c r="G273" i="14"/>
  <c r="H273" i="14"/>
  <c r="I273" i="14"/>
  <c r="J273" i="14"/>
  <c r="K273" i="14"/>
  <c r="L273" i="14"/>
  <c r="F274" i="14"/>
  <c r="G274" i="14"/>
  <c r="H274" i="14"/>
  <c r="I274" i="14"/>
  <c r="J274" i="14"/>
  <c r="K274" i="14"/>
  <c r="L274" i="14"/>
  <c r="F275" i="14"/>
  <c r="G275" i="14"/>
  <c r="H275" i="14"/>
  <c r="I275" i="14"/>
  <c r="J275" i="14"/>
  <c r="K275" i="14"/>
  <c r="L275" i="14"/>
  <c r="F276" i="14"/>
  <c r="G276" i="14"/>
  <c r="H276" i="14"/>
  <c r="I276" i="14"/>
  <c r="J276" i="14"/>
  <c r="K276" i="14"/>
  <c r="L276" i="14"/>
  <c r="F277" i="14"/>
  <c r="G277" i="14"/>
  <c r="H277" i="14"/>
  <c r="I277" i="14"/>
  <c r="J277" i="14"/>
  <c r="K277" i="14"/>
  <c r="L277" i="14"/>
  <c r="F278" i="14"/>
  <c r="G278" i="14"/>
  <c r="H278" i="14"/>
  <c r="I278" i="14"/>
  <c r="J278" i="14"/>
  <c r="K278" i="14"/>
  <c r="L278" i="14"/>
  <c r="F279" i="14"/>
  <c r="G279" i="14"/>
  <c r="H279" i="14"/>
  <c r="I279" i="14"/>
  <c r="J279" i="14"/>
  <c r="K279" i="14"/>
  <c r="L279" i="14"/>
  <c r="F280" i="14"/>
  <c r="G280" i="14"/>
  <c r="H280" i="14"/>
  <c r="I280" i="14"/>
  <c r="J280" i="14"/>
  <c r="K280" i="14"/>
  <c r="L280" i="14"/>
  <c r="F281" i="14"/>
  <c r="G281" i="14"/>
  <c r="H281" i="14"/>
  <c r="I281" i="14"/>
  <c r="J281" i="14"/>
  <c r="K281" i="14"/>
  <c r="L281" i="14"/>
  <c r="F282" i="14"/>
  <c r="G282" i="14"/>
  <c r="H282" i="14"/>
  <c r="I282" i="14"/>
  <c r="J282" i="14"/>
  <c r="K282" i="14"/>
  <c r="L282" i="14"/>
  <c r="F283" i="14"/>
  <c r="G283" i="14"/>
  <c r="H283" i="14"/>
  <c r="I283" i="14"/>
  <c r="J283" i="14"/>
  <c r="K283" i="14"/>
  <c r="L283" i="14"/>
  <c r="F284" i="14"/>
  <c r="G284" i="14"/>
  <c r="H284" i="14"/>
  <c r="I284" i="14"/>
  <c r="J284" i="14"/>
  <c r="K284" i="14"/>
  <c r="L284" i="14"/>
  <c r="F285" i="14"/>
  <c r="G285" i="14"/>
  <c r="H285" i="14"/>
  <c r="I285" i="14"/>
  <c r="J285" i="14"/>
  <c r="K285" i="14"/>
  <c r="L285" i="14"/>
  <c r="F286" i="14"/>
  <c r="G286" i="14"/>
  <c r="H286" i="14"/>
  <c r="I286" i="14"/>
  <c r="J286" i="14"/>
  <c r="K286" i="14"/>
  <c r="L286" i="14"/>
  <c r="F287" i="14"/>
  <c r="G287" i="14"/>
  <c r="H287" i="14"/>
  <c r="I287" i="14"/>
  <c r="J287" i="14"/>
  <c r="K287" i="14"/>
  <c r="L287" i="14"/>
  <c r="F288" i="14"/>
  <c r="G288" i="14"/>
  <c r="H288" i="14"/>
  <c r="I288" i="14"/>
  <c r="J288" i="14"/>
  <c r="K288" i="14"/>
  <c r="L288" i="14"/>
  <c r="F289" i="14"/>
  <c r="G289" i="14"/>
  <c r="H289" i="14"/>
  <c r="I289" i="14"/>
  <c r="J289" i="14"/>
  <c r="K289" i="14"/>
  <c r="L289" i="14"/>
  <c r="F290" i="14"/>
  <c r="G290" i="14"/>
  <c r="H290" i="14"/>
  <c r="I290" i="14"/>
  <c r="J290" i="14"/>
  <c r="K290" i="14"/>
  <c r="L290" i="14"/>
  <c r="F291" i="14"/>
  <c r="G291" i="14"/>
  <c r="H291" i="14"/>
  <c r="I291" i="14"/>
  <c r="J291" i="14"/>
  <c r="K291" i="14"/>
  <c r="L291" i="14"/>
  <c r="F292" i="14"/>
  <c r="G292" i="14"/>
  <c r="H292" i="14"/>
  <c r="I292" i="14"/>
  <c r="J292" i="14"/>
  <c r="K292" i="14"/>
  <c r="L292" i="14"/>
  <c r="F293" i="14"/>
  <c r="G293" i="14"/>
  <c r="H293" i="14"/>
  <c r="I293" i="14"/>
  <c r="J293" i="14"/>
  <c r="K293" i="14"/>
  <c r="L293" i="14"/>
  <c r="F294" i="14"/>
  <c r="G294" i="14"/>
  <c r="H294" i="14"/>
  <c r="I294" i="14"/>
  <c r="J294" i="14"/>
  <c r="K294" i="14"/>
  <c r="L294" i="14"/>
  <c r="F295" i="14"/>
  <c r="G295" i="14"/>
  <c r="H295" i="14"/>
  <c r="I295" i="14"/>
  <c r="J295" i="14"/>
  <c r="K295" i="14"/>
  <c r="L295" i="14"/>
  <c r="F296" i="14"/>
  <c r="G296" i="14"/>
  <c r="H296" i="14"/>
  <c r="I296" i="14"/>
  <c r="J296" i="14"/>
  <c r="K296" i="14"/>
  <c r="L296" i="14"/>
  <c r="F297" i="14"/>
  <c r="G297" i="14"/>
  <c r="H297" i="14"/>
  <c r="I297" i="14"/>
  <c r="J297" i="14"/>
  <c r="K297" i="14"/>
  <c r="L297" i="14"/>
  <c r="F298" i="14"/>
  <c r="G298" i="14"/>
  <c r="H298" i="14"/>
  <c r="I298" i="14"/>
  <c r="J298" i="14"/>
  <c r="K298" i="14"/>
  <c r="L298" i="14"/>
  <c r="F299" i="14"/>
  <c r="G299" i="14"/>
  <c r="H299" i="14"/>
  <c r="I299" i="14"/>
  <c r="J299" i="14"/>
  <c r="K299" i="14"/>
  <c r="L299" i="14"/>
  <c r="F300" i="14"/>
  <c r="G300" i="14"/>
  <c r="H300" i="14"/>
  <c r="I300" i="14"/>
  <c r="J300" i="14"/>
  <c r="K300" i="14"/>
  <c r="L300" i="14"/>
  <c r="F301" i="14"/>
  <c r="G301" i="14"/>
  <c r="H301" i="14"/>
  <c r="I301" i="14"/>
  <c r="J301" i="14"/>
  <c r="K301" i="14"/>
  <c r="L301" i="14"/>
  <c r="F302" i="14"/>
  <c r="G302" i="14"/>
  <c r="H302" i="14"/>
  <c r="I302" i="14"/>
  <c r="J302" i="14"/>
  <c r="K302" i="14"/>
  <c r="L302" i="14"/>
  <c r="F303" i="14"/>
  <c r="G303" i="14"/>
  <c r="H303" i="14"/>
  <c r="I303" i="14"/>
  <c r="J303" i="14"/>
  <c r="K303" i="14"/>
  <c r="L303" i="14"/>
  <c r="F304" i="14"/>
  <c r="G304" i="14"/>
  <c r="H304" i="14"/>
  <c r="I304" i="14"/>
  <c r="J304" i="14"/>
  <c r="K304" i="14"/>
  <c r="L304" i="14"/>
  <c r="F305" i="14"/>
  <c r="G305" i="14"/>
  <c r="H305" i="14"/>
  <c r="I305" i="14"/>
  <c r="J305" i="14"/>
  <c r="K305" i="14"/>
  <c r="L305" i="14"/>
  <c r="F306" i="14"/>
  <c r="G306" i="14"/>
  <c r="H306" i="14"/>
  <c r="I306" i="14"/>
  <c r="J306" i="14"/>
  <c r="K306" i="14"/>
  <c r="L306" i="14"/>
  <c r="F307" i="14"/>
  <c r="G307" i="14"/>
  <c r="H307" i="14"/>
  <c r="I307" i="14"/>
  <c r="J307" i="14"/>
  <c r="K307" i="14"/>
  <c r="L307" i="14"/>
  <c r="F308" i="14"/>
  <c r="G308" i="14"/>
  <c r="H308" i="14"/>
  <c r="I308" i="14"/>
  <c r="J308" i="14"/>
  <c r="K308" i="14"/>
  <c r="L308" i="14"/>
  <c r="F309" i="14"/>
  <c r="G309" i="14"/>
  <c r="H309" i="14"/>
  <c r="I309" i="14"/>
  <c r="J309" i="14"/>
  <c r="K309" i="14"/>
  <c r="L309" i="14"/>
  <c r="F310" i="14"/>
  <c r="G310" i="14"/>
  <c r="H310" i="14"/>
  <c r="I310" i="14"/>
  <c r="J310" i="14"/>
  <c r="K310" i="14"/>
  <c r="L310" i="14"/>
  <c r="F311" i="14"/>
  <c r="G311" i="14"/>
  <c r="H311" i="14"/>
  <c r="I311" i="14"/>
  <c r="J311" i="14"/>
  <c r="K311" i="14"/>
  <c r="L311" i="14"/>
  <c r="F312" i="14"/>
  <c r="G312" i="14"/>
  <c r="H312" i="14"/>
  <c r="I312" i="14"/>
  <c r="J312" i="14"/>
  <c r="K312" i="14"/>
  <c r="L312" i="14"/>
  <c r="F313" i="14"/>
  <c r="G313" i="14"/>
  <c r="H313" i="14"/>
  <c r="I313" i="14"/>
  <c r="J313" i="14"/>
  <c r="K313" i="14"/>
  <c r="L313" i="14"/>
  <c r="F314" i="14"/>
  <c r="G314" i="14"/>
  <c r="H314" i="14"/>
  <c r="I314" i="14"/>
  <c r="J314" i="14"/>
  <c r="K314" i="14"/>
  <c r="L314" i="14"/>
  <c r="F315" i="14"/>
  <c r="G315" i="14"/>
  <c r="H315" i="14"/>
  <c r="I315" i="14"/>
  <c r="J315" i="14"/>
  <c r="K315" i="14"/>
  <c r="L315" i="14"/>
  <c r="F316" i="14"/>
  <c r="G316" i="14"/>
  <c r="H316" i="14"/>
  <c r="I316" i="14"/>
  <c r="J316" i="14"/>
  <c r="K316" i="14"/>
  <c r="L316" i="14"/>
  <c r="F317" i="14"/>
  <c r="G317" i="14"/>
  <c r="H317" i="14"/>
  <c r="I317" i="14"/>
  <c r="J317" i="14"/>
  <c r="K317" i="14"/>
  <c r="L317" i="14"/>
  <c r="F318" i="14"/>
  <c r="G318" i="14"/>
  <c r="H318" i="14"/>
  <c r="I318" i="14"/>
  <c r="J318" i="14"/>
  <c r="K318" i="14"/>
  <c r="L318" i="14"/>
  <c r="F319" i="14"/>
  <c r="G319" i="14"/>
  <c r="H319" i="14"/>
  <c r="I319" i="14"/>
  <c r="J319" i="14"/>
  <c r="K319" i="14"/>
  <c r="L319" i="14"/>
  <c r="F320" i="14"/>
  <c r="G320" i="14"/>
  <c r="H320" i="14"/>
  <c r="I320" i="14"/>
  <c r="J320" i="14"/>
  <c r="K320" i="14"/>
  <c r="L320" i="14"/>
  <c r="F321" i="14"/>
  <c r="G321" i="14"/>
  <c r="H321" i="14"/>
  <c r="I321" i="14"/>
  <c r="J321" i="14"/>
  <c r="K321" i="14"/>
  <c r="L321" i="14"/>
  <c r="F322" i="14"/>
  <c r="G322" i="14"/>
  <c r="H322" i="14"/>
  <c r="I322" i="14"/>
  <c r="J322" i="14"/>
  <c r="K322" i="14"/>
  <c r="L322" i="14"/>
  <c r="F323" i="14"/>
  <c r="G323" i="14"/>
  <c r="H323" i="14"/>
  <c r="I323" i="14"/>
  <c r="J323" i="14"/>
  <c r="K323" i="14"/>
  <c r="L323" i="14"/>
  <c r="F324" i="14"/>
  <c r="G324" i="14"/>
  <c r="H324" i="14"/>
  <c r="I324" i="14"/>
  <c r="J324" i="14"/>
  <c r="K324" i="14"/>
  <c r="L324" i="14"/>
  <c r="F325" i="14"/>
  <c r="G325" i="14"/>
  <c r="H325" i="14"/>
  <c r="I325" i="14"/>
  <c r="J325" i="14"/>
  <c r="K325" i="14"/>
  <c r="L325" i="14"/>
  <c r="F326" i="14"/>
  <c r="G326" i="14"/>
  <c r="H326" i="14"/>
  <c r="I326" i="14"/>
  <c r="J326" i="14"/>
  <c r="K326" i="14"/>
  <c r="L326" i="14"/>
  <c r="F327" i="14"/>
  <c r="G327" i="14"/>
  <c r="H327" i="14"/>
  <c r="I327" i="14"/>
  <c r="J327" i="14"/>
  <c r="K327" i="14"/>
  <c r="L327" i="14"/>
  <c r="F328" i="14"/>
  <c r="G328" i="14"/>
  <c r="H328" i="14"/>
  <c r="I328" i="14"/>
  <c r="J328" i="14"/>
  <c r="K328" i="14"/>
  <c r="L328" i="14"/>
  <c r="F329" i="14"/>
  <c r="G329" i="14"/>
  <c r="H329" i="14"/>
  <c r="I329" i="14"/>
  <c r="J329" i="14"/>
  <c r="K329" i="14"/>
  <c r="L329" i="14"/>
  <c r="F330" i="14"/>
  <c r="G330" i="14"/>
  <c r="H330" i="14"/>
  <c r="I330" i="14"/>
  <c r="J330" i="14"/>
  <c r="K330" i="14"/>
  <c r="L330" i="14"/>
  <c r="F331" i="14"/>
  <c r="G331" i="14"/>
  <c r="H331" i="14"/>
  <c r="I331" i="14"/>
  <c r="J331" i="14"/>
  <c r="K331" i="14"/>
  <c r="L331" i="14"/>
  <c r="F332" i="14"/>
  <c r="G332" i="14"/>
  <c r="H332" i="14"/>
  <c r="I332" i="14"/>
  <c r="J332" i="14"/>
  <c r="K332" i="14"/>
  <c r="L332" i="14"/>
  <c r="F333" i="14"/>
  <c r="G333" i="14"/>
  <c r="H333" i="14"/>
  <c r="I333" i="14"/>
  <c r="J333" i="14"/>
  <c r="K333" i="14"/>
  <c r="L333" i="14"/>
  <c r="F334" i="14"/>
  <c r="G334" i="14"/>
  <c r="H334" i="14"/>
  <c r="I334" i="14"/>
  <c r="J334" i="14"/>
  <c r="K334" i="14"/>
  <c r="L334" i="14"/>
  <c r="F335" i="14"/>
  <c r="G335" i="14"/>
  <c r="H335" i="14"/>
  <c r="I335" i="14"/>
  <c r="J335" i="14"/>
  <c r="K335" i="14"/>
  <c r="L335" i="14"/>
  <c r="F336" i="14"/>
  <c r="G336" i="14"/>
  <c r="H336" i="14"/>
  <c r="I336" i="14"/>
  <c r="J336" i="14"/>
  <c r="K336" i="14"/>
  <c r="L336" i="14"/>
  <c r="F337" i="14"/>
  <c r="G337" i="14"/>
  <c r="H337" i="14"/>
  <c r="I337" i="14"/>
  <c r="J337" i="14"/>
  <c r="K337" i="14"/>
  <c r="L337" i="14"/>
  <c r="F338" i="14"/>
  <c r="G338" i="14"/>
  <c r="H338" i="14"/>
  <c r="I338" i="14"/>
  <c r="J338" i="14"/>
  <c r="K338" i="14"/>
  <c r="L338" i="14"/>
  <c r="F339" i="14"/>
  <c r="G339" i="14"/>
  <c r="H339" i="14"/>
  <c r="I339" i="14"/>
  <c r="J339" i="14"/>
  <c r="K339" i="14"/>
  <c r="L339" i="14"/>
  <c r="F340" i="14"/>
  <c r="G340" i="14"/>
  <c r="H340" i="14"/>
  <c r="I340" i="14"/>
  <c r="J340" i="14"/>
  <c r="K340" i="14"/>
  <c r="L340" i="14"/>
  <c r="F341" i="14"/>
  <c r="G341" i="14"/>
  <c r="H341" i="14"/>
  <c r="I341" i="14"/>
  <c r="J341" i="14"/>
  <c r="K341" i="14"/>
  <c r="L341" i="14"/>
  <c r="F342" i="14"/>
  <c r="G342" i="14"/>
  <c r="H342" i="14"/>
  <c r="I342" i="14"/>
  <c r="J342" i="14"/>
  <c r="K342" i="14"/>
  <c r="L342" i="14"/>
  <c r="F343" i="14"/>
  <c r="G343" i="14"/>
  <c r="H343" i="14"/>
  <c r="I343" i="14"/>
  <c r="J343" i="14"/>
  <c r="K343" i="14"/>
  <c r="L343" i="14"/>
  <c r="F344" i="14"/>
  <c r="G344" i="14"/>
  <c r="H344" i="14"/>
  <c r="I344" i="14"/>
  <c r="J344" i="14"/>
  <c r="K344" i="14"/>
  <c r="L344" i="14"/>
  <c r="F345" i="14"/>
  <c r="G345" i="14"/>
  <c r="H345" i="14"/>
  <c r="I345" i="14"/>
  <c r="J345" i="14"/>
  <c r="K345" i="14"/>
  <c r="L345" i="14"/>
  <c r="F346" i="14"/>
  <c r="G346" i="14"/>
  <c r="H346" i="14"/>
  <c r="I346" i="14"/>
  <c r="J346" i="14"/>
  <c r="K346" i="14"/>
  <c r="L346" i="14"/>
  <c r="F347" i="14"/>
  <c r="G347" i="14"/>
  <c r="H347" i="14"/>
  <c r="I347" i="14"/>
  <c r="J347" i="14"/>
  <c r="K347" i="14"/>
  <c r="L347" i="14"/>
  <c r="F348" i="14"/>
  <c r="G348" i="14"/>
  <c r="H348" i="14"/>
  <c r="I348" i="14"/>
  <c r="J348" i="14"/>
  <c r="K348" i="14"/>
  <c r="L348" i="14"/>
  <c r="F349" i="14"/>
  <c r="G349" i="14"/>
  <c r="H349" i="14"/>
  <c r="I349" i="14"/>
  <c r="J349" i="14"/>
  <c r="K349" i="14"/>
  <c r="L349" i="14"/>
  <c r="F350" i="14"/>
  <c r="G350" i="14"/>
  <c r="H350" i="14"/>
  <c r="I350" i="14"/>
  <c r="J350" i="14"/>
  <c r="K350" i="14"/>
  <c r="L350" i="14"/>
  <c r="F351" i="14"/>
  <c r="G351" i="14"/>
  <c r="H351" i="14"/>
  <c r="I351" i="14"/>
  <c r="J351" i="14"/>
  <c r="K351" i="14"/>
  <c r="L351" i="14"/>
  <c r="F352" i="14"/>
  <c r="G352" i="14"/>
  <c r="H352" i="14"/>
  <c r="I352" i="14"/>
  <c r="J352" i="14"/>
  <c r="K352" i="14"/>
  <c r="L352" i="14"/>
  <c r="F353" i="14"/>
  <c r="G353" i="14"/>
  <c r="H353" i="14"/>
  <c r="I353" i="14"/>
  <c r="J353" i="14"/>
  <c r="K353" i="14"/>
  <c r="L353" i="14"/>
  <c r="F354" i="14"/>
  <c r="G354" i="14"/>
  <c r="H354" i="14"/>
  <c r="I354" i="14"/>
  <c r="J354" i="14"/>
  <c r="K354" i="14"/>
  <c r="L354" i="14"/>
  <c r="F355" i="14"/>
  <c r="G355" i="14"/>
  <c r="H355" i="14"/>
  <c r="I355" i="14"/>
  <c r="J355" i="14"/>
  <c r="K355" i="14"/>
  <c r="L355" i="14"/>
  <c r="F356" i="14"/>
  <c r="G356" i="14"/>
  <c r="H356" i="14"/>
  <c r="I356" i="14"/>
  <c r="J356" i="14"/>
  <c r="K356" i="14"/>
  <c r="L356" i="14"/>
  <c r="F357" i="14"/>
  <c r="G357" i="14"/>
  <c r="H357" i="14"/>
  <c r="I357" i="14"/>
  <c r="J357" i="14"/>
  <c r="K357" i="14"/>
  <c r="L357" i="14"/>
  <c r="F358" i="14"/>
  <c r="G358" i="14"/>
  <c r="H358" i="14"/>
  <c r="I358" i="14"/>
  <c r="J358" i="14"/>
  <c r="K358" i="14"/>
  <c r="L358" i="14"/>
  <c r="F359" i="14"/>
  <c r="G359" i="14"/>
  <c r="H359" i="14"/>
  <c r="I359" i="14"/>
  <c r="J359" i="14"/>
  <c r="K359" i="14"/>
  <c r="L359" i="14"/>
  <c r="F360" i="14"/>
  <c r="G360" i="14"/>
  <c r="H360" i="14"/>
  <c r="I360" i="14"/>
  <c r="J360" i="14"/>
  <c r="K360" i="14"/>
  <c r="L360" i="14"/>
  <c r="F361" i="14"/>
  <c r="G361" i="14"/>
  <c r="H361" i="14"/>
  <c r="I361" i="14"/>
  <c r="J361" i="14"/>
  <c r="K361" i="14"/>
  <c r="L361" i="14"/>
  <c r="F362" i="14"/>
  <c r="G362" i="14"/>
  <c r="H362" i="14"/>
  <c r="I362" i="14"/>
  <c r="J362" i="14"/>
  <c r="K362" i="14"/>
  <c r="L362" i="14"/>
  <c r="F363" i="14"/>
  <c r="G363" i="14"/>
  <c r="H363" i="14"/>
  <c r="I363" i="14"/>
  <c r="J363" i="14"/>
  <c r="K363" i="14"/>
  <c r="L363" i="14"/>
  <c r="F364" i="14"/>
  <c r="G364" i="14"/>
  <c r="H364" i="14"/>
  <c r="I364" i="14"/>
  <c r="J364" i="14"/>
  <c r="K364" i="14"/>
  <c r="L364" i="14"/>
  <c r="F365" i="14"/>
  <c r="G365" i="14"/>
  <c r="H365" i="14"/>
  <c r="I365" i="14"/>
  <c r="J365" i="14"/>
  <c r="K365" i="14"/>
  <c r="L365" i="14"/>
  <c r="F366" i="14"/>
  <c r="G366" i="14"/>
  <c r="H366" i="14"/>
  <c r="I366" i="14"/>
  <c r="J366" i="14"/>
  <c r="K366" i="14"/>
  <c r="L366" i="14"/>
  <c r="F367" i="14"/>
  <c r="G367" i="14"/>
  <c r="H367" i="14"/>
  <c r="I367" i="14"/>
  <c r="J367" i="14"/>
  <c r="K367" i="14"/>
  <c r="L367" i="14"/>
  <c r="F368" i="14"/>
  <c r="G368" i="14"/>
  <c r="H368" i="14"/>
  <c r="I368" i="14"/>
  <c r="J368" i="14"/>
  <c r="K368" i="14"/>
  <c r="L368" i="14"/>
  <c r="F369" i="14"/>
  <c r="G369" i="14"/>
  <c r="H369" i="14"/>
  <c r="I369" i="14"/>
  <c r="J369" i="14"/>
  <c r="K369" i="14"/>
  <c r="L369" i="14"/>
  <c r="F370" i="14"/>
  <c r="G370" i="14"/>
  <c r="H370" i="14"/>
  <c r="I370" i="14"/>
  <c r="J370" i="14"/>
  <c r="K370" i="14"/>
  <c r="L370" i="14"/>
  <c r="F371" i="14"/>
  <c r="G371" i="14"/>
  <c r="H371" i="14"/>
  <c r="I371" i="14"/>
  <c r="J371" i="14"/>
  <c r="K371" i="14"/>
  <c r="L371" i="14"/>
  <c r="F372" i="14"/>
  <c r="G372" i="14"/>
  <c r="H372" i="14"/>
  <c r="I372" i="14"/>
  <c r="J372" i="14"/>
  <c r="K372" i="14"/>
  <c r="L372" i="14"/>
  <c r="F373" i="14"/>
  <c r="G373" i="14"/>
  <c r="H373" i="14"/>
  <c r="I373" i="14"/>
  <c r="J373" i="14"/>
  <c r="K373" i="14"/>
  <c r="L373" i="14"/>
  <c r="F374" i="14"/>
  <c r="G374" i="14"/>
  <c r="H374" i="14"/>
  <c r="I374" i="14"/>
  <c r="J374" i="14"/>
  <c r="K374" i="14"/>
  <c r="L374" i="14"/>
  <c r="F375" i="14"/>
  <c r="G375" i="14"/>
  <c r="H375" i="14"/>
  <c r="I375" i="14"/>
  <c r="J375" i="14"/>
  <c r="K375" i="14"/>
  <c r="L375" i="14"/>
  <c r="F376" i="14"/>
  <c r="G376" i="14"/>
  <c r="H376" i="14"/>
  <c r="I376" i="14"/>
  <c r="J376" i="14"/>
  <c r="K376" i="14"/>
  <c r="L376" i="14"/>
  <c r="F377" i="14"/>
  <c r="G377" i="14"/>
  <c r="H377" i="14"/>
  <c r="I377" i="14"/>
  <c r="J377" i="14"/>
  <c r="K377" i="14"/>
  <c r="L377" i="14"/>
  <c r="F378" i="14"/>
  <c r="G378" i="14"/>
  <c r="H378" i="14"/>
  <c r="I378" i="14"/>
  <c r="J378" i="14"/>
  <c r="K378" i="14"/>
  <c r="L378" i="14"/>
  <c r="F379" i="14"/>
  <c r="G379" i="14"/>
  <c r="H379" i="14"/>
  <c r="I379" i="14"/>
  <c r="J379" i="14"/>
  <c r="K379" i="14"/>
  <c r="L379" i="14"/>
  <c r="F380" i="14"/>
  <c r="G380" i="14"/>
  <c r="H380" i="14"/>
  <c r="I380" i="14"/>
  <c r="J380" i="14"/>
  <c r="K380" i="14"/>
  <c r="L380" i="14"/>
  <c r="F381" i="14"/>
  <c r="G381" i="14"/>
  <c r="H381" i="14"/>
  <c r="I381" i="14"/>
  <c r="J381" i="14"/>
  <c r="K381" i="14"/>
  <c r="L381" i="14"/>
  <c r="F382" i="14"/>
  <c r="G382" i="14"/>
  <c r="H382" i="14"/>
  <c r="I382" i="14"/>
  <c r="J382" i="14"/>
  <c r="K382" i="14"/>
  <c r="L382" i="14"/>
  <c r="F383" i="14"/>
  <c r="G383" i="14"/>
  <c r="H383" i="14"/>
  <c r="I383" i="14"/>
  <c r="J383" i="14"/>
  <c r="K383" i="14"/>
  <c r="L383" i="14"/>
  <c r="F384" i="14"/>
  <c r="G384" i="14"/>
  <c r="H384" i="14"/>
  <c r="I384" i="14"/>
  <c r="J384" i="14"/>
  <c r="K384" i="14"/>
  <c r="L384" i="14"/>
  <c r="F385" i="14"/>
  <c r="G385" i="14"/>
  <c r="H385" i="14"/>
  <c r="I385" i="14"/>
  <c r="J385" i="14"/>
  <c r="K385" i="14"/>
  <c r="L385" i="14"/>
  <c r="F386" i="14"/>
  <c r="G386" i="14"/>
  <c r="H386" i="14"/>
  <c r="I386" i="14"/>
  <c r="J386" i="14"/>
  <c r="K386" i="14"/>
  <c r="L386" i="14"/>
  <c r="F387" i="14"/>
  <c r="G387" i="14"/>
  <c r="H387" i="14"/>
  <c r="I387" i="14"/>
  <c r="J387" i="14"/>
  <c r="K387" i="14"/>
  <c r="L387" i="14"/>
  <c r="F388" i="14"/>
  <c r="G388" i="14"/>
  <c r="H388" i="14"/>
  <c r="I388" i="14"/>
  <c r="J388" i="14"/>
  <c r="K388" i="14"/>
  <c r="L388" i="14"/>
  <c r="F389" i="14"/>
  <c r="G389" i="14"/>
  <c r="H389" i="14"/>
  <c r="I389" i="14"/>
  <c r="J389" i="14"/>
  <c r="K389" i="14"/>
  <c r="L389" i="14"/>
  <c r="F390" i="14"/>
  <c r="G390" i="14"/>
  <c r="H390" i="14"/>
  <c r="I390" i="14"/>
  <c r="J390" i="14"/>
  <c r="K390" i="14"/>
  <c r="L390" i="14"/>
  <c r="F391" i="14"/>
  <c r="G391" i="14"/>
  <c r="H391" i="14"/>
  <c r="I391" i="14"/>
  <c r="J391" i="14"/>
  <c r="K391" i="14"/>
  <c r="L391" i="14"/>
  <c r="F392" i="14"/>
  <c r="G392" i="14"/>
  <c r="H392" i="14"/>
  <c r="I392" i="14"/>
  <c r="J392" i="14"/>
  <c r="K392" i="14"/>
  <c r="L392" i="14"/>
  <c r="F393" i="14"/>
  <c r="G393" i="14"/>
  <c r="H393" i="14"/>
  <c r="I393" i="14"/>
  <c r="J393" i="14"/>
  <c r="K393" i="14"/>
  <c r="L393" i="14"/>
  <c r="F394" i="14"/>
  <c r="G394" i="14"/>
  <c r="H394" i="14"/>
  <c r="I394" i="14"/>
  <c r="J394" i="14"/>
  <c r="K394" i="14"/>
  <c r="L394" i="14"/>
  <c r="F395" i="14"/>
  <c r="G395" i="14"/>
  <c r="H395" i="14"/>
  <c r="I395" i="14"/>
  <c r="J395" i="14"/>
  <c r="K395" i="14"/>
  <c r="L395" i="14"/>
  <c r="F396" i="14"/>
  <c r="G396" i="14"/>
  <c r="H396" i="14"/>
  <c r="I396" i="14"/>
  <c r="J396" i="14"/>
  <c r="K396" i="14"/>
  <c r="L396" i="14"/>
  <c r="F397" i="14"/>
  <c r="G397" i="14"/>
  <c r="H397" i="14"/>
  <c r="I397" i="14"/>
  <c r="J397" i="14"/>
  <c r="K397" i="14"/>
  <c r="L397" i="14"/>
  <c r="F398" i="14"/>
  <c r="G398" i="14"/>
  <c r="H398" i="14"/>
  <c r="I398" i="14"/>
  <c r="J398" i="14"/>
  <c r="K398" i="14"/>
  <c r="L398" i="14"/>
  <c r="F399" i="14"/>
  <c r="G399" i="14"/>
  <c r="H399" i="14"/>
  <c r="I399" i="14"/>
  <c r="J399" i="14"/>
  <c r="K399" i="14"/>
  <c r="L399" i="14"/>
  <c r="F400" i="14"/>
  <c r="G400" i="14"/>
  <c r="H400" i="14"/>
  <c r="I400" i="14"/>
  <c r="J400" i="14"/>
  <c r="K400" i="14"/>
  <c r="L400" i="14"/>
  <c r="F401" i="14"/>
  <c r="G401" i="14"/>
  <c r="H401" i="14"/>
  <c r="I401" i="14"/>
  <c r="J401" i="14"/>
  <c r="K401" i="14"/>
  <c r="L401" i="14"/>
  <c r="F402" i="14"/>
  <c r="G402" i="14"/>
  <c r="H402" i="14"/>
  <c r="I402" i="14"/>
  <c r="J402" i="14"/>
  <c r="K402" i="14"/>
  <c r="L402" i="14"/>
  <c r="F403" i="14"/>
  <c r="G403" i="14"/>
  <c r="H403" i="14"/>
  <c r="I403" i="14"/>
  <c r="J403" i="14"/>
  <c r="K403" i="14"/>
  <c r="L403" i="14"/>
  <c r="F404" i="14"/>
  <c r="G404" i="14"/>
  <c r="H404" i="14"/>
  <c r="I404" i="14"/>
  <c r="J404" i="14"/>
  <c r="K404" i="14"/>
  <c r="L404" i="14"/>
  <c r="F405" i="14"/>
  <c r="G405" i="14"/>
  <c r="H405" i="14"/>
  <c r="I405" i="14"/>
  <c r="J405" i="14"/>
  <c r="K405" i="14"/>
  <c r="L405" i="14"/>
  <c r="F406" i="14"/>
  <c r="G406" i="14"/>
  <c r="H406" i="14"/>
  <c r="I406" i="14"/>
  <c r="J406" i="14"/>
  <c r="K406" i="14"/>
  <c r="L406" i="14"/>
  <c r="F407" i="14"/>
  <c r="G407" i="14"/>
  <c r="H407" i="14"/>
  <c r="I407" i="14"/>
  <c r="J407" i="14"/>
  <c r="K407" i="14"/>
  <c r="L407" i="14"/>
  <c r="F408" i="14"/>
  <c r="G408" i="14"/>
  <c r="H408" i="14"/>
  <c r="I408" i="14"/>
  <c r="J408" i="14"/>
  <c r="K408" i="14"/>
  <c r="L408" i="14"/>
  <c r="F409" i="14"/>
  <c r="G409" i="14"/>
  <c r="H409" i="14"/>
  <c r="I409" i="14"/>
  <c r="J409" i="14"/>
  <c r="K409" i="14"/>
  <c r="L409" i="14"/>
  <c r="F410" i="14"/>
  <c r="G410" i="14"/>
  <c r="H410" i="14"/>
  <c r="I410" i="14"/>
  <c r="J410" i="14"/>
  <c r="K410" i="14"/>
  <c r="L410" i="14"/>
  <c r="F411" i="14"/>
  <c r="G411" i="14"/>
  <c r="H411" i="14"/>
  <c r="I411" i="14"/>
  <c r="J411" i="14"/>
  <c r="K411" i="14"/>
  <c r="L411" i="14"/>
  <c r="F412" i="14"/>
  <c r="G412" i="14"/>
  <c r="H412" i="14"/>
  <c r="I412" i="14"/>
  <c r="J412" i="14"/>
  <c r="K412" i="14"/>
  <c r="L412" i="14"/>
  <c r="F413" i="14"/>
  <c r="G413" i="14"/>
  <c r="H413" i="14"/>
  <c r="I413" i="14"/>
  <c r="J413" i="14"/>
  <c r="K413" i="14"/>
  <c r="L413" i="14"/>
  <c r="F414" i="14"/>
  <c r="G414" i="14"/>
  <c r="H414" i="14"/>
  <c r="I414" i="14"/>
  <c r="J414" i="14"/>
  <c r="K414" i="14"/>
  <c r="L414" i="14"/>
  <c r="F415" i="14"/>
  <c r="G415" i="14"/>
  <c r="H415" i="14"/>
  <c r="I415" i="14"/>
  <c r="J415" i="14"/>
  <c r="K415" i="14"/>
  <c r="L415" i="14"/>
  <c r="F416" i="14"/>
  <c r="G416" i="14"/>
  <c r="H416" i="14"/>
  <c r="I416" i="14"/>
  <c r="J416" i="14"/>
  <c r="K416" i="14"/>
  <c r="L416" i="14"/>
  <c r="F417" i="14"/>
  <c r="G417" i="14"/>
  <c r="H417" i="14"/>
  <c r="I417" i="14"/>
  <c r="J417" i="14"/>
  <c r="K417" i="14"/>
  <c r="L417" i="14"/>
  <c r="F418" i="14"/>
  <c r="G418" i="14"/>
  <c r="H418" i="14"/>
  <c r="I418" i="14"/>
  <c r="J418" i="14"/>
  <c r="K418" i="14"/>
  <c r="L418" i="14"/>
  <c r="F419" i="14"/>
  <c r="G419" i="14"/>
  <c r="H419" i="14"/>
  <c r="I419" i="14"/>
  <c r="J419" i="14"/>
  <c r="K419" i="14"/>
  <c r="L419" i="14"/>
  <c r="F420" i="14"/>
  <c r="G420" i="14"/>
  <c r="H420" i="14"/>
  <c r="I420" i="14"/>
  <c r="J420" i="14"/>
  <c r="K420" i="14"/>
  <c r="L420" i="14"/>
  <c r="F421" i="14"/>
  <c r="G421" i="14"/>
  <c r="H421" i="14"/>
  <c r="I421" i="14"/>
  <c r="J421" i="14"/>
  <c r="K421" i="14"/>
  <c r="L421" i="14"/>
  <c r="F422" i="14"/>
  <c r="G422" i="14"/>
  <c r="H422" i="14"/>
  <c r="I422" i="14"/>
  <c r="J422" i="14"/>
  <c r="K422" i="14"/>
  <c r="L422" i="14"/>
  <c r="F423" i="14"/>
  <c r="G423" i="14"/>
  <c r="H423" i="14"/>
  <c r="I423" i="14"/>
  <c r="J423" i="14"/>
  <c r="K423" i="14"/>
  <c r="L423" i="14"/>
  <c r="F424" i="14"/>
  <c r="G424" i="14"/>
  <c r="H424" i="14"/>
  <c r="I424" i="14"/>
  <c r="J424" i="14"/>
  <c r="K424" i="14"/>
  <c r="L424" i="14"/>
  <c r="F425" i="14"/>
  <c r="G425" i="14"/>
  <c r="H425" i="14"/>
  <c r="I425" i="14"/>
  <c r="J425" i="14"/>
  <c r="K425" i="14"/>
  <c r="L425" i="14"/>
  <c r="F426" i="14"/>
  <c r="G426" i="14"/>
  <c r="H426" i="14"/>
  <c r="I426" i="14"/>
  <c r="J426" i="14"/>
  <c r="K426" i="14"/>
  <c r="L426" i="14"/>
  <c r="F427" i="14"/>
  <c r="G427" i="14"/>
  <c r="H427" i="14"/>
  <c r="I427" i="14"/>
  <c r="J427" i="14"/>
  <c r="K427" i="14"/>
  <c r="L427" i="14"/>
  <c r="F428" i="14"/>
  <c r="G428" i="14"/>
  <c r="H428" i="14"/>
  <c r="I428" i="14"/>
  <c r="J428" i="14"/>
  <c r="K428" i="14"/>
  <c r="L428" i="14"/>
  <c r="F429" i="14"/>
  <c r="G429" i="14"/>
  <c r="H429" i="14"/>
  <c r="I429" i="14"/>
  <c r="J429" i="14"/>
  <c r="K429" i="14"/>
  <c r="L429" i="14"/>
  <c r="F430" i="14"/>
  <c r="G430" i="14"/>
  <c r="H430" i="14"/>
  <c r="I430" i="14"/>
  <c r="J430" i="14"/>
  <c r="K430" i="14"/>
  <c r="L430" i="14"/>
  <c r="F431" i="14"/>
  <c r="G431" i="14"/>
  <c r="H431" i="14"/>
  <c r="I431" i="14"/>
  <c r="J431" i="14"/>
  <c r="K431" i="14"/>
  <c r="L431" i="14"/>
  <c r="F432" i="14"/>
  <c r="G432" i="14"/>
  <c r="H432" i="14"/>
  <c r="I432" i="14"/>
  <c r="J432" i="14"/>
  <c r="K432" i="14"/>
  <c r="L432" i="14"/>
  <c r="F433" i="14"/>
  <c r="G433" i="14"/>
  <c r="H433" i="14"/>
  <c r="I433" i="14"/>
  <c r="J433" i="14"/>
  <c r="K433" i="14"/>
  <c r="L433" i="14"/>
  <c r="F434" i="14"/>
  <c r="G434" i="14"/>
  <c r="H434" i="14"/>
  <c r="I434" i="14"/>
  <c r="J434" i="14"/>
  <c r="K434" i="14"/>
  <c r="L434" i="14"/>
  <c r="F435" i="14"/>
  <c r="G435" i="14"/>
  <c r="H435" i="14"/>
  <c r="I435" i="14"/>
  <c r="J435" i="14"/>
  <c r="K435" i="14"/>
  <c r="L435" i="14"/>
  <c r="F436" i="14"/>
  <c r="G436" i="14"/>
  <c r="H436" i="14"/>
  <c r="I436" i="14"/>
  <c r="J436" i="14"/>
  <c r="K436" i="14"/>
  <c r="L436" i="14"/>
  <c r="L14" i="14"/>
  <c r="K14" i="14"/>
  <c r="J14" i="14"/>
  <c r="I14" i="14"/>
  <c r="H14" i="14"/>
  <c r="G14" i="14"/>
  <c r="F14" i="14"/>
  <c r="G97" i="14" l="1"/>
  <c r="L97" i="14"/>
  <c r="H97" i="14"/>
  <c r="I97" i="14"/>
  <c r="J97" i="14"/>
  <c r="F97" i="14"/>
  <c r="K97" i="14"/>
  <c r="F25" i="1"/>
  <c r="C25" i="1" s="1"/>
  <c r="F26" i="1"/>
  <c r="F144" i="1" l="1"/>
  <c r="F206" i="1" l="1"/>
  <c r="C206" i="1" s="1"/>
  <c r="F27" i="1" l="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C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3" i="1" l="1"/>
  <c r="C405" i="1"/>
  <c r="A32" i="4"/>
  <c r="E3" i="1"/>
  <c r="B3" i="1"/>
  <c r="C239" i="1"/>
  <c r="C236" i="1"/>
  <c r="C237" i="1"/>
  <c r="C238" i="1"/>
  <c r="C240" i="1"/>
  <c r="C241" i="1"/>
  <c r="C242" i="1"/>
  <c r="C243" i="1"/>
  <c r="C33" i="1"/>
  <c r="C34" i="1"/>
  <c r="C35" i="1"/>
  <c r="C36" i="1"/>
  <c r="C37" i="1"/>
  <c r="C32" i="1"/>
  <c r="C427" i="1"/>
  <c r="C428"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8" i="1"/>
  <c r="C399" i="1"/>
  <c r="C400" i="1"/>
  <c r="C401" i="1"/>
  <c r="C402" i="1"/>
  <c r="C403" i="1"/>
  <c r="C404" i="1"/>
  <c r="C406" i="1"/>
  <c r="C407" i="1"/>
  <c r="C408" i="1"/>
  <c r="C409" i="1"/>
  <c r="C410" i="1"/>
  <c r="C411" i="1"/>
  <c r="C412" i="1"/>
  <c r="C413" i="1"/>
  <c r="C414" i="1"/>
  <c r="C415" i="1"/>
  <c r="C416" i="1"/>
  <c r="C417" i="1"/>
  <c r="C418" i="1"/>
  <c r="C419" i="1"/>
  <c r="C420" i="1"/>
  <c r="C421" i="1"/>
  <c r="C422" i="1"/>
  <c r="C423" i="1"/>
  <c r="C424" i="1"/>
  <c r="C425" i="1"/>
  <c r="C426" i="1"/>
  <c r="C26" i="1"/>
  <c r="C27" i="1"/>
  <c r="C28" i="1"/>
  <c r="C29" i="1"/>
  <c r="C30" i="1"/>
  <c r="C31" i="1"/>
  <c r="C38" i="1"/>
  <c r="C39" i="1"/>
  <c r="C40" i="1"/>
  <c r="A36" i="4"/>
  <c r="A28" i="4"/>
  <c r="A27" i="4"/>
  <c r="A26" i="4"/>
  <c r="A9" i="4" l="1"/>
  <c r="A10" i="4"/>
  <c r="C3" i="1"/>
  <c r="A4" i="4" s="1"/>
  <c r="I21" i="4"/>
  <c r="I17" i="4"/>
  <c r="I22" i="4"/>
  <c r="I18" i="4"/>
  <c r="I20" i="4"/>
  <c r="I16" i="4"/>
  <c r="I19" i="4"/>
  <c r="I15" i="4"/>
  <c r="F20" i="4"/>
  <c r="F16" i="4"/>
  <c r="D20" i="4"/>
  <c r="D16" i="4"/>
  <c r="H15" i="4"/>
  <c r="F19" i="4"/>
  <c r="F15" i="4"/>
  <c r="G15" i="4" s="1"/>
  <c r="D19" i="4"/>
  <c r="D15" i="4"/>
  <c r="F22" i="4"/>
  <c r="F18" i="4"/>
  <c r="D22" i="4"/>
  <c r="D18" i="4"/>
  <c r="F21" i="4"/>
  <c r="F17" i="4"/>
  <c r="D21" i="4"/>
  <c r="D17" i="4"/>
  <c r="H18" i="4"/>
  <c r="A15" i="4"/>
  <c r="H22" i="4"/>
  <c r="H20" i="4"/>
  <c r="H17" i="4"/>
  <c r="H16" i="4"/>
  <c r="H19" i="4"/>
  <c r="H21" i="4"/>
  <c r="E15" i="4" l="1"/>
  <c r="G18" i="4"/>
  <c r="G17" i="4"/>
  <c r="G21" i="4"/>
  <c r="G19" i="4"/>
  <c r="G16" i="4"/>
  <c r="A35" i="4"/>
  <c r="G20" i="4"/>
  <c r="E17" i="4"/>
  <c r="E18" i="4"/>
  <c r="E20" i="4"/>
  <c r="E21" i="4"/>
  <c r="E19" i="4"/>
  <c r="E16" i="4"/>
</calcChain>
</file>

<file path=xl/sharedStrings.xml><?xml version="1.0" encoding="utf-8"?>
<sst xmlns="http://schemas.openxmlformats.org/spreadsheetml/2006/main" count="7378" uniqueCount="1214">
  <si>
    <t>© Statistik der Bundesagentur für Arbeit</t>
  </si>
  <si>
    <t>absolut</t>
  </si>
  <si>
    <t>in %</t>
  </si>
  <si>
    <t>Ausgaben für aktive und passive Leistungen im SGB II</t>
  </si>
  <si>
    <t>JC Rostock, Hansestadt</t>
  </si>
  <si>
    <t>JC Schwerin, Landeshauptstadt</t>
  </si>
  <si>
    <t>JC Nordwestmecklenburg</t>
  </si>
  <si>
    <t>JC Cottbus, Stadt</t>
  </si>
  <si>
    <t>JC Elbe-Elster</t>
  </si>
  <si>
    <t>JC Oberspreewald-Lausitz</t>
  </si>
  <si>
    <t>JC Spree-Neiße</t>
  </si>
  <si>
    <t>JC Barnim</t>
  </si>
  <si>
    <t>JC Uckermark</t>
  </si>
  <si>
    <t>JC Frankfurt (Oder), Stadt</t>
  </si>
  <si>
    <t>JC Oder-Spree</t>
  </si>
  <si>
    <t>JC Märkisch-Oderland</t>
  </si>
  <si>
    <t>JC Ostprignitz-Ruppin</t>
  </si>
  <si>
    <t>JC Prignitz</t>
  </si>
  <si>
    <t>JC Oberhavel</t>
  </si>
  <si>
    <t>JC Havelland</t>
  </si>
  <si>
    <t>JC Brandenburg an der Havel, Stadt</t>
  </si>
  <si>
    <t>JC Potsdam, Stadt</t>
  </si>
  <si>
    <t>JC Teltow-Fläming</t>
  </si>
  <si>
    <t>JC Potsdam-Mittelmark</t>
  </si>
  <si>
    <t>JC Dahme-Spreewald</t>
  </si>
  <si>
    <t>JC Dessau-Roßlau</t>
  </si>
  <si>
    <t>JC Anhalt-Bitterfeld</t>
  </si>
  <si>
    <t>JC Halle (Saale), Stadt</t>
  </si>
  <si>
    <t>JC Magdeburg, Landeshauptstadt</t>
  </si>
  <si>
    <t>JC Jerichower Land</t>
  </si>
  <si>
    <t>JC Börde</t>
  </si>
  <si>
    <t>JC Burgenlandkreis</t>
  </si>
  <si>
    <t>JC Stendal</t>
  </si>
  <si>
    <t>JC Altmarkkreis Salzwedel</t>
  </si>
  <si>
    <t>JC Wittenberg</t>
  </si>
  <si>
    <t>JC Altenburger Land</t>
  </si>
  <si>
    <t>JC Bautzen</t>
  </si>
  <si>
    <t>JC Chemnitz, Stadt</t>
  </si>
  <si>
    <t>JC Dresden, Stadt</t>
  </si>
  <si>
    <t>JC Leipzig, Stadt</t>
  </si>
  <si>
    <t>JC Sächsische Schweiz- Osterzgebirge</t>
  </si>
  <si>
    <t>JC Vogtlandkreis</t>
  </si>
  <si>
    <t>JC Meißen</t>
  </si>
  <si>
    <t>JC Erfurt, Stadt</t>
  </si>
  <si>
    <t>JC Ilm-Kreis</t>
  </si>
  <si>
    <t>JC Sömmerda</t>
  </si>
  <si>
    <t>JC Gera, Stadt</t>
  </si>
  <si>
    <t>JC Greiz</t>
  </si>
  <si>
    <t>JC Saale-Orla-Kreis</t>
  </si>
  <si>
    <t>JC Gotha</t>
  </si>
  <si>
    <t>JC Unstrut-Hainich-Kreis</t>
  </si>
  <si>
    <t>JC Jena, Stadt</t>
  </si>
  <si>
    <t>JC Saale-Holzland-Kreis</t>
  </si>
  <si>
    <t>JC Saalfeld-Rudolstadt</t>
  </si>
  <si>
    <t>JC Nordhausen</t>
  </si>
  <si>
    <t>JC Eichsfeld</t>
  </si>
  <si>
    <t>JC Kyffhäuserkreis</t>
  </si>
  <si>
    <t>JC Suhl, Stadt</t>
  </si>
  <si>
    <t>JC Hildburghausen</t>
  </si>
  <si>
    <t>JC Sonneberg</t>
  </si>
  <si>
    <t>JC Wartburgkreis</t>
  </si>
  <si>
    <t>JC Schmalkalden-Meiningen</t>
  </si>
  <si>
    <t>JC Stormarn</t>
  </si>
  <si>
    <t>JC Herzogtum Lauenburg</t>
  </si>
  <si>
    <t>JC Pinneberg</t>
  </si>
  <si>
    <t>JC Steinburg</t>
  </si>
  <si>
    <t>JC Flensburg, Stadt</t>
  </si>
  <si>
    <t>JC Schleswig-Flensburg</t>
  </si>
  <si>
    <t>JC Nordfriesland</t>
  </si>
  <si>
    <t>JC Hamburg, Freie und Hansestadt</t>
  </si>
  <si>
    <t>JC Dithmarschen</t>
  </si>
  <si>
    <t>JC Kiel, Landeshauptstadt</t>
  </si>
  <si>
    <t>JC Plön</t>
  </si>
  <si>
    <t>JC Lübeck, Hansestadt</t>
  </si>
  <si>
    <t>JC Ostholstein</t>
  </si>
  <si>
    <t>JC Neumünster, Stadt</t>
  </si>
  <si>
    <t>JC Segeberg</t>
  </si>
  <si>
    <t>JC Rendsburg-Eckernförde</t>
  </si>
  <si>
    <t>JC Braunschweig, Stadt</t>
  </si>
  <si>
    <t>JC Salzgitter, Stadt</t>
  </si>
  <si>
    <t>JC Wolfenbüttel</t>
  </si>
  <si>
    <t>JC Peine</t>
  </si>
  <si>
    <t>JC Bremen, Stadt</t>
  </si>
  <si>
    <t>JC Osterholz</t>
  </si>
  <si>
    <t>JC Bremerhaven, Stadt</t>
  </si>
  <si>
    <t>JC Celle</t>
  </si>
  <si>
    <t>JC Emden, Stadt</t>
  </si>
  <si>
    <t>JC Aurich</t>
  </si>
  <si>
    <t>JC Wittmund</t>
  </si>
  <si>
    <t>JC Goslar</t>
  </si>
  <si>
    <t>JC Göttingen</t>
  </si>
  <si>
    <t>JC Northeim</t>
  </si>
  <si>
    <t>JC Holzminden</t>
  </si>
  <si>
    <t>JC Hameln-Pyrmont</t>
  </si>
  <si>
    <t>JC Schaumburg</t>
  </si>
  <si>
    <t>JC Region Hannover</t>
  </si>
  <si>
    <t>JC Helmstedt</t>
  </si>
  <si>
    <t>JC Gifhorn</t>
  </si>
  <si>
    <t>JC Wolfsburg, Stadt</t>
  </si>
  <si>
    <t>JC Hildesheim</t>
  </si>
  <si>
    <t>JC Emsland</t>
  </si>
  <si>
    <t>JC Leer</t>
  </si>
  <si>
    <t>JC Lüneburg</t>
  </si>
  <si>
    <t>JC Harburg</t>
  </si>
  <si>
    <t>JC Nienburg (Weser)</t>
  </si>
  <si>
    <t>JC Grafschaft Bentheim</t>
  </si>
  <si>
    <t>JC Delmenhorst, Stadt</t>
  </si>
  <si>
    <t>JC Oldenburg (Oldenburg), Stadt</t>
  </si>
  <si>
    <t>JC Wesermarsch</t>
  </si>
  <si>
    <t>JC Ammerland</t>
  </si>
  <si>
    <t>JC Oldenburg</t>
  </si>
  <si>
    <t>JC Osnabrück, Stadt</t>
  </si>
  <si>
    <t>JC Osnabrück</t>
  </si>
  <si>
    <t>JC Stade</t>
  </si>
  <si>
    <t>JC Cuxhaven</t>
  </si>
  <si>
    <t>JC Rotenburg (Wümme)</t>
  </si>
  <si>
    <t>JC Lüchow-Dannenberg</t>
  </si>
  <si>
    <t>JC Uelzen</t>
  </si>
  <si>
    <t>JC Vechta</t>
  </si>
  <si>
    <t>JC Cloppenburg</t>
  </si>
  <si>
    <t>JC Verden</t>
  </si>
  <si>
    <t>JC Diepholz</t>
  </si>
  <si>
    <t>JC Wilhelmshaven, Stadt</t>
  </si>
  <si>
    <t>JC Friesland</t>
  </si>
  <si>
    <t>JC Heinsberg</t>
  </si>
  <si>
    <t>JC Städteregion Aachen</t>
  </si>
  <si>
    <t>JC Warendorf</t>
  </si>
  <si>
    <t>JC Leverkusen, Stadt</t>
  </si>
  <si>
    <t>JC Oberbergischer Kreis</t>
  </si>
  <si>
    <t>JC Rheinisch-Bergischer Kreis</t>
  </si>
  <si>
    <t>JC Bielefeld, Stadt</t>
  </si>
  <si>
    <t>JC Gütersloh</t>
  </si>
  <si>
    <t>JC Bochum, Stadt</t>
  </si>
  <si>
    <t>JC Herne, Stadt</t>
  </si>
  <si>
    <t>JC Bonn, Stadt</t>
  </si>
  <si>
    <t>JC Rhein-Sieg-Kreis</t>
  </si>
  <si>
    <t>JC Rhein-Erft-Kreis</t>
  </si>
  <si>
    <t>JC Euskirchen</t>
  </si>
  <si>
    <t>JC Borken</t>
  </si>
  <si>
    <t>JC Coesfeld</t>
  </si>
  <si>
    <t>JC Lippe</t>
  </si>
  <si>
    <t>JC Dortmund, Stadt</t>
  </si>
  <si>
    <t>JC Düren</t>
  </si>
  <si>
    <t>JC Düsseldorf, Stadt</t>
  </si>
  <si>
    <t>JC Mettmann</t>
  </si>
  <si>
    <t>JC Duisburg, Stadt</t>
  </si>
  <si>
    <t>JC Essen, Stadt</t>
  </si>
  <si>
    <t>JC Gelsenkirchen, Stadt</t>
  </si>
  <si>
    <t>JC Bottrop, Stadt</t>
  </si>
  <si>
    <t>JC Ennepe-Ruhr-Kreis</t>
  </si>
  <si>
    <t>JC Hagen, Stadt</t>
  </si>
  <si>
    <t>JC Hamm, Stadt</t>
  </si>
  <si>
    <t>JC Unna</t>
  </si>
  <si>
    <t>JC Herford</t>
  </si>
  <si>
    <t>JC Minden-Lübbecke</t>
  </si>
  <si>
    <t>JC Märkischer Kreis</t>
  </si>
  <si>
    <t>JC Köln, Stadt</t>
  </si>
  <si>
    <t>JC Krefeld</t>
  </si>
  <si>
    <t>JC Viersen</t>
  </si>
  <si>
    <t>JC Hochsauerlandkreis</t>
  </si>
  <si>
    <t>JC Mönchengladbach, Stadt</t>
  </si>
  <si>
    <t>JC Rhein-Kreis Neuss</t>
  </si>
  <si>
    <t>JC Münster, Stadt</t>
  </si>
  <si>
    <t>JC Mülheim an der Ruhr, Stadt</t>
  </si>
  <si>
    <t>JC Oberhausen, Stadt</t>
  </si>
  <si>
    <t>JC Paderborn</t>
  </si>
  <si>
    <t>JC Höxter</t>
  </si>
  <si>
    <t>JC Recklinghausen</t>
  </si>
  <si>
    <t>JC Steinfurt</t>
  </si>
  <si>
    <t>JC Siegen-Wittgenstein</t>
  </si>
  <si>
    <t>JC Olpe</t>
  </si>
  <si>
    <t>JC Soest</t>
  </si>
  <si>
    <t>JC Remscheid, Stadt</t>
  </si>
  <si>
    <t>JC Solingen, Stadt</t>
  </si>
  <si>
    <t>JC Wesel</t>
  </si>
  <si>
    <t>JC Kleve</t>
  </si>
  <si>
    <t>JC Wuppertal, Stadt</t>
  </si>
  <si>
    <t>JC Hersfeld-Rotenburg</t>
  </si>
  <si>
    <t>JC Werra-Meißner-Kreis</t>
  </si>
  <si>
    <t>JC Bergstraße</t>
  </si>
  <si>
    <t>JC Darmstadt-Dieburg</t>
  </si>
  <si>
    <t>JC Odenwaldkreis</t>
  </si>
  <si>
    <t>JC Groß-Gerau</t>
  </si>
  <si>
    <t>JC Darmstadt, Wissenschaftsstadt</t>
  </si>
  <si>
    <t>JC Hochtaunuskreis</t>
  </si>
  <si>
    <t>JC Main-Taunus-Kreis</t>
  </si>
  <si>
    <t>JC Offenbach</t>
  </si>
  <si>
    <t>JC Frankfurt am Main, Stadt</t>
  </si>
  <si>
    <t>JC Fulda</t>
  </si>
  <si>
    <t>JC Gießen</t>
  </si>
  <si>
    <t>JC Vogelsbergkreis</t>
  </si>
  <si>
    <t>JC Wetteraukreis</t>
  </si>
  <si>
    <t>JC Main-Kinzig-Kreis</t>
  </si>
  <si>
    <t>JC Kassel, documenta-Stadt</t>
  </si>
  <si>
    <t>JC Kassel</t>
  </si>
  <si>
    <t>JC Waldeck-Frankenberg</t>
  </si>
  <si>
    <t>JC Limburg-Weilburg</t>
  </si>
  <si>
    <t>JC Marburg-Biedenkopf</t>
  </si>
  <si>
    <t>JC Offenbach am Main, Stadt</t>
  </si>
  <si>
    <t>JC Lahn-Dill-Kreis</t>
  </si>
  <si>
    <t>JC Wiesbaden, Landeshauptstadt</t>
  </si>
  <si>
    <t>JC Rheingau-Taunus-Kreis</t>
  </si>
  <si>
    <t>JC Bad Kreuznach</t>
  </si>
  <si>
    <t>JC Birkenfeld</t>
  </si>
  <si>
    <t>JC Rhein-Hunsrück-Kreis</t>
  </si>
  <si>
    <t>JC Donnersbergkreis</t>
  </si>
  <si>
    <t>JC Kaiserslautern, Stadt</t>
  </si>
  <si>
    <t>JC Kaiserslautern</t>
  </si>
  <si>
    <t>JC Kusel</t>
  </si>
  <si>
    <t>JC Koblenz, Stadt</t>
  </si>
  <si>
    <t>JC Cochem-Zell</t>
  </si>
  <si>
    <t>JC Vorderpfalz-Ludwigshafen</t>
  </si>
  <si>
    <t>JC Deutsche Weinstraße</t>
  </si>
  <si>
    <t>JC Alzey-Worms</t>
  </si>
  <si>
    <t>JC Mainz, Stadt</t>
  </si>
  <si>
    <t>JC Mainz-Bingen</t>
  </si>
  <si>
    <t>JC Worms, Stadt</t>
  </si>
  <si>
    <t>JC Ahrweiler</t>
  </si>
  <si>
    <t>JC Mayen-Koblenz</t>
  </si>
  <si>
    <t>JC Rhein-Lahn-Kreis</t>
  </si>
  <si>
    <t>JC Westerwaldkreis</t>
  </si>
  <si>
    <t>JC Neunkirchen</t>
  </si>
  <si>
    <t>JC St. Wendel</t>
  </si>
  <si>
    <t>JC Saarpfalz-Kreis</t>
  </si>
  <si>
    <t>JC Germersheim</t>
  </si>
  <si>
    <t>JC Landau-Südliche Weinstraße</t>
  </si>
  <si>
    <t>JC Altenkirchen (Westerwald)</t>
  </si>
  <si>
    <t>JC Neuwied</t>
  </si>
  <si>
    <t>JC Pirmasens, Stadt</t>
  </si>
  <si>
    <t>JC Zweibrücken, Stadt</t>
  </si>
  <si>
    <t>JC Südwestpfalz</t>
  </si>
  <si>
    <t>JC Merzig-Wadern</t>
  </si>
  <si>
    <t>JC Saarlouis</t>
  </si>
  <si>
    <t>JC Bernkastel-Wittlich</t>
  </si>
  <si>
    <t>JC Bitburg-Prüm</t>
  </si>
  <si>
    <t>JC Trier, Stadt</t>
  </si>
  <si>
    <t>JC Trier-Saarburg</t>
  </si>
  <si>
    <t>JC Vulkaneifel</t>
  </si>
  <si>
    <t>JC Ostalbkreis</t>
  </si>
  <si>
    <t>JC Heidenheim</t>
  </si>
  <si>
    <t>JC Zollernalbkreis</t>
  </si>
  <si>
    <t>JC Sigmaringen</t>
  </si>
  <si>
    <t>JC Breisgau-Hochschwarzwald</t>
  </si>
  <si>
    <t>JC Emmendingen</t>
  </si>
  <si>
    <t>JC Freiburg im Breisgau, Stadt</t>
  </si>
  <si>
    <t>JC Esslingen</t>
  </si>
  <si>
    <t>JC Göppingen</t>
  </si>
  <si>
    <t>JC Heidelberg, Stadt</t>
  </si>
  <si>
    <t>JC Rhein-Neckar-Kreis</t>
  </si>
  <si>
    <t>JC Heilbronn, Stadt</t>
  </si>
  <si>
    <t>JC Heilbronn</t>
  </si>
  <si>
    <t>JC Karlsruhe, Stadt</t>
  </si>
  <si>
    <t>JC Karlsruhe</t>
  </si>
  <si>
    <t>JC Konstanz</t>
  </si>
  <si>
    <t>JC Lörrach</t>
  </si>
  <si>
    <t>JC Waldshut</t>
  </si>
  <si>
    <t>JC Ludwigsburg</t>
  </si>
  <si>
    <t>JC Mannheim, Universitätsstadt</t>
  </si>
  <si>
    <t>JC Calw</t>
  </si>
  <si>
    <t>JC Freudenstadt</t>
  </si>
  <si>
    <t>JC Ortenaukreis</t>
  </si>
  <si>
    <t>JC Pforzheim, Stadt</t>
  </si>
  <si>
    <t>JC Enzkreis</t>
  </si>
  <si>
    <t>JC Baden-Baden, Stadt</t>
  </si>
  <si>
    <t>JC Rastatt</t>
  </si>
  <si>
    <t>JC Ravensburg</t>
  </si>
  <si>
    <t>JC Biberach</t>
  </si>
  <si>
    <t>JC Bodenseekreis</t>
  </si>
  <si>
    <t>JC Reutlingen</t>
  </si>
  <si>
    <t>JC Tübingen</t>
  </si>
  <si>
    <t>JC Rottweil</t>
  </si>
  <si>
    <t>JC Tuttlingen</t>
  </si>
  <si>
    <t>JC Rems-Murr-Kreis</t>
  </si>
  <si>
    <t>JC Hohenlohekreis</t>
  </si>
  <si>
    <t>JC Schwäbisch Hall</t>
  </si>
  <si>
    <t>JC Stuttgart, Landeshauptstadt</t>
  </si>
  <si>
    <t>JC Böblingen</t>
  </si>
  <si>
    <t>JC Main-Tauber-Kreis</t>
  </si>
  <si>
    <t>JC Neckar-Odenwald-Kreis</t>
  </si>
  <si>
    <t>JC Ulm, Universitätsstadt</t>
  </si>
  <si>
    <t>JC Alb-Donau-Kreis</t>
  </si>
  <si>
    <t>JC Schwarzwald-Baar-Kreis</t>
  </si>
  <si>
    <t>JC Ansbach, Stadt</t>
  </si>
  <si>
    <t>JC Ansbach</t>
  </si>
  <si>
    <t>JC Neustadt adAisch-Bad Windsheim</t>
  </si>
  <si>
    <t>JC Aschaffenburg, Stadt</t>
  </si>
  <si>
    <t>JC Aschaffenburg</t>
  </si>
  <si>
    <t>JC Miltenberg</t>
  </si>
  <si>
    <t>JC Bamberg, Stadt</t>
  </si>
  <si>
    <t>JC Bamberg</t>
  </si>
  <si>
    <t>JC Forchheim</t>
  </si>
  <si>
    <t>JC Bayreuth, Stadt</t>
  </si>
  <si>
    <t>JC Bayreuth</t>
  </si>
  <si>
    <t>JC Kulmbach</t>
  </si>
  <si>
    <t>JC Coburg, Stadt</t>
  </si>
  <si>
    <t>JC Coburg</t>
  </si>
  <si>
    <t>JC Kronach</t>
  </si>
  <si>
    <t>JC Lichtenfels</t>
  </si>
  <si>
    <t>JC Hof, Stadt</t>
  </si>
  <si>
    <t>JC Hof</t>
  </si>
  <si>
    <t>JC Wunsiedel im Fichtelgebirge</t>
  </si>
  <si>
    <t>JC Erlangen, Stadt</t>
  </si>
  <si>
    <t>JC Erlangen-Höchstadt</t>
  </si>
  <si>
    <t>JC Fürth, Stadt</t>
  </si>
  <si>
    <t>JC Fürth, Land</t>
  </si>
  <si>
    <t>JC Nürnberg, Stadt</t>
  </si>
  <si>
    <t>JC Nürnberger Land</t>
  </si>
  <si>
    <t>JC Schwabach, Stadt</t>
  </si>
  <si>
    <t>JC Neumarkt idOPf</t>
  </si>
  <si>
    <t>JC Regensburg, Stadt</t>
  </si>
  <si>
    <t>JC Regensburg</t>
  </si>
  <si>
    <t>JC Kelheim</t>
  </si>
  <si>
    <t>JC Amberg-Sulzbach</t>
  </si>
  <si>
    <t>JC Cham</t>
  </si>
  <si>
    <t>JC Schwandorf</t>
  </si>
  <si>
    <t>JC Bad Kissingen</t>
  </si>
  <si>
    <t>JC Haßberge</t>
  </si>
  <si>
    <t>JC Rhön-Grabfeld</t>
  </si>
  <si>
    <t>JC Schweinfurt, Stadt</t>
  </si>
  <si>
    <t>JC Schweinfurt</t>
  </si>
  <si>
    <t>JC Neustadt-Weiden</t>
  </si>
  <si>
    <t>JC Tirschenreuth</t>
  </si>
  <si>
    <t>JC Weißenburg-Gunzenhausen</t>
  </si>
  <si>
    <t>JC Roth</t>
  </si>
  <si>
    <t>JC Kitzingen</t>
  </si>
  <si>
    <t>JC Würzburg, Stadt</t>
  </si>
  <si>
    <t>JC Würzburg</t>
  </si>
  <si>
    <t>JC Main-Spessart</t>
  </si>
  <si>
    <t>JC Aichach-Friedberg</t>
  </si>
  <si>
    <t>JC Augsburg, Stadt</t>
  </si>
  <si>
    <t>JC Augsburg</t>
  </si>
  <si>
    <t>JC Deggendorf</t>
  </si>
  <si>
    <t>JC Regen</t>
  </si>
  <si>
    <t>JC Straubing-Bogen</t>
  </si>
  <si>
    <t>JC Dillingen adDonau</t>
  </si>
  <si>
    <t>JC Donau-Ries</t>
  </si>
  <si>
    <t>JC Erding</t>
  </si>
  <si>
    <t>JC Freising</t>
  </si>
  <si>
    <t>JC Eichstätt</t>
  </si>
  <si>
    <t>JC Ingolstadt, Stadt</t>
  </si>
  <si>
    <t>JC Neuburg-Schrobenhausen</t>
  </si>
  <si>
    <t>JC Pfaffenhofen a.d. Ilm</t>
  </si>
  <si>
    <t>JC Kaufbeuren, Stadt</t>
  </si>
  <si>
    <t>JC Kempten (Allgäu), Stadt</t>
  </si>
  <si>
    <t>JC Lindau (Bodensee)</t>
  </si>
  <si>
    <t>JC Oberallgäu</t>
  </si>
  <si>
    <t>JC Ostallgäu</t>
  </si>
  <si>
    <t>JC Dingolfing-Landau</t>
  </si>
  <si>
    <t>JC Landshut, Stadt</t>
  </si>
  <si>
    <t>JC Landshut</t>
  </si>
  <si>
    <t>JC Günzburg</t>
  </si>
  <si>
    <t>JC Memmingen, Stadt</t>
  </si>
  <si>
    <t>JC Neu-Ulm</t>
  </si>
  <si>
    <t>JC Unterallgäu</t>
  </si>
  <si>
    <t>JC Dachau</t>
  </si>
  <si>
    <t>JC Ebersberg</t>
  </si>
  <si>
    <t>JC Fürstenfeldbruck</t>
  </si>
  <si>
    <t>JC München, Landeshauptstadt</t>
  </si>
  <si>
    <t>JC München</t>
  </si>
  <si>
    <t>JC Starnberg</t>
  </si>
  <si>
    <t>JC Freyung-Grafenau</t>
  </si>
  <si>
    <t>JC Passau, Stadt</t>
  </si>
  <si>
    <t>JC Passau</t>
  </si>
  <si>
    <t>JC Altötting</t>
  </si>
  <si>
    <t>JC Mühldorf am Inn</t>
  </si>
  <si>
    <t>JC Rottal-Inn</t>
  </si>
  <si>
    <t>JC Bad Tölz-Wolfratshausen</t>
  </si>
  <si>
    <t>JC Miesbach</t>
  </si>
  <si>
    <t>JC Rosenheim, Stadt</t>
  </si>
  <si>
    <t>JC Rosenheim</t>
  </si>
  <si>
    <t>JC Berchtesgadener Land</t>
  </si>
  <si>
    <t>JC Traunstein</t>
  </si>
  <si>
    <t>JC Garmisch-Partenkirchen</t>
  </si>
  <si>
    <t>JC Landsberg am Lech</t>
  </si>
  <si>
    <t>JC Weilheim-Schongau</t>
  </si>
  <si>
    <t>JC Neukölln</t>
  </si>
  <si>
    <t>JC Treptow-Köpenick</t>
  </si>
  <si>
    <t>JC Steglitz-Zehlendorf</t>
  </si>
  <si>
    <t>JC Tempelhof-Schöneberg</t>
  </si>
  <si>
    <t>JC Charlottenburg-Wilmersdorf</t>
  </si>
  <si>
    <t>JC Pankow</t>
  </si>
  <si>
    <t>JC Reinickendorf</t>
  </si>
  <si>
    <t>JC Spandau</t>
  </si>
  <si>
    <t>JC Friedrichshain-Kreuzberg</t>
  </si>
  <si>
    <t>JC Mitte</t>
  </si>
  <si>
    <t>JC Marzahn-Hellersdorf</t>
  </si>
  <si>
    <t>JC Lichtenberg</t>
  </si>
  <si>
    <t>Eingliederungsleistungen</t>
  </si>
  <si>
    <t>Deutschland</t>
  </si>
  <si>
    <t>Westdeutschland</t>
  </si>
  <si>
    <t>Ostdeutschland</t>
  </si>
  <si>
    <t>03102</t>
  </si>
  <si>
    <t>03122</t>
  </si>
  <si>
    <t>03202</t>
  </si>
  <si>
    <t>03208</t>
  </si>
  <si>
    <t>03302</t>
  </si>
  <si>
    <t>03304</t>
  </si>
  <si>
    <t>03324</t>
  </si>
  <si>
    <t>03502</t>
  </si>
  <si>
    <t>03504</t>
  </si>
  <si>
    <t>03506</t>
  </si>
  <si>
    <t>03538</t>
  </si>
  <si>
    <t>03602</t>
  </si>
  <si>
    <t>03604</t>
  </si>
  <si>
    <t>03702</t>
  </si>
  <si>
    <t>03706</t>
  </si>
  <si>
    <t>03708</t>
  </si>
  <si>
    <t>03802</t>
  </si>
  <si>
    <t>03804</t>
  </si>
  <si>
    <t>03806</t>
  </si>
  <si>
    <t>03902</t>
  </si>
  <si>
    <t>03904</t>
  </si>
  <si>
    <t>03908</t>
  </si>
  <si>
    <t>04202</t>
  </si>
  <si>
    <t>04208</t>
  </si>
  <si>
    <t>04306</t>
  </si>
  <si>
    <t>04402</t>
  </si>
  <si>
    <t>04502</t>
  </si>
  <si>
    <t>04506</t>
  </si>
  <si>
    <t>04514</t>
  </si>
  <si>
    <t>04802</t>
  </si>
  <si>
    <t>07202</t>
  </si>
  <si>
    <t>07208</t>
  </si>
  <si>
    <t>07302</t>
  </si>
  <si>
    <t>07402</t>
  </si>
  <si>
    <t>07502</t>
  </si>
  <si>
    <t>07602</t>
  </si>
  <si>
    <t>07610</t>
  </si>
  <si>
    <t>07702</t>
  </si>
  <si>
    <t>07804</t>
  </si>
  <si>
    <t>07904</t>
  </si>
  <si>
    <t>09202</t>
  </si>
  <si>
    <t>09302</t>
  </si>
  <si>
    <t>09304</t>
  </si>
  <si>
    <t>09308</t>
  </si>
  <si>
    <t>09312</t>
  </si>
  <si>
    <t>09402</t>
  </si>
  <si>
    <t>09414</t>
  </si>
  <si>
    <t>09702</t>
  </si>
  <si>
    <t>09704</t>
  </si>
  <si>
    <t>09708</t>
  </si>
  <si>
    <t>09802</t>
  </si>
  <si>
    <t>09804</t>
  </si>
  <si>
    <t>09806</t>
  </si>
  <si>
    <t>09810</t>
  </si>
  <si>
    <t>11102</t>
  </si>
  <si>
    <t>11116</t>
  </si>
  <si>
    <t>11502</t>
  </si>
  <si>
    <t>11902</t>
  </si>
  <si>
    <t>11904</t>
  </si>
  <si>
    <t>11916</t>
  </si>
  <si>
    <t>12302</t>
  </si>
  <si>
    <t>12702</t>
  </si>
  <si>
    <t>13102</t>
  </si>
  <si>
    <t>13106</t>
  </si>
  <si>
    <t>13502</t>
  </si>
  <si>
    <t>13506</t>
  </si>
  <si>
    <t>13902</t>
  </si>
  <si>
    <t>13912</t>
  </si>
  <si>
    <t>21102</t>
  </si>
  <si>
    <t>21104</t>
  </si>
  <si>
    <t>21106</t>
  </si>
  <si>
    <t>21404</t>
  </si>
  <si>
    <t>21416</t>
  </si>
  <si>
    <t>22102</t>
  </si>
  <si>
    <t>22116</t>
  </si>
  <si>
    <t>22402</t>
  </si>
  <si>
    <t>23102</t>
  </si>
  <si>
    <t>23106</t>
  </si>
  <si>
    <t>23406</t>
  </si>
  <si>
    <t>23408</t>
  </si>
  <si>
    <t>23702</t>
  </si>
  <si>
    <t>24110</t>
  </si>
  <si>
    <t>24112</t>
  </si>
  <si>
    <t>24114</t>
  </si>
  <si>
    <t>24402</t>
  </si>
  <si>
    <t>25102</t>
  </si>
  <si>
    <t>25104</t>
  </si>
  <si>
    <t>25704</t>
  </si>
  <si>
    <t>26104</t>
  </si>
  <si>
    <t>26106</t>
  </si>
  <si>
    <t>26110</t>
  </si>
  <si>
    <t>26112</t>
  </si>
  <si>
    <t>26118</t>
  </si>
  <si>
    <t>26402</t>
  </si>
  <si>
    <t>26410</t>
  </si>
  <si>
    <t>26702</t>
  </si>
  <si>
    <t>26704</t>
  </si>
  <si>
    <t>26706</t>
  </si>
  <si>
    <t>27402</t>
  </si>
  <si>
    <t>27404</t>
  </si>
  <si>
    <t>27706</t>
  </si>
  <si>
    <t>27708</t>
  </si>
  <si>
    <t>31106</t>
  </si>
  <si>
    <t>31108</t>
  </si>
  <si>
    <t>31502</t>
  </si>
  <si>
    <t>31504</t>
  </si>
  <si>
    <t>31506</t>
  </si>
  <si>
    <t>31704</t>
  </si>
  <si>
    <t>32102</t>
  </si>
  <si>
    <t>32112</t>
  </si>
  <si>
    <t>32302</t>
  </si>
  <si>
    <t>32304</t>
  </si>
  <si>
    <t>32502</t>
  </si>
  <si>
    <t>32504</t>
  </si>
  <si>
    <t>32702</t>
  </si>
  <si>
    <t>32704</t>
  </si>
  <si>
    <t>33302</t>
  </si>
  <si>
    <t>33702</t>
  </si>
  <si>
    <t>34102</t>
  </si>
  <si>
    <t>34502</t>
  </si>
  <si>
    <t>34506</t>
  </si>
  <si>
    <t>34702</t>
  </si>
  <si>
    <t>34704</t>
  </si>
  <si>
    <t>35102</t>
  </si>
  <si>
    <t>35104</t>
  </si>
  <si>
    <t>35302</t>
  </si>
  <si>
    <t>35318</t>
  </si>
  <si>
    <t>35502</t>
  </si>
  <si>
    <t>35702</t>
  </si>
  <si>
    <t>36102</t>
  </si>
  <si>
    <t>36108</t>
  </si>
  <si>
    <t>36502</t>
  </si>
  <si>
    <t>36504</t>
  </si>
  <si>
    <t>37102</t>
  </si>
  <si>
    <t>37106</t>
  </si>
  <si>
    <t>37302</t>
  </si>
  <si>
    <t>37338</t>
  </si>
  <si>
    <t>37710</t>
  </si>
  <si>
    <t>38102</t>
  </si>
  <si>
    <t>38104</t>
  </si>
  <si>
    <t>38302</t>
  </si>
  <si>
    <t>38702</t>
  </si>
  <si>
    <t>38704</t>
  </si>
  <si>
    <t>41102</t>
  </si>
  <si>
    <t>41502</t>
  </si>
  <si>
    <t>41506</t>
  </si>
  <si>
    <t>41508</t>
  </si>
  <si>
    <t>41512</t>
  </si>
  <si>
    <t>41920</t>
  </si>
  <si>
    <t>42702</t>
  </si>
  <si>
    <t>42704</t>
  </si>
  <si>
    <t>42708</t>
  </si>
  <si>
    <t>43102</t>
  </si>
  <si>
    <t>43502</t>
  </si>
  <si>
    <t>43504</t>
  </si>
  <si>
    <t>43902</t>
  </si>
  <si>
    <t>44302</t>
  </si>
  <si>
    <t>44702</t>
  </si>
  <si>
    <t>45902</t>
  </si>
  <si>
    <t>45904</t>
  </si>
  <si>
    <t>51102</t>
  </si>
  <si>
    <t>51106</t>
  </si>
  <si>
    <t>51110</t>
  </si>
  <si>
    <t>51502</t>
  </si>
  <si>
    <t>51506</t>
  </si>
  <si>
    <t>51510</t>
  </si>
  <si>
    <t>51902</t>
  </si>
  <si>
    <t>51904</t>
  </si>
  <si>
    <t>52302</t>
  </si>
  <si>
    <t>52704</t>
  </si>
  <si>
    <t>52706</t>
  </si>
  <si>
    <t>52710</t>
  </si>
  <si>
    <t>53502</t>
  </si>
  <si>
    <t>53504</t>
  </si>
  <si>
    <t>54302</t>
  </si>
  <si>
    <t>54308</t>
  </si>
  <si>
    <t>54702</t>
  </si>
  <si>
    <t>54708</t>
  </si>
  <si>
    <t>55502</t>
  </si>
  <si>
    <t>56302</t>
  </si>
  <si>
    <t>56304</t>
  </si>
  <si>
    <t>56306</t>
  </si>
  <si>
    <t>56308</t>
  </si>
  <si>
    <t>56310</t>
  </si>
  <si>
    <t>61108</t>
  </si>
  <si>
    <t>61402</t>
  </si>
  <si>
    <t>61406</t>
  </si>
  <si>
    <t>61702</t>
  </si>
  <si>
    <t>61704</t>
  </si>
  <si>
    <t>61706</t>
  </si>
  <si>
    <t>62102</t>
  </si>
  <si>
    <t>62106</t>
  </si>
  <si>
    <t>62402</t>
  </si>
  <si>
    <t>62404</t>
  </si>
  <si>
    <t>62702</t>
  </si>
  <si>
    <t>62704</t>
  </si>
  <si>
    <t>63102</t>
  </si>
  <si>
    <t>63108</t>
  </si>
  <si>
    <t>63402</t>
  </si>
  <si>
    <t>63702</t>
  </si>
  <si>
    <t>63704</t>
  </si>
  <si>
    <t>64402</t>
  </si>
  <si>
    <t>64702</t>
  </si>
  <si>
    <t>64708</t>
  </si>
  <si>
    <t>65106</t>
  </si>
  <si>
    <t>66402</t>
  </si>
  <si>
    <t>66404</t>
  </si>
  <si>
    <t>67102</t>
  </si>
  <si>
    <t>67402</t>
  </si>
  <si>
    <t>67404</t>
  </si>
  <si>
    <t>67704</t>
  </si>
  <si>
    <t>68402</t>
  </si>
  <si>
    <t>68404</t>
  </si>
  <si>
    <t>68702</t>
  </si>
  <si>
    <t>71102</t>
  </si>
  <si>
    <t>71502</t>
  </si>
  <si>
    <t>71504</t>
  </si>
  <si>
    <t>71506</t>
  </si>
  <si>
    <t>72302</t>
  </si>
  <si>
    <t>72304</t>
  </si>
  <si>
    <t>72306</t>
  </si>
  <si>
    <t>72702</t>
  </si>
  <si>
    <t>72704</t>
  </si>
  <si>
    <t>72706</t>
  </si>
  <si>
    <t>72708</t>
  </si>
  <si>
    <t>73514</t>
  </si>
  <si>
    <t>73522</t>
  </si>
  <si>
    <t>73524</t>
  </si>
  <si>
    <t>73902</t>
  </si>
  <si>
    <t>73904</t>
  </si>
  <si>
    <t>73906</t>
  </si>
  <si>
    <t>73908</t>
  </si>
  <si>
    <t>74302</t>
  </si>
  <si>
    <t>74306</t>
  </si>
  <si>
    <t>74308</t>
  </si>
  <si>
    <t>74702</t>
  </si>
  <si>
    <t>74704</t>
  </si>
  <si>
    <t>74706</t>
  </si>
  <si>
    <t>74708</t>
  </si>
  <si>
    <t>74710</t>
  </si>
  <si>
    <t>75102</t>
  </si>
  <si>
    <t>75104</t>
  </si>
  <si>
    <t>75902</t>
  </si>
  <si>
    <t>75906</t>
  </si>
  <si>
    <t>75908</t>
  </si>
  <si>
    <t>75910</t>
  </si>
  <si>
    <t>81102</t>
  </si>
  <si>
    <t>81104</t>
  </si>
  <si>
    <t>81110</t>
  </si>
  <si>
    <t>81502</t>
  </si>
  <si>
    <t>81504</t>
  </si>
  <si>
    <t>81512</t>
  </si>
  <si>
    <t>81904</t>
  </si>
  <si>
    <t>81906</t>
  </si>
  <si>
    <t>82302</t>
  </si>
  <si>
    <t>82304</t>
  </si>
  <si>
    <t>82702</t>
  </si>
  <si>
    <t>82706</t>
  </si>
  <si>
    <t>82708</t>
  </si>
  <si>
    <t>83104</t>
  </si>
  <si>
    <t>83106</t>
  </si>
  <si>
    <t>83110</t>
  </si>
  <si>
    <t>83502</t>
  </si>
  <si>
    <t>83504</t>
  </si>
  <si>
    <t>83506</t>
  </si>
  <si>
    <t>84308</t>
  </si>
  <si>
    <t>84702</t>
  </si>
  <si>
    <t>84704</t>
  </si>
  <si>
    <t>84706</t>
  </si>
  <si>
    <t>85502</t>
  </si>
  <si>
    <t>85504</t>
  </si>
  <si>
    <t>85506</t>
  </si>
  <si>
    <t>85508</t>
  </si>
  <si>
    <t>85902</t>
  </si>
  <si>
    <t>85904</t>
  </si>
  <si>
    <t>86302</t>
  </si>
  <si>
    <t>86304</t>
  </si>
  <si>
    <t>86306</t>
  </si>
  <si>
    <t>92202</t>
  </si>
  <si>
    <t>92204</t>
  </si>
  <si>
    <t>95502</t>
  </si>
  <si>
    <t>95504</t>
  </si>
  <si>
    <t>95506</t>
  </si>
  <si>
    <t>95508</t>
  </si>
  <si>
    <t>96202</t>
  </si>
  <si>
    <t>96204</t>
  </si>
  <si>
    <t>Ausgaben</t>
  </si>
  <si>
    <t>Ausgaben im SGB II</t>
  </si>
  <si>
    <t>Ausgaben für aktive und passive Leistungen im SGB II - Regionenvergleich</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</si>
  <si>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</si>
  <si>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</si>
  <si>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</si>
  <si>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</si>
  <si>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</si>
  <si>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</si>
  <si>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</si>
  <si>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</si>
  <si>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</si>
  <si>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</si>
  <si>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</si>
  <si>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</si>
  <si>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</si>
  <si>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</si>
  <si>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</si>
  <si>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</si>
  <si>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Impressum</t>
  </si>
  <si>
    <t>Titel:</t>
  </si>
  <si>
    <t>Region:</t>
  </si>
  <si>
    <t>Erstellungsdatum:</t>
  </si>
  <si>
    <t>Bundesagentur für Arbeit</t>
  </si>
  <si>
    <t>Statistik</t>
  </si>
  <si>
    <t>Rückfragen an:</t>
  </si>
  <si>
    <t>Regensburger Straße 104</t>
  </si>
  <si>
    <t>90478 Nürnberg</t>
  </si>
  <si>
    <t>E-Mail:</t>
  </si>
  <si>
    <t>Hotline:</t>
  </si>
  <si>
    <t>Internet:</t>
  </si>
  <si>
    <t>Zitierhinweis:</t>
  </si>
  <si>
    <t>Statistik-Infoseite</t>
  </si>
  <si>
    <t>Beschäftigung</t>
  </si>
  <si>
    <t>Grundsicherung für Arbeitsuchende (SGB II)</t>
  </si>
  <si>
    <t>Leistungen SGB III</t>
  </si>
  <si>
    <t>D</t>
  </si>
  <si>
    <t>W</t>
  </si>
  <si>
    <t>O</t>
  </si>
  <si>
    <t>01</t>
  </si>
  <si>
    <t>02</t>
  </si>
  <si>
    <t>03</t>
  </si>
  <si>
    <t>04</t>
  </si>
  <si>
    <t>05</t>
  </si>
  <si>
    <t>06</t>
  </si>
  <si>
    <t>07</t>
  </si>
  <si>
    <t>08</t>
  </si>
  <si>
    <t>09</t>
  </si>
  <si>
    <t>10</t>
  </si>
  <si>
    <t>11</t>
  </si>
  <si>
    <t>12</t>
  </si>
  <si>
    <t>13</t>
  </si>
  <si>
    <t>14</t>
  </si>
  <si>
    <t>15</t>
  </si>
  <si>
    <t>16</t>
  </si>
  <si>
    <t>Tr Nr</t>
  </si>
  <si>
    <t>JC Heidekreis</t>
  </si>
  <si>
    <t xml:space="preserve"> </t>
  </si>
  <si>
    <t>Abweichend zu erbringende Leistungen</t>
  </si>
  <si>
    <t>Bildung und Teilhabe</t>
  </si>
  <si>
    <t>Verwaltungskosten</t>
  </si>
  <si>
    <t>dav.</t>
  </si>
  <si>
    <t>Insgesamt</t>
  </si>
  <si>
    <t>Ausgaben für Leistungen zur Sozialversicherung</t>
  </si>
  <si>
    <t>Eckwerte der Grundsicherung im SGB II</t>
  </si>
  <si>
    <t>JC Schwalm-Eder-Kreis</t>
  </si>
  <si>
    <t>Inhaltsverzeichnis</t>
  </si>
  <si>
    <t>Tabelle</t>
  </si>
  <si>
    <t>1</t>
  </si>
  <si>
    <t>2</t>
  </si>
  <si>
    <t>3</t>
  </si>
  <si>
    <t>4</t>
  </si>
  <si>
    <t>Über die Auswahlliste kann die Region ausgesucht werden.</t>
  </si>
  <si>
    <t>Methodische Hinweise</t>
  </si>
  <si>
    <t>Bundesland</t>
  </si>
  <si>
    <t>Trägername</t>
  </si>
  <si>
    <t>Träger-
schaft</t>
  </si>
  <si>
    <t xml:space="preserve"> -</t>
  </si>
  <si>
    <t>gE</t>
  </si>
  <si>
    <t>zkT</t>
  </si>
  <si>
    <t>JC Görlitz</t>
  </si>
  <si>
    <t>JC Mittelsachsen</t>
  </si>
  <si>
    <t>JC Nordsachsen</t>
  </si>
  <si>
    <t>JC Zwickau</t>
  </si>
  <si>
    <t>JC Salzlandkreis</t>
  </si>
  <si>
    <t>JC Harz</t>
  </si>
  <si>
    <t>JC Saalekreis</t>
  </si>
  <si>
    <t>JC Mansfeld-Südharz</t>
  </si>
  <si>
    <t>09310</t>
  </si>
  <si>
    <t>JC Weimar, Stadt</t>
  </si>
  <si>
    <t>JC Weimarer Land</t>
  </si>
  <si>
    <t>Hinweise über der Tabelle</t>
  </si>
  <si>
    <t>Fußnoten unter der Tabelle</t>
  </si>
  <si>
    <t>H1</t>
  </si>
  <si>
    <t>Hinweis / Fußnote</t>
  </si>
  <si>
    <t>³</t>
  </si>
  <si>
    <t>⁴</t>
  </si>
  <si>
    <t>JC Ludwigslust-Parchim</t>
  </si>
  <si>
    <t>JC Erzgebirgskreis</t>
  </si>
  <si>
    <t>JC Leipzig</t>
  </si>
  <si>
    <t>11522</t>
  </si>
  <si>
    <t>12712</t>
  </si>
  <si>
    <t>21124</t>
  </si>
  <si>
    <t>22410</t>
  </si>
  <si>
    <t>22444</t>
  </si>
  <si>
    <t>22446</t>
  </si>
  <si>
    <t>23444</t>
  </si>
  <si>
    <t>24404</t>
  </si>
  <si>
    <t>25110</t>
  </si>
  <si>
    <t>25112</t>
  </si>
  <si>
    <t>25706</t>
  </si>
  <si>
    <t>26126</t>
  </si>
  <si>
    <t>26130</t>
  </si>
  <si>
    <t>27718</t>
  </si>
  <si>
    <t>21420</t>
  </si>
  <si>
    <t>31118</t>
  </si>
  <si>
    <t>31778</t>
  </si>
  <si>
    <t>33148</t>
  </si>
  <si>
    <t>34348</t>
  </si>
  <si>
    <t>36704</t>
  </si>
  <si>
    <t>36748</t>
  </si>
  <si>
    <t>37548</t>
  </si>
  <si>
    <t>38340</t>
  </si>
  <si>
    <t>39148</t>
  </si>
  <si>
    <t>41110</t>
  </si>
  <si>
    <t>43520</t>
  </si>
  <si>
    <t>43904</t>
  </si>
  <si>
    <t>44304</t>
  </si>
  <si>
    <t>45148</t>
  </si>
  <si>
    <t>51516</t>
  </si>
  <si>
    <t>51518</t>
  </si>
  <si>
    <t>51520</t>
  </si>
  <si>
    <t>51542</t>
  </si>
  <si>
    <t>51906</t>
  </si>
  <si>
    <t>51908</t>
  </si>
  <si>
    <t>52744</t>
  </si>
  <si>
    <t>54312</t>
  </si>
  <si>
    <t>61146</t>
  </si>
  <si>
    <t>63120</t>
  </si>
  <si>
    <t>63122</t>
  </si>
  <si>
    <t>63404</t>
  </si>
  <si>
    <t>63408</t>
  </si>
  <si>
    <t>64148</t>
  </si>
  <si>
    <t>64710</t>
  </si>
  <si>
    <t>64712</t>
  </si>
  <si>
    <t>67408</t>
  </si>
  <si>
    <t>67410</t>
  </si>
  <si>
    <t>67748</t>
  </si>
  <si>
    <t>68410</t>
  </si>
  <si>
    <t>68706</t>
  </si>
  <si>
    <t>68708</t>
  </si>
  <si>
    <t>71146</t>
  </si>
  <si>
    <t>72308</t>
  </si>
  <si>
    <t>72310</t>
  </si>
  <si>
    <t>72312</t>
  </si>
  <si>
    <t>72710</t>
  </si>
  <si>
    <t>72712</t>
  </si>
  <si>
    <t>72714</t>
  </si>
  <si>
    <t>81910</t>
  </si>
  <si>
    <t>81912</t>
  </si>
  <si>
    <t>82306</t>
  </si>
  <si>
    <t>82308</t>
  </si>
  <si>
    <t>82746</t>
  </si>
  <si>
    <t>83112</t>
  </si>
  <si>
    <t>83114</t>
  </si>
  <si>
    <t>83142</t>
  </si>
  <si>
    <t>83148</t>
  </si>
  <si>
    <t>83510</t>
  </si>
  <si>
    <t>84358</t>
  </si>
  <si>
    <t>85906</t>
  </si>
  <si>
    <t>85908</t>
  </si>
  <si>
    <t>86308</t>
  </si>
  <si>
    <t>86310</t>
  </si>
  <si>
    <t>55514</t>
  </si>
  <si>
    <t>55516</t>
  </si>
  <si>
    <t>55518</t>
  </si>
  <si>
    <t>55520</t>
  </si>
  <si>
    <t>55522</t>
  </si>
  <si>
    <t>92208</t>
  </si>
  <si>
    <t>92210</t>
  </si>
  <si>
    <t>96206</t>
  </si>
  <si>
    <t>96208</t>
  </si>
  <si>
    <t>03510</t>
  </si>
  <si>
    <t>03846</t>
  </si>
  <si>
    <t>03942</t>
  </si>
  <si>
    <t>03444</t>
  </si>
  <si>
    <t>07146</t>
  </si>
  <si>
    <t>04214</t>
  </si>
  <si>
    <t>04412</t>
  </si>
  <si>
    <t>04846</t>
  </si>
  <si>
    <t>09418</t>
  </si>
  <si>
    <t>09446</t>
  </si>
  <si>
    <t>09840</t>
  </si>
  <si>
    <t>Insgesamt (ohne B&amp;T)</t>
  </si>
  <si>
    <t>Ia</t>
  </si>
  <si>
    <t>Ib</t>
  </si>
  <si>
    <t>Ic</t>
  </si>
  <si>
    <t>Id</t>
  </si>
  <si>
    <t>Ie</t>
  </si>
  <si>
    <t>IIa</t>
  </si>
  <si>
    <t>IIb</t>
  </si>
  <si>
    <t>IIc</t>
  </si>
  <si>
    <t>IId</t>
  </si>
  <si>
    <t>IIe</t>
  </si>
  <si>
    <t>IIIa</t>
  </si>
  <si>
    <t>IIIb</t>
  </si>
  <si>
    <t>IIIc</t>
  </si>
  <si>
    <t>IIId</t>
  </si>
  <si>
    <t>IIIe</t>
  </si>
  <si>
    <t>Abweichend zu
erbringende
Leistungen</t>
  </si>
  <si>
    <t>JC Regionalverband Saarbrücken</t>
  </si>
  <si>
    <t>JC Vorpommern-Rügen</t>
  </si>
  <si>
    <t>36402</t>
  </si>
  <si>
    <t>39104</t>
  </si>
  <si>
    <t>39106</t>
  </si>
  <si>
    <t>43302</t>
  </si>
  <si>
    <t>43304</t>
  </si>
  <si>
    <t>43306</t>
  </si>
  <si>
    <t>45108</t>
  </si>
  <si>
    <t>71108</t>
  </si>
  <si>
    <t>71110</t>
  </si>
  <si>
    <t>72902</t>
  </si>
  <si>
    <t>72904</t>
  </si>
  <si>
    <t>72906</t>
  </si>
  <si>
    <t>72908</t>
  </si>
  <si>
    <t>72910</t>
  </si>
  <si>
    <t>03002</t>
  </si>
  <si>
    <t>08002</t>
  </si>
  <si>
    <t>Termin der Änderung</t>
  </si>
  <si>
    <t>¹</t>
  </si>
  <si>
    <t>²</t>
  </si>
  <si>
    <t>H2</t>
  </si>
  <si>
    <t>Die Daten für Ost- und Westdeutschland sowie der Bundesländer beinhalten die Buchungen der Jobcenter zuzüglich der Buchungen der SGB III-Dienststellen (BA) auf Finanzpositionen des SGB II. Buchungen der besonderen Dienststellen sowie der Regionaldirektionen sind nicht enthalten.</t>
  </si>
  <si>
    <t>Nutzungsbedingungen:</t>
  </si>
  <si>
    <t>JC Mecklenburgische Seenplatte Nord</t>
  </si>
  <si>
    <t>JC Mecklenburgische Seenplatte Süd</t>
  </si>
  <si>
    <t>Nicht verwendete Standard-Fußnoten</t>
  </si>
  <si>
    <t>Zentraler Statistik-Service</t>
  </si>
  <si>
    <t>Zentraler-Statistik-Service@arbeitsagentur.de</t>
  </si>
  <si>
    <t>Zahlungsansprüche im SGB II</t>
  </si>
  <si>
    <t>Migration</t>
  </si>
  <si>
    <t>Frauen und Männer</t>
  </si>
  <si>
    <t>Tabellen</t>
  </si>
  <si>
    <t>Herausgeberin:</t>
  </si>
  <si>
    <t>0911/179-3632</t>
  </si>
  <si>
    <t>Produktlinie/Reihe:</t>
  </si>
  <si>
    <t>Periodizität:</t>
  </si>
  <si>
    <t>Nächster Veröffentlichungstermin:</t>
  </si>
  <si>
    <t>jährlich</t>
  </si>
  <si>
    <t>Langzeitarbeitslosigkeit</t>
  </si>
  <si>
    <t>Berufe</t>
  </si>
  <si>
    <t>Wirtschaftszweige</t>
  </si>
  <si>
    <t xml:space="preserve">Abkürzungen und Zeichen, die in den Produkten der Statistik der BA vorkommen, werden im </t>
  </si>
  <si>
    <t>Abkürzungsverzeichnis</t>
  </si>
  <si>
    <t>http://doku.iab.de/forschungsbericht/2013/fb1113.pdf</t>
  </si>
  <si>
    <t>Glossar</t>
  </si>
  <si>
    <t>Verwaltungs-
kosten ² ³</t>
  </si>
  <si>
    <t>nachrichtlich:
Leistungen für
Bildung und
Teilhabe ⁴</t>
  </si>
  <si>
    <t>⁵</t>
  </si>
  <si>
    <t>⁶</t>
  </si>
  <si>
    <t>⁷</t>
  </si>
  <si>
    <t>Abkürzungen</t>
  </si>
  <si>
    <t>Allgemeine Hinweise</t>
  </si>
  <si>
    <t>Die Ausgaben für aktive und passive Leistungen sind die tatsächlich erbrachten Zahlungen der Jobcenter. Das heißt, dass Rückeinnahmen den Ausgaben zufließen. Dies können zum Beispiel zu viel geleistete Ausgaben (Rückzahlung aufgrund der Unrechtmäßigkeit einer Zahlung, zum Beispiel Doppelzahlung, Überzahlung) sein.</t>
  </si>
  <si>
    <t>Gebietsstand</t>
  </si>
  <si>
    <t>Datenquellen</t>
  </si>
  <si>
    <t>Für Jobcenter in gemeinsamer Einrichtung:</t>
  </si>
  <si>
    <t>Finanzsysteme der Bundesagentur für Arbeit (BA)</t>
  </si>
  <si>
    <t>Die Daten für Deutschland beinhalten die Buchungen der Jobcenter zuzüglich der Buchungen der Regionaldirektionen, der besonderen Dienststellen und SGB III-Dienststellen (BA) auf Finanzpositionen des SGB II.</t>
  </si>
  <si>
    <t>Für Jobcenter in zugelassener kommunaler Trägerschaft:</t>
  </si>
  <si>
    <t>Aktuelle Version unter:</t>
  </si>
  <si>
    <t>Für kommunale Träger (Rückübertragung Bildung und Teilhabe):</t>
  </si>
  <si>
    <t>Hochrechnung regionaler Untererfassung</t>
  </si>
  <si>
    <t>zurück zum Inhalt</t>
  </si>
  <si>
    <t>.X</t>
  </si>
  <si>
    <t>Fehlende Werte bei einzelnen Trägern können wegen unplausibler beziehungsweise unvollständiger Datenlage auftreten.</t>
  </si>
  <si>
    <t>Nachweis ist nicht sinnvoll</t>
  </si>
  <si>
    <t>Kosten der Unterkunft</t>
  </si>
  <si>
    <t>Kosten der
Unterkunft</t>
  </si>
  <si>
    <t>Eingliederungsleistungen ¹</t>
  </si>
  <si>
    <t>Verwaltungskosten ² ³</t>
  </si>
  <si>
    <t>nachrichtlich: Leistungen für Bildung und Teilhabe ⁴</t>
  </si>
  <si>
    <t>² Die Ausgaben für überörtliche Verwaltungsaufgaben der BA sowie für sonstige überörtlich wahrzunehmende Aufgaben der BA (z.B. SGB II-Statistik) und Sonderbedarfe (z.B. für Organisationsänderungen gemäß § 6a Absatz 7 SGB II und für die Umsetzung der Bundesprogramme) sind nicht enthalten.</t>
  </si>
  <si>
    <t>³ Die Verwaltungsausgaben beinhalten nicht den kommunalen Finanzierungsanteil.</t>
  </si>
  <si>
    <t>⁴ Für die Leistungen für Bildung und Teilhabe nach § 28 SGB II besteht noch keine vollständige Datenübermittlung. Aus diesem Grund werden die Ausgaben für Bildung und Teilhabe nur nachrichtlich für die einzelnen Jobcenter berichtet und fließen daher auch nicht in die Insgesamtsumme ein. Es werden keine Summen für Deutschland, Westdeutschland, Ostdeutschland und für die Bundesländer gebildet. Ein Vorjahresvergleich ist nur eingeschränkt möglich.</t>
  </si>
  <si>
    <t>Ausgaben für aktive und passive Leistungen im SGB II (Jahreszahlen)</t>
  </si>
  <si>
    <t>Die Zuordnung der Jobcenter basiert auf der Vergleichstypisierung des Instituts für Arbeitsmarkt- und Berufsforschung (IAB). Weitere Informationen finden Sie im Internet unter:</t>
  </si>
  <si>
    <t>Vergleichstypisierung</t>
  </si>
  <si>
    <t>Ausbildungsmarkt</t>
  </si>
  <si>
    <t>Förderung und berufliche Rehabilitation</t>
  </si>
  <si>
    <t>Bildung</t>
  </si>
  <si>
    <t>Einnahmen/Ausgaben</t>
  </si>
  <si>
    <t>Familien und Kinder</t>
  </si>
  <si>
    <t>Regionale Mobilität</t>
  </si>
  <si>
    <t>dav. (Sp. 1)</t>
  </si>
  <si>
    <t>Ausgaben für
Leistungen zur
Sozialver-
sicherung</t>
  </si>
  <si>
    <t>Einglie-
derungs-
leistungen ¹</t>
  </si>
  <si>
    <t>Veränderung der
Ausgaben gegenüber
dem Vorjahr</t>
  </si>
  <si>
    <t>Anteil an
Insgesamt
in %</t>
  </si>
  <si>
    <t>Tabelle 1: Ausgaben für aktive und passive Leistungen im SGB II</t>
  </si>
  <si>
    <t>Tabelle 2: Ausgaben für aktive und passive Leistungen im SGB II - Regionenvergleich</t>
  </si>
  <si>
    <t>JC Landkreis Rostock</t>
  </si>
  <si>
    <r>
      <t xml:space="preserve">Region für die Auswahlliste
(ohne Gebietsstand)
</t>
    </r>
    <r>
      <rPr>
        <sz val="9"/>
        <color theme="1"/>
        <rFont val="Arial"/>
        <family val="2"/>
      </rPr>
      <t>(Trägernummer und Trägerbezeichnung
im gelben Bereich sind zu aktualisieren)</t>
    </r>
  </si>
  <si>
    <r>
      <t xml:space="preserve">Region für die Tabellenüberschrift
</t>
    </r>
    <r>
      <rPr>
        <sz val="9"/>
        <color theme="1"/>
        <rFont val="Arial"/>
        <family val="2"/>
      </rPr>
      <t>(Formeln im grünen Bereich müssen
 i.d.R. nicht angepasst werden)</t>
    </r>
  </si>
  <si>
    <t xml:space="preserve">Hinweise
über der
Tabelle
</t>
  </si>
  <si>
    <r>
      <t xml:space="preserve">Hinweise und Fußnoten
</t>
    </r>
    <r>
      <rPr>
        <sz val="9"/>
        <color theme="1"/>
        <rFont val="Arial"/>
        <family val="2"/>
      </rPr>
      <t>(Text und Nummerierung
hier anpassen)</t>
    </r>
  </si>
  <si>
    <r>
      <t xml:space="preserve">Fußnote in der Regionen-
bezeichnung
</t>
    </r>
    <r>
      <rPr>
        <sz val="9"/>
        <color theme="1"/>
        <rFont val="Arial"/>
        <family val="2"/>
      </rPr>
      <t>(Formeln im grünen Bereich müssen
i.d.R. nicht angepasst werden)</t>
    </r>
  </si>
  <si>
    <t xml:space="preserve">Gebietsstand
</t>
  </si>
  <si>
    <t>X</t>
  </si>
  <si>
    <t xml:space="preserve">⁷ Aufgrund einer Mischkreisfusion mit neuer Trägerschaft gE und der damit verbundenen teilweisen Umstellungsprozesse in der Datenübermittlung ist der Vorjahresvergleich der Ausgaben eingeschränkt. </t>
  </si>
  <si>
    <t>.</t>
  </si>
  <si>
    <t>Fachstatistiken:</t>
  </si>
  <si>
    <t>Arbeitsuche, Arbeitslosigkeit und Unterbeschäftigung</t>
  </si>
  <si>
    <t>Gemeldete Arbeitsstellen</t>
  </si>
  <si>
    <t>Themen im Fokus:</t>
  </si>
  <si>
    <t>Demografie</t>
  </si>
  <si>
    <t>Eingliederungsbilanzen</t>
  </si>
  <si>
    <t>Entgelt</t>
  </si>
  <si>
    <t>Fachkräftebedarf</t>
  </si>
  <si>
    <t>Menschen mit Behinderungen</t>
  </si>
  <si>
    <t>Zeitarbeit</t>
  </si>
  <si>
    <t>Die Daten für Deutschland insgesamt beinhalten die Buchungen der Jobcenter zuzüglich der Buchungen der Regionaldirektionen, der besonderen Dienststellen und SGB III-Dienststellen (BA) auf Finanzpositionen des SGB II.</t>
  </si>
  <si>
    <t>Statistik der Bundesagentur für Arbeit</t>
  </si>
  <si>
    <t>Für Zwecke der maschinellen Lesbarkeit enthält diese Datei beim Öffnen ausgeblendete Arbeitsblätter mit den unformatierten und nicht gefilterten Grundlagendaten.</t>
  </si>
  <si>
    <t>Die Ausgaben für Bildung und Teilhabe werden nicht hochgerechnet.</t>
  </si>
  <si>
    <t>Veränderungswert &gt;250% bzw. Veränderungswert &lt;-250%</t>
  </si>
  <si>
    <t>Jüngere</t>
  </si>
  <si>
    <t>Ukraine-Krieg</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</si>
  <si>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</si>
  <si>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</si>
  <si>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t>¹ Umfasst alle Eingliederungsleistungen nach § 16 ff. SGB II (ohne kommunale Eingliederungsleistungen gem. § 16a SGB II), die durch den Bund erstattungsfähig sind. Die Kosten für die Eignungsfeststellung nach § 16 SGB II in Verbindung mit § 32 SGB III können sowohl über das Verwaltungsbudget als auch als Eingliederungsleistung abgerechnet werden.</t>
  </si>
  <si>
    <t>Grafik 1: Anteile der Ausgabearten an allen Ausgaben im SGB II in %</t>
  </si>
  <si>
    <t>https://statistik.arbeitsagentur.de/DE/Navigation/Grundlagen/Datenquellen/Datenstandard-XSozial/Datenstandard-XSozial-Nav.html</t>
  </si>
  <si>
    <t>Datenstandard XSozial-BA-SGB II</t>
  </si>
  <si>
    <t>Die Jobcenter in gemeinsamer Einrichtung haben die Möglichkeit, die Aufgaben für Bildung und Teilhabe ganz oder teilweise an die kommunalen Träger zu übertragen. Diese Daten werden über den Datenstandard XSozial-BA-SGB II BuT geliefert.</t>
  </si>
  <si>
    <t>04546</t>
  </si>
  <si>
    <t>04518</t>
  </si>
  <si>
    <t>Transformation</t>
  </si>
  <si>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</si>
  <si>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r>
      <rPr>
        <sz val="10"/>
        <rFont val="Arial"/>
        <family val="2"/>
      </rPr>
      <t xml:space="preserve">bzw. der </t>
    </r>
    <r>
      <rPr>
        <u/>
        <sz val="10"/>
        <color indexed="12"/>
        <rFont val="Arial"/>
        <family val="2"/>
      </rPr>
      <t>Zeichenerklärung</t>
    </r>
    <r>
      <rPr>
        <sz val="10"/>
        <rFont val="Arial"/>
        <family val="2"/>
      </rPr>
      <t xml:space="preserve"> der Statistik der BA erläutert.</t>
    </r>
  </si>
  <si>
    <t>Region</t>
  </si>
  <si>
    <t>Bundes-
land</t>
  </si>
  <si>
    <t>Ver-
gleichs-
typ</t>
  </si>
  <si>
    <t>Produkt-ID:</t>
  </si>
  <si>
    <t>Berichtsmonat:</t>
  </si>
  <si>
    <t>Hinweise:</t>
  </si>
  <si>
    <t>https://statistik.arbeitsagentur.de</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</si>
  <si>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</si>
  <si>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</si>
  <si>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09437</t>
  </si>
  <si>
    <t>09439</t>
  </si>
  <si>
    <t>09441</t>
  </si>
  <si>
    <t>09318</t>
  </si>
  <si>
    <t>04308</t>
  </si>
  <si>
    <t>04418</t>
  </si>
  <si>
    <t>04448</t>
  </si>
  <si>
    <t>Gemeindeverschiebung</t>
  </si>
  <si>
    <t>⁵ Aufgrund von Änderungen in der Regionalzuordnung von Gemeinden zu Jobcentern ist ein Vergleich mit dem Vorjahr nur eingeschränkt möglich.</t>
  </si>
  <si>
    <t>⁶ Trägerfusion: Die Daten beziehen sich auf den Gebietsstand zum Dezember 2022. Die Daten für das Jahr 2021 wurden auf den neuen Gebietsstand umgerechnet.</t>
  </si>
  <si>
    <t>2023</t>
  </si>
  <si>
    <t>09740</t>
  </si>
  <si>
    <t>Bürgergeld</t>
  </si>
  <si>
    <t>Bürgergeld (ohne Altfälle)</t>
  </si>
  <si>
    <t>Träger-Nr.
(2023)</t>
  </si>
  <si>
    <t>Bundes-land-Nr.</t>
  </si>
  <si>
    <t>Vergleichs-
typ</t>
  </si>
  <si>
    <t>H3</t>
  </si>
  <si>
    <t>Mit Ausnahme der Ausgaben für Bildung und Teilhabe wurden die Informationen für Deutschland, Ost- und Westdeutschland sowie die Bundesländer um die unplausiblen bzw. nicht vorhandenen Daten einzelner Jobcenter hochgerechnet. Für unplausible bzw. unvollständige Datenlieferungen im Bereich Eingliederungsleistungen wird bereits auf Jobcenter-Ebene ein Schätzwert gebildet.</t>
  </si>
  <si>
    <t>Nicht
erwerbsfähige
Leistungs-
berechtigte
(NEF)</t>
  </si>
  <si>
    <t>Erwerbsfähige
Leistungs-
berechtigte
(ELB)</t>
  </si>
  <si>
    <t>dav. (Sp. 3)</t>
  </si>
  <si>
    <t>Regel-
leistungs-
berechtigte
(RLB)</t>
  </si>
  <si>
    <t>dar. (Sp. 2)</t>
  </si>
  <si>
    <t>Personen in Bedarfs-
gemein-
schaften
(PERS)</t>
  </si>
  <si>
    <t>Bedarfs-
gemein-
schaften
(BG)</t>
  </si>
  <si>
    <t>Tabelle 3: Eckwerte der Grundsicherung im SGB II</t>
  </si>
  <si>
    <r>
      <rPr>
        <vertAlign val="superscript"/>
        <sz val="8"/>
        <color theme="1"/>
        <rFont val="Arial"/>
        <family val="2"/>
      </rPr>
      <t>2</t>
    </r>
    <r>
      <rPr>
        <sz val="8"/>
        <color theme="1"/>
        <rFont val="Arial"/>
        <family val="2"/>
      </rPr>
      <t xml:space="preserve"> Die Einmalleistungen nach § 70 und 71 SGB II (Einmalzahlung aus Anlass der COVID-19-Pandemie und Kinderfreizeitbonus und weitere Regelung aus Anlass der COVID-19-Pandemie) sind im Gegensatz zu den Ausgaben nicht in den Zahlungsansprüchen für Arbeitslosengeld II / Sozialgeld enthalten.</t>
    </r>
  </si>
  <si>
    <t xml:space="preserve">¹ Aufgrund der Vergleichbarkeit mit Tabelle 1 und 2 weichen die Zahlungsansprüche geringfügig von anderweitig veröffentlichten Zahlungsansprüchen in der Grundsicherungsstatistik SGB II ab. </t>
  </si>
  <si>
    <t>Zahlungs-
ansprüche für
Leistungen zur
Sozialver-
sicherung</t>
  </si>
  <si>
    <t>Abweichend
zu erbringende
Leistungen</t>
  </si>
  <si>
    <r>
      <t xml:space="preserve">Zahlungs-
ansprüche
insgesamt </t>
    </r>
    <r>
      <rPr>
        <vertAlign val="superscript"/>
        <sz val="8"/>
        <color theme="1"/>
        <rFont val="Arial"/>
        <family val="2"/>
      </rPr>
      <t>1)</t>
    </r>
  </si>
  <si>
    <t>Tabelle 4: Zahlungsanspüche im SGB II</t>
  </si>
  <si>
    <r>
      <rPr>
        <b/>
        <sz val="9"/>
        <color theme="1"/>
        <rFont val="Arial"/>
        <family val="2"/>
      </rPr>
      <t>Wartezeitkonzept:</t>
    </r>
    <r>
      <rPr>
        <sz val="9"/>
        <color theme="1"/>
        <rFont val="Arial"/>
        <family val="2"/>
      </rPr>
      <t xml:space="preserve"> Ergebnisse der Leistungsstatistik SGB II werden mit einer Wartezeit von 3 Monaten festgeschrieben, während zahlungsrelevante Änderungen in der Regel in der Ausgabensumme am aktuellen Rand aufgeführt werden.</t>
    </r>
    <r>
      <rPr>
        <sz val="8"/>
        <color theme="1"/>
        <rFont val="Arial"/>
        <family val="2"/>
      </rPr>
      <t xml:space="preserve">
</t>
    </r>
  </si>
  <si>
    <r>
      <rPr>
        <b/>
        <sz val="9"/>
        <color theme="1"/>
        <rFont val="Arial"/>
        <family val="2"/>
      </rPr>
      <t>Zeitliche Zuordnung:</t>
    </r>
    <r>
      <rPr>
        <sz val="9"/>
        <color theme="1"/>
        <rFont val="Arial"/>
        <family val="2"/>
      </rPr>
      <t xml:space="preserve"> Die Leistungsstatistik SGB II ordnet Zahlungsansprüche dem Bedarfsmonat zu, während sich die Zählung von Ausgaben in der Regel am Zeitpunkt des Geldflusses orientiert. Nachzahlungen für mehrere nachbewilligte Leistungsmonate werden somit bei den Ausgaben im Zahlmonat als Summe ausgewiesen, in der Leistungsstatistik SGB II im jeweiligen Bedarfsmonat.</t>
    </r>
  </si>
  <si>
    <r>
      <rPr>
        <b/>
        <sz val="9"/>
        <color theme="1"/>
        <rFont val="Arial"/>
        <family val="2"/>
      </rPr>
      <t>Bestandskonzept versus Zahlungsfluss:</t>
    </r>
    <r>
      <rPr>
        <sz val="9"/>
        <color theme="1"/>
        <rFont val="Arial"/>
        <family val="2"/>
      </rPr>
      <t xml:space="preserve"> Während die Leistungsstatistik SGB II ausschließlich Zahlungsansprüche von Bedarfsgemeinschaften summiert, die zum statistischen Stichtag (Mitte des Monats) bestandsrelevant waren, bezieht die Ausgabensumme in der Regel alle Ausgaben eines Zeitraums ein, also auch für BG, die nicht bestandsrelevant waren.</t>
    </r>
  </si>
  <si>
    <t>Die Statistik der Bundesagentur für Arbeit berichtet seit 2005 im Rahmen der Grundsicherungsstatistik über passive Leistungen zum Lebensunterhalt aus dem SGB II an Bedarfsgemeinschaften und Personen. Diese Zahlungsansprüche finden grundsätzlich als Summen ihre Entsprechung in den Ausgaben eines Trägers. Die Summe der Zahlungsansprüche aus der Leistungsstatistik SGB II und die Ausgabensummen aus den Haushaltsdaten der Träger sind allerdings aufgrund von mess- und zähltechnischen Unterschieden nicht identisch:</t>
  </si>
  <si>
    <r>
      <t xml:space="preserve">Regelbedarfe, Mehrbedarfe, unabweisbarer Bedarf </t>
    </r>
    <r>
      <rPr>
        <vertAlign val="superscript"/>
        <sz val="8"/>
        <color theme="1"/>
        <rFont val="Arial"/>
        <family val="2"/>
      </rPr>
      <t>2)</t>
    </r>
  </si>
  <si>
    <t>Die Informationen für Bürgergeld (ohne KdU), Kosten der Unterkunft, Ausgaben für Leistungen zur Sozialversicherung, Verwaltungskosten und Abweichend zu erbringende Leistungen wurden für die Bundesländer um die unplausiblen beziehungsweise nicht vorhandenen Daten einzelner Jobcenter hochgerechnet. Basis hierfür ist die Relation des jahresdurchschnittlichen Bestands an Bedarfsgemeinschaften der Jobcenter, für die Informationen über die jeweilige Kostenart vorliegen, bezogen auf alle Jobcenter. Für die unplausiblem Leistungen der Eingliederung wird ein Schätzwert ermittelt und verwendet.</t>
  </si>
  <si>
    <t>Es besteht noch keine vollständige Datenübermittlung. Aus diesem Grund werden die Ausgaben für die Erbringung von Bildungs- und Teilhabeleistungen nur nachrichtlich für die einzelnen Jobcenter berichtet und fließen nicht in die Gesamtsumme der Ausgaben für aktive und passive Leistungen im SGB II ein. Zudem werden keine Werte für Deutschland, Westdeutschland, Ostdeutschland und für die Bundesländer ausgewiesen. Ein Vorjahresvergleich ist nicht sinnvoll.</t>
  </si>
  <si>
    <t>Die Leistungen für Bildung und Teilhabe im SGB II können vom zugelassenen kommunalen Träger, von der gemeinsamen Einrichtung oder vom kommunalen Träger, dem die Aufgaben von einer gemeinsamen Einrichtung rückübertragen wurden, erbracht werden. Es werden somit Daten aus drei Quellen an die Statistik der Bundesagentur für Arbeit übermittelt.</t>
  </si>
  <si>
    <t>■   Tilgungen der darlehensweisen Übernahme von mehrtägigen Klassenfahrten im Rahmen schulrechtlicher Bestimmungen und 
       mehrtägigen KiTa-/Tagespflegefahrten</t>
  </si>
  <si>
    <t>■   Darlehensweise Übernahme von mehrtägigen Klassenfahrten im Rahmen schulrechtlicher Bestimmungen und mehrtägigen
       KiTa-/Tagespflegefahrten</t>
  </si>
  <si>
    <t>■   Teilhabe am sozialen und kulturellen Leben nach § 28 (7) SGB II</t>
  </si>
  <si>
    <t>■   Mittagsverpflegung für Kinder in einer KiTa-/Tagespflege</t>
  </si>
  <si>
    <t>■   Mittagsverpflegung für Schüler</t>
  </si>
  <si>
    <t>■   Lernförderung</t>
  </si>
  <si>
    <t>■   Schülerbeförderung</t>
  </si>
  <si>
    <t>■   Schulbedarf</t>
  </si>
  <si>
    <t>■   Mehrtägige KiTa-/Tagespflegefahrten</t>
  </si>
  <si>
    <t>■   Mehrtägige Klassenfahrten im Rahmen schulrechtlicher Bestimmungen</t>
  </si>
  <si>
    <t>■   Eintägige KiTa-/Tagespflegeausflüge</t>
  </si>
  <si>
    <t>■   Eintägige Schulausflüge</t>
  </si>
  <si>
    <t>Kinder, Jugendliche und junge Erwachsene können neben ihrem monatlichen Regelbedarf auch sogenannte Leistungen für Bildung und Teilhabe erhalten. Hierzu zählen:</t>
  </si>
  <si>
    <t>Leistungen für Bildung und Teilhabe</t>
  </si>
  <si>
    <t>■   Tilgungen der darlehensweisen Übernahme der Erstausstattung für Bekleidung und Erstausstattung bei Schwangerschaft und Geburt</t>
  </si>
  <si>
    <t>■   Tilgungen der darlehensweisen Übernahme der Erstausstattung für Wohnung einschl. Haushaltsgeräten</t>
  </si>
  <si>
    <t>■   Darlehensweise Übernahme der Erstausstattung für Bekleidung und Erstausstattung bei Schwangerschaft und Geburt</t>
  </si>
  <si>
    <t>■   Darlehensweise Übernahme der Erstausstattung für Wohnung einschl. Haushaltsgeräten</t>
  </si>
  <si>
    <t>■   Erstausstattung für Bekleidung und Erstausstattung bei Schwangerschaft und Geburt</t>
  </si>
  <si>
    <t>■   Erstausstattung für Wohnung einschl. Haushaltsgeräten</t>
  </si>
  <si>
    <t>Bei den abweichend zu erbringenden Leistungen handelt es sich um folgende Leistungen:</t>
  </si>
  <si>
    <t xml:space="preserve">Die dargestellten Verwaltungsausgaben beinhalten nicht den kommunalen Finanzierungsanteil. </t>
  </si>
  <si>
    <t>Die Ausgaben für überörtliche Verwaltungsaufgaben der BA sowie für sonstige überörtlich wahrzunehmende Aufgaben der BA (zum Beispiel SGB II-Statistik) und Sonderbedarfe (zum Beispiel für Organisationsänderungen gemäß § 6a Abs. 7 SGB II und für die Umsetzung der Bundesprogramme) sind nicht enthalten.</t>
  </si>
  <si>
    <t>Die Verwaltungskosten umfassen alle Zahlungen der Jobcenter, die im Rahmen der Verwaltung anfallen und vom Bund getragen werden. Darunter fallen zum Beispiel Personalkosten, Sachkosten oder Immobilienkosten. Eine Überschreitung des Budgets ist aufgrund der gegenseitigen Deckungsfähigkeit der Titel für Eingliederungsleistungen und Verwaltungskosten möglich.</t>
  </si>
  <si>
    <t>Seite 3/3</t>
  </si>
  <si>
    <t>Nicht berücksichtigt sind Ausgaben für kommunale Eingliederungsleistungen gemäß § 16a SGB II (Kinderbetreuung, häusliche Pflege von Angehörigen, Schuldnerberatung, psychosoziale Betreuung und Suchtberatung). Es handelt sich um Leistungen, die durch kommunale Träger erbracht werden und deren Ausgaben nicht für die Übermittlung an die Bundesagentur für Arbeit vorgesehen sind.</t>
  </si>
  <si>
    <t>Bei den Ausgaben handelt es sich um die verwendeten finanziellen Mittel eines abgeschlossenen Haushaltsjahres, die den Trägern der Grundsicherung für die Eingliederungsleistungen zugewiesen wurden.</t>
  </si>
  <si>
    <t>■   Hochwasserhilfe</t>
  </si>
  <si>
    <t>■   Zuschüsse i. R. d. Sicherstellungsauftrags Sozialdienstleister-Einsatz-Gesetz</t>
  </si>
  <si>
    <t>■   Erstattungen von Leistungen zur Rehabilitation an öffentlich-rechtliche Träger</t>
  </si>
  <si>
    <t>■   Reisekosten</t>
  </si>
  <si>
    <t>■   Bürgergeldbonus</t>
  </si>
  <si>
    <t>Sonstige Förderung</t>
  </si>
  <si>
    <t>■   Freie Förderung SGB II</t>
  </si>
  <si>
    <t>Freie Förderung</t>
  </si>
  <si>
    <t>■   Teilhabe am Arbeitsmarkt</t>
  </si>
  <si>
    <t>■   Förderung von Arbeitsverhältnissen</t>
  </si>
  <si>
    <t>■   Arbeitsgelegenheiten</t>
  </si>
  <si>
    <t>Beschäftigung schaffende Maßnahmen</t>
  </si>
  <si>
    <t>■   besondere Maßnahmen zur beruflichen Weiterbildung von Menschen mit Behinderungen</t>
  </si>
  <si>
    <t>besondere Maßnahmen zur Teilhabe von Menschen mit Behinderungen</t>
  </si>
  <si>
    <t>■   Leistungen zur Eingliederung von Selbständigen</t>
  </si>
  <si>
    <t>■   Eingliederung von Langzeitarbeitslosen</t>
  </si>
  <si>
    <t>■   Einstiegsgeld bei selbständiger Erwerbstätigkeit</t>
  </si>
  <si>
    <t>■   Beschäftigungszuschuss (Restabwicklung)</t>
  </si>
  <si>
    <t>■   Einstiegsgeld bei abhängiger sozialversicherungspflichtiger Erwerbstätigkeit</t>
  </si>
  <si>
    <t>■   Eingliederungszuschuss für besonders betroffene schwerbehinderte Menschen</t>
  </si>
  <si>
    <t>■   Eingliederungszuschuss</t>
  </si>
  <si>
    <t>Aufnahme einer Erwerbstätigkeit</t>
  </si>
  <si>
    <t>■   Arbeitsentgeltzuschuss bei beruflicher Weiterbildung Beschäftigter</t>
  </si>
  <si>
    <t>■   Rehabilitanden in Förderung der beruflichen Weiterbildung</t>
  </si>
  <si>
    <t>■   Förderung der beruflichen Weiterbildung</t>
  </si>
  <si>
    <t>Berufliche Weiterbildung</t>
  </si>
  <si>
    <t>■   Zuschuss für schwerbehinderte Menschen im Anschluss an Aus- und Weiterbildung</t>
  </si>
  <si>
    <t>■   Einstiegsqualifizierung</t>
  </si>
  <si>
    <t xml:space="preserve">■   Zuschüsse zur Ausbildungsvergütung für Menschen mit Behinderungen und schwerbehinderte Menschen </t>
  </si>
  <si>
    <t>■   Außerbetriebliche Berufsausbildung</t>
  </si>
  <si>
    <t>■   Ausbildungsbegleitende Hilfen</t>
  </si>
  <si>
    <t>■   Assistierte Ausbildung</t>
  </si>
  <si>
    <t>Berufswahl und Berufsausbildung</t>
  </si>
  <si>
    <t>■   Ganzheitliche Betreuung</t>
  </si>
  <si>
    <t>■   Förderung schwer zu erreichender junger Menschen</t>
  </si>
  <si>
    <t>■   Arbeitshilfen für Menschen mit Behinderungen</t>
  </si>
  <si>
    <t>■   Probebeschäftigung für Menschen mit Behinderungen</t>
  </si>
  <si>
    <t>■   Maßnahmen zur Aktivierung und beruflichen Eingliederung</t>
  </si>
  <si>
    <t>■   Vermittlungsbudget</t>
  </si>
  <si>
    <t>Aktivierung und berufliche Eingliederung</t>
  </si>
  <si>
    <t>Die Ausgaben für Eingliederungsleistungen umfassen folgende Maßnahmen der aktiven Arbeitsmarktpolitik:</t>
  </si>
  <si>
    <t>Seite 2/3</t>
  </si>
  <si>
    <t>■   Zusatzbeiträge zur gesetzlichen oder freiwillig gesetzlichen Krankenversicherung zur Vermeidung von Hilfebedürftigkeit
      (ab dem 01.01.2017 in den Zuschüssen zur gesetzlichen Krankenversicherung enthalten)</t>
  </si>
  <si>
    <t>■   Zuschüsse zur privaten und sozialen Pflegeversicherung zur Vermeidung von Hilfebedürftigkeit</t>
  </si>
  <si>
    <t>■   Zuschüsse zur privaten, gesetzlichen oder freiwillig gesetzlichen Krankenversicherung zur Vermeidung von Hilfebedürftigkeit</t>
  </si>
  <si>
    <t>■   Zuschüsse zu den Beiträgen zur privaten und sozialen Pflegeversicherung</t>
  </si>
  <si>
    <t>■   Zuschüsse zu den Beiträgen bei Befreiung von der Versicherungspflicht in der gesetzlichen Rentenversicherung
      (Rechtsgrundlage entfallen zum 01.01.2011)</t>
  </si>
  <si>
    <t>■   Zuschüsse zu den Beiträgen zur privaten, gesetzlichen oder freiwillig gesetzlichen Krankenversicherung</t>
  </si>
  <si>
    <t>■   Säumniszuschläge Pflegeversicherungsbeiträge</t>
  </si>
  <si>
    <t>■   Säumniszuschläge Rentenversicherungsbeiträge (Rechtsgrundlage entfallen zum 01.01.2011)</t>
  </si>
  <si>
    <t>■   Säumniszuschläge Krankenversicherungsbeiträge</t>
  </si>
  <si>
    <t>■   Pflegeversicherungsbeiträge</t>
  </si>
  <si>
    <t>■   Rentenversicherungsbeiträge (Rechtsgrundlage entfallen zum 01.01.2011)</t>
  </si>
  <si>
    <t>■   Krankenversicherungsbeiträge</t>
  </si>
  <si>
    <t>Bei den Leistungen zur Sozialversicherung handelt es sich um folgende Leistungen:</t>
  </si>
  <si>
    <t>Leistungen zur Sozialversicherung</t>
  </si>
  <si>
    <t>■   Tilgungen der darlehensweisen Übernahme von Instandhaltung und Reparatur von selbstgenutzem Wohneigentum</t>
  </si>
  <si>
    <t>■   Tilgungen der darlehensweisen Übernahme von Genossenschaftsanteilen</t>
  </si>
  <si>
    <t>■   Tilgungen der darlehensweisen Übernahme des Zuschusses zu den Leistungen für Unterkunft und Heizung bei 
      ausgeschlossenen Auszubildenden</t>
  </si>
  <si>
    <t>■   Tilgungen der darlehensweisen Übernahme der Mietschulden</t>
  </si>
  <si>
    <t>■   Tilgungen der darlehensweisen Übernahme der Wohnungsbeschaffungskosten, Mietkaution, Umzugskosten</t>
  </si>
  <si>
    <t>■   Tilgungen der darlehensweisen Übernahme der Leistungen für Unterkunft und Heizung</t>
  </si>
  <si>
    <t>■   Darlehen Instandhaltung und Reparatur bei selbstgenutzem Wohneigentum</t>
  </si>
  <si>
    <t>■   Darlehensweise Übernahme von Genossenschaftsanteilen</t>
  </si>
  <si>
    <t>■   Darlehensweise Übernahme des Zuschusses zu den Leistungen für Unterkunft und Heizung bei ausgeschlossenen
      Auszubildenden</t>
  </si>
  <si>
    <t>■   Darlehensweise Übernahme der Mietschulden</t>
  </si>
  <si>
    <t>■   Darlehensweise Übernahme der Wohnungsbeschaffungskosten, Mietkaution, Umzugskosten</t>
  </si>
  <si>
    <t>■   Darlehensweise Übernahme der Leistungen für Unterkunft und Heizung</t>
  </si>
  <si>
    <t>■   Zuschuss Instandhaltung und Reparatur bei selbstgenutztem Wohneigentum</t>
  </si>
  <si>
    <t>■   Zuschuss zu Genossenschaftsanteilen</t>
  </si>
  <si>
    <t>■   Zuschuss zu den Leistungen für Unterkunft und Heizung bei ausgeschlossenen Auszubildenden</t>
  </si>
  <si>
    <t>■   Übernahme der Mietschulden</t>
  </si>
  <si>
    <t>■   Wohnungsbeschaffungskosten, Mietkaution, Umzugskosten</t>
  </si>
  <si>
    <t>■   Leistungen für Unterkunft und Heizung</t>
  </si>
  <si>
    <t xml:space="preserve">Unter den Kosten der Unterkunft werden folgende Ausgaben zusammengefasst: </t>
  </si>
  <si>
    <t>■   Teilhabe am Arbeitsmarkt § 16i SGB II - Zuschuss zum Arbeitsentgelt</t>
  </si>
  <si>
    <t>■   Einmalzahlung aus Anlass der COVID-19-Pandemie nach § 70, 73 SGB II</t>
  </si>
  <si>
    <t>■   Leistungen für Mehrbedarfe beim Lebensunterhalt für nicht erwerbsfähige Leistungsberechtigte mit Behinderung nach 
      §19 Abs. 1 S. 2 i.V.m. §23 Nr.2 SGB II</t>
  </si>
  <si>
    <t>■   Leistungen für Mehrbedarfe beim Lebensunterhalt für erwerbsfähige Leistungsberechtigte mit  Behinderung nach 
      § 21 Abs. 4 SGB II</t>
  </si>
  <si>
    <t>■   Befristeter Zuschlag nach dem Bezug von Arbeitslosengeld (Rechtsgrundlage entfallen zum 01.01.2011)</t>
  </si>
  <si>
    <t>Seite 1/3</t>
  </si>
  <si>
    <t>Bürgergeld (Bundesleistung)</t>
  </si>
  <si>
    <t>Bürgergeld ist die Gesamtregelleistung zur Sicherung des Lebensunterhalts nach dem SGB II. Man unterscheidet zwischen Bürgergeld für erwerbsfähige Leistungsberechtigte nach § 19 Absatz 1 Satz 1 SGB II (Bürgergeld für ELB, vor 2023: Arbeitslosengeld II) und Bürgergeld für nicht erwerbsfähige Leistungsberechtigte nach § 19 Absatz 1 Satz 2 SGB II (Bürgergeld für NEF, vor 2023: Sozialgeld).</t>
  </si>
  <si>
    <t>Die Ausgaben für Bürgergeld (ohne Kosten der Unterkunft) beinhalten folgende Bundesleistungen:</t>
  </si>
  <si>
    <r>
      <t>■   Darlehensweise Geldleistungen bzw. Anschaffung von Sachleistungen nach § 24 Abs. 1 SGB II</t>
    </r>
    <r>
      <rPr>
        <sz val="9"/>
        <color rgb="FFFF0000"/>
        <rFont val="Arial"/>
        <family val="2"/>
      </rPr>
      <t xml:space="preserve"> </t>
    </r>
  </si>
  <si>
    <t>■   Leistungen für Mehrbedarfe beim Lebensunterhalt für werdende Mütter nach § 21 Abs. 2 SGB II</t>
  </si>
  <si>
    <t xml:space="preserve">■   Leistungen für Mehrbedarfe beim Lebensunterhalt für Alleinerziehende nach § 21 Abs. 3 SGB II </t>
  </si>
  <si>
    <t xml:space="preserve">■   Leistungen für Mehrbedarfe beim Lebensunterhalt für kostenaufwändige Ernährung nach § 21 Abs. 5 SGB II </t>
  </si>
  <si>
    <r>
      <t>■   Unabweisbare besondere Bedarfe, die in atypischen Lebenslagen anfallen nach § 21 Abs. 6 SGB II</t>
    </r>
    <r>
      <rPr>
        <sz val="9"/>
        <color rgb="FFFF0000"/>
        <rFont val="Arial"/>
        <family val="2"/>
      </rPr>
      <t xml:space="preserve"> </t>
    </r>
  </si>
  <si>
    <t xml:space="preserve">■   Leistungen für Mehrbedarfe - Energie und Warmwasser nach § 21 Abs. 7 SGB II </t>
  </si>
  <si>
    <t xml:space="preserve">■   Leistungen für Mehrbedarfe - Schulbuchförderung nach § 21 Abs. 6a SGB II </t>
  </si>
  <si>
    <t>■   Kinderfreizeitbonus Einmalzahlung nach §72 SGB II</t>
  </si>
  <si>
    <t xml:space="preserve">■   Mehrbedarf bei voller Erwerbsminderung und Behinderung mit Merkzeichen G nach § 19 Abs. 1 S. 2 i.V.m. § 23 Nr. 4 SGB II </t>
  </si>
  <si>
    <t>■   Durchschnittlicher Zusatzbeitrag zur Krankenversicherung</t>
  </si>
  <si>
    <t>Bei Bezug von Bürgergeld werden die Beiträge zur gesetzlichen Kranken- und Pflegeversicherung vom Träger der Grundsicherung direkt an den Sozialversicherungsträger überwiesen. War der Bürgergeld-Empfänger unmittelbar vor Beginn des Bezugs von Bürgergeld privat krankenversichert, kann max. der halbierte Beitrag im sog. Basistarif zur privaten Krankenversicherung als Zuschuss plus die Aufwendungen für eine private Pflegeversicherung übernommen werden.</t>
  </si>
  <si>
    <t>Bei Bezug von Bürgergeld besteht keine Pflichtversicherung in der gesetzlichen Rentenversicherung. Die Zeit des Bezugs wird jedoch durch das zuständige Jobcenter an die Rentenversicherung übermittelt, die dann prüft, ob eine Anrechnungszeit vorliegt.</t>
  </si>
  <si>
    <t>Bei den abweichend zu erbringenden Leistungen sind starke Abweichungen zwischen den Haushaltsdaten und den Zahlungsansprüchen vorhanden. Da es sich bei dieser Ausgabeart um Einmalleistungen handelt, kommen hier die Unterschiede der Messkonzepte noch stärker zum Tragen. Beispielsweise wird eine im Dezember 2022 beantragte Erstausstattung für eine Wohnung im Januar 2023 ausgezahlt. Dieser Vorgang wird in der Haushaltsstatistik im Januar 2023 verbucht und bei den Zahlungsansprüchen im Dezember 2022.</t>
  </si>
  <si>
    <t>■   Regelbedarf nach § 20 SGB II</t>
  </si>
  <si>
    <t>Deutschland, West/Ost, Länder und Jobcenter (Gebietsstand Dezember 2024)</t>
  </si>
  <si>
    <t>2024 (Kalenderjahr)</t>
  </si>
  <si>
    <t>Jahressumme 2024</t>
  </si>
  <si>
    <t>Deutschland, West/Ost und Jobcenter (Gebietsstand Dezember 2024)</t>
  </si>
  <si>
    <t>Jahresdurchschnitt 2024</t>
  </si>
  <si>
    <t>In diesem Produkt „Ausgaben im SGB II“ werden zum Vergleich und zur besseren Einschätzbarkeit hier die Summen der Zahlungsansprüche aus der Statistik über passive Leistungen aus dem SGB II des Jahres 2024 dargestellt. Die Aggregation der Zahlungsansprüche erfolgt spiegelbildlich zu den Kategorien der Ausgaben in Tabelle 1 und 2. Dies weicht geringfügig von den Darstellungen der Grundsicherungsstatistik SGB II ab.</t>
  </si>
  <si>
    <t>(Gebietsstand Dezember 2024)</t>
  </si>
  <si>
    <t>JC Vorpommern-Greifswald</t>
  </si>
  <si>
    <t>Träger-Nr.
(2024)</t>
  </si>
  <si>
    <t>Veränderung 2023 / 2024 - absolut</t>
  </si>
  <si>
    <t>Veränderung 2023 / 2024 - in Prozent</t>
  </si>
  <si>
    <t>Gebietsstandsänderung
2023 zu 2024</t>
  </si>
  <si>
    <t>Ausgaben für aktive und passive Leistungen im SGB II 2024</t>
  </si>
  <si>
    <t>Die Daten beziehen sich auf den Gebietsstand zum Dezember 2024.</t>
  </si>
  <si>
    <t>Die Zahlungsrückläufe und Rückeinnahmen aus dem Forderungseinzug von Bundesleistungen in den Finanzsystemen der BA aus früheren Jahren werden vom Bürgergeld abgezogen. Die Buchungssummen belaufen sich im Jahr 2024 bundesweit auf 3.001.302,47.</t>
  </si>
  <si>
    <t>Nicht berücksichtigt werden die Zuschüsse zu orthopädischen Schuhen, therapeutischen Geräten, Ausrüstungen sowie Miete von therapeutischen Ausrüstungen. In den Finanzsystemen der BA wurden im Jahr 2024 insgesamt 81.295,43 Euro erfasst.</t>
  </si>
  <si>
    <t>■   Berufsorientierungspraktikum</t>
  </si>
  <si>
    <t>■   Mobilitätszuschuss</t>
  </si>
  <si>
    <t>Stand: 11.04.2025</t>
  </si>
  <si>
    <t>Im Internet stehen statistische Informationen zu diesen Themen zur Verfügung:</t>
  </si>
  <si>
    <t>2024</t>
  </si>
  <si>
    <t>Stand: 17.11.2025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</si>
</sst>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 #,##0.00\ &quot;€&quot;_-;\-* #,##0.00\ &quot;€&quot;_-;_-* &quot;-&quot;??\ &quot;€&quot;_-;_-@_-"/>
    <numFmt numFmtId="164" formatCode="_-* #,##0\ _€_-;\-* #,##0\ _€_-;_-* &quot;-&quot;\ _€_-;_-@_-"/>
    <numFmt numFmtId="165" formatCode="#,##0\ "/>
    <numFmt numFmtId="166" formatCode="@\ *."/>
    <numFmt numFmtId="167" formatCode="0.0_)"/>
    <numFmt numFmtId="168" formatCode="\ @\ *."/>
    <numFmt numFmtId="169" formatCode="\+#\ ###\ ##0;\-\ #\ ###\ ##0;\-"/>
    <numFmt numFmtId="170" formatCode="* &quot;[&quot;#0&quot;]&quot;"/>
    <numFmt numFmtId="171" formatCode="*+\ #\ ###\ ###\ ##0.0;\-\ #\ ###\ ###\ ##0.0;* &quot;&quot;\-&quot;&quot;"/>
    <numFmt numFmtId="172" formatCode="\+\ #\ ###\ ###\ ##0.0;\-\ #\ ###\ ###\ ##0.0;* &quot;&quot;\-&quot;&quot;"/>
    <numFmt numFmtId="173" formatCode="* &quot;[&quot;#0\ \ &quot;]&quot;"/>
    <numFmt numFmtId="174" formatCode="##\ ###\ ##0"/>
    <numFmt numFmtId="175" formatCode="#\ ###\ ###"/>
    <numFmt numFmtId="176" formatCode="#\ ###\ ##0.0;\-\ #\ ###\ ##0.0;\-"/>
    <numFmt numFmtId="177" formatCode="#,##0.0"/>
    <numFmt numFmtId="178" formatCode="mmmm\ yyyy"/>
    <numFmt numFmtId="179" formatCode="* #,##0;* \-_ #,##0;\-"/>
    <numFmt numFmtId="180" formatCode="* 0.0;* \-_ 0.0;\-"/>
    <numFmt numFmtId="181" formatCode="* #,##0.0;* \-_ #,##0.0;\-"/>
    <numFmt numFmtId="182" formatCode="0.0"/>
    <numFmt numFmtId="183" formatCode="* #,##0;* \-#,##0;\-"/>
  </numFmts>
  <fonts count="90">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u/>
      <sz val="10"/>
      <color indexed="12"/>
      <name val="Arial"/>
      <family val="2"/>
    </font>
    <font>
      <b/>
      <sz val="10"/>
      <name val="Arial"/>
      <family val="2"/>
    </font>
    <font>
      <sz val="8"/>
      <name val="Arial"/>
      <family val="2"/>
    </font>
    <font>
      <sz val="7"/>
      <name val="Arial"/>
      <family val="2"/>
    </font>
    <font>
      <u/>
      <sz val="8"/>
      <color indexed="12"/>
      <name val="Tahoma"/>
      <family val="2"/>
    </font>
    <font>
      <sz val="6"/>
      <name val="Arial"/>
      <family val="2"/>
    </font>
    <font>
      <sz val="7.5"/>
      <name val="Arial"/>
      <family val="2"/>
    </font>
    <font>
      <b/>
      <sz val="8"/>
      <name val="Arial"/>
      <family val="2"/>
    </font>
    <font>
      <sz val="10"/>
      <name val="Arial"/>
      <family val="2"/>
    </font>
    <font>
      <u/>
      <sz val="10"/>
      <color indexed="12"/>
      <name val="Arial"/>
      <family val="2"/>
    </font>
    <font>
      <sz val="8"/>
      <name val="Tahoma"/>
      <family val="2"/>
    </font>
    <font>
      <b/>
      <sz val="12"/>
      <name val="Arial"/>
      <family val="2"/>
    </font>
    <font>
      <sz val="10"/>
      <color indexed="8"/>
      <name val="Arial"/>
      <family val="2"/>
    </font>
    <font>
      <sz val="9"/>
      <name val="Arial"/>
      <family val="2"/>
    </font>
    <font>
      <u/>
      <sz val="10"/>
      <name val="Arial"/>
      <family val="2"/>
    </font>
    <font>
      <b/>
      <sz val="14"/>
      <name val="Arial"/>
      <family val="2"/>
    </font>
    <font>
      <u/>
      <sz val="10"/>
      <color indexed="8"/>
      <name val="Arial"/>
      <family val="2"/>
    </font>
    <font>
      <b/>
      <sz val="11"/>
      <name val="Arial"/>
      <family val="2"/>
    </font>
    <font>
      <sz val="10"/>
      <name val="Arial"/>
      <family val="2"/>
    </font>
    <font>
      <sz val="10"/>
      <name val="Arial"/>
      <family val="2"/>
    </font>
    <font>
      <u/>
      <sz val="8"/>
      <color indexed="12"/>
      <name val="Arial"/>
      <family val="2"/>
    </font>
    <font>
      <sz val="10"/>
      <name val="MS Sans Serif"/>
      <family val="2"/>
    </font>
    <font>
      <sz val="11"/>
      <color theme="1"/>
      <name val="Calibri"/>
      <family val="2"/>
      <scheme val="minor"/>
    </font>
    <font>
      <sz val="11"/>
      <color theme="1"/>
      <name val="Arial"/>
      <family val="2"/>
    </font>
    <font>
      <u/>
      <sz val="11"/>
      <color theme="10"/>
      <name val="Arial"/>
      <family val="2"/>
    </font>
    <font>
      <u/>
      <sz val="8"/>
      <color theme="10"/>
      <name val="Arial"/>
      <family val="2"/>
    </font>
    <font>
      <u/>
      <sz val="10"/>
      <color theme="10"/>
      <name val="Arial"/>
      <family val="2"/>
    </font>
    <font>
      <sz val="9"/>
      <color theme="1"/>
      <name val="Arial"/>
      <family val="2"/>
    </font>
    <font>
      <sz val="8"/>
      <color theme="1"/>
      <name val="Arial"/>
      <family val="2"/>
    </font>
    <font>
      <sz val="10"/>
      <color theme="1"/>
      <name val="Arial"/>
      <family val="2"/>
    </font>
    <font>
      <b/>
      <sz val="9"/>
      <color theme="1"/>
      <name val="Arial"/>
      <family val="2"/>
    </font>
    <font>
      <b/>
      <sz val="10"/>
      <color theme="1"/>
      <name val="Arial"/>
      <family val="2"/>
    </font>
    <font>
      <sz val="9"/>
      <color rgb="FFFF0000"/>
      <name val="Arial"/>
      <family val="2"/>
    </font>
    <font>
      <sz val="12"/>
      <color theme="1"/>
      <name val="Arial Unicode MS"/>
      <family val="2"/>
    </font>
    <font>
      <sz val="8"/>
      <color theme="0"/>
      <name val="Arial"/>
      <family val="2"/>
    </font>
    <font>
      <sz val="10"/>
      <name val="Arial"/>
      <family val="2"/>
    </font>
    <font>
      <u/>
      <sz val="9"/>
      <color theme="10"/>
      <name val="Arial"/>
      <family val="2"/>
    </font>
    <font>
      <u/>
      <sz val="9"/>
      <color indexed="12"/>
      <name val="Arial"/>
      <family val="2"/>
    </font>
    <font>
      <b/>
      <sz val="9"/>
      <name val="Arial"/>
      <family val="2"/>
    </font>
    <font>
      <strike/>
      <sz val="9"/>
      <color theme="1"/>
      <name val="Arial"/>
      <family val="2"/>
    </font>
    <font>
      <b/>
      <sz val="10"/>
      <color indexed="12"/>
      <name val="Arial"/>
      <family val="2"/>
    </font>
    <font>
      <b/>
      <sz val="10"/>
      <color indexed="8"/>
      <name val="Arial"/>
      <family val="2"/>
    </font>
    <font>
      <sz val="10"/>
      <color rgb="FF0000FF"/>
      <name val="Arial"/>
      <family val="2"/>
    </font>
    <font>
      <sz val="8"/>
      <color rgb="FF404040"/>
      <name val="Arial"/>
      <family val="2"/>
    </font>
    <font>
      <sz val="10"/>
      <color rgb="FF000000"/>
      <name val="Arial"/>
      <family val="2"/>
    </font>
    <font>
      <b/>
      <sz val="12"/>
      <color rgb="FF000000"/>
      <name val="Arial"/>
      <family val="2"/>
    </font>
    <font>
      <b/>
      <sz val="10"/>
      <color rgb="FF000000"/>
      <name val="Arial"/>
      <family val="2"/>
    </font>
    <font>
      <u/>
      <sz val="10"/>
      <color rgb="FF0000FF"/>
      <name val="Arial"/>
      <family val="2"/>
    </font>
    <font>
      <b/>
      <sz val="8"/>
      <color theme="0"/>
      <name val="Arial"/>
      <family val="2"/>
    </font>
    <font>
      <sz val="9"/>
      <color rgb="FF000000"/>
      <name val="Arial"/>
      <family val="2"/>
    </font>
    <font>
      <b/>
      <sz val="11"/>
      <color rgb="FF000000"/>
      <name val="Arial"/>
      <family val="2"/>
    </font>
    <font>
      <u/>
      <sz val="10"/>
      <color rgb="FF000000"/>
      <name val="Arial"/>
      <family val="2"/>
    </font>
    <font>
      <u/>
      <sz val="9"/>
      <color rgb="FF000000"/>
      <name val="Arial"/>
      <family val="2"/>
    </font>
    <font>
      <sz val="7"/>
      <color theme="1"/>
      <name val="Arial"/>
      <family val="2"/>
    </font>
    <font>
      <vertAlign val="superscript"/>
      <sz val="8"/>
      <color theme="1"/>
      <name val="Arial"/>
      <family val="2"/>
    </font>
    <font>
      <sz val="6"/>
      <color theme="1"/>
      <name val="Arial"/>
      <family val="2"/>
    </font>
    <font>
      <u/>
      <sz val="10"/>
      <color theme="1"/>
      <name val="Arial"/>
      <family val="2"/>
    </font>
    <font>
      <sz val="10"/>
      <color rgb="FF404040"/>
      <name val="Arial"/>
      <family val="2"/>
    </font>
    <font>
      <sz val="9"/>
      <color rgb="FF404040"/>
      <name val="Arial"/>
      <family val="2"/>
    </font>
    <font>
      <b/>
      <u/>
      <sz val="10"/>
      <color rgb="FF000000"/>
      <name val="Arial"/>
      <family val="2"/>
    </font>
    <font>
      <b/>
      <u/>
      <sz val="9"/>
      <color rgb="FF000000"/>
      <name val="Arial"/>
      <family val="2"/>
    </font>
    <font>
      <b/>
      <sz val="9"/>
      <color rgb="FF000000"/>
      <name val="Arial"/>
      <family val="2"/>
    </font>
    <font>
      <sz val="10"/>
      <color rgb="FFFF0000"/>
      <name val="Arial"/>
      <family val="2"/>
    </font>
    <font>
      <sz val="10"/>
      <color rgb="FF0070C0"/>
      <name val="Arial"/>
      <family val="2"/>
    </font>
    <font>
      <b/>
      <u/>
      <sz val="10"/>
      <color theme="1"/>
      <name val="Arial"/>
      <family val="2"/>
    </font>
  </fonts>
  <fills count="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FF"/>
        <bgColor indexed="64"/>
      </patternFill>
    </fill>
    <fill>
      <patternFill patternType="solid">
        <fgColor rgb="FFFFFF99"/>
        <bgColor indexed="64"/>
      </patternFill>
    </fill>
    <fill>
      <patternFill patternType="solid">
        <fgColor theme="8" tint="0.79998168889431442"/>
        <bgColor indexed="64"/>
      </patternFill>
    </fill>
  </fills>
  <borders count="66">
    <border>
      <left/>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top/>
      <bottom style="hair">
        <color indexed="22"/>
      </bottom>
      <diagonal/>
    </border>
    <border>
      <left style="hair">
        <color indexed="22"/>
      </left>
      <right/>
      <top/>
      <bottom/>
      <diagonal/>
    </border>
    <border>
      <left style="hair">
        <color indexed="22"/>
      </left>
      <right/>
      <top style="hair">
        <color indexed="22"/>
      </top>
      <bottom/>
      <diagonal/>
    </border>
    <border>
      <left style="hair">
        <color indexed="22"/>
      </left>
      <right style="hair">
        <color indexed="22"/>
      </right>
      <top style="hair">
        <color indexed="22"/>
      </top>
      <bottom/>
      <diagonal/>
    </border>
    <border>
      <left style="hair">
        <color indexed="22"/>
      </left>
      <right style="hair">
        <color indexed="22"/>
      </right>
      <top/>
      <bottom/>
      <diagonal/>
    </border>
    <border>
      <left/>
      <right/>
      <top style="hair">
        <color indexed="22"/>
      </top>
      <bottom/>
      <diagonal/>
    </border>
    <border>
      <left/>
      <right style="hair">
        <color indexed="22"/>
      </right>
      <top/>
      <bottom style="hair">
        <color indexed="22"/>
      </bottom>
      <diagonal/>
    </border>
    <border>
      <left/>
      <right style="hair">
        <color indexed="22"/>
      </right>
      <top/>
      <bottom/>
      <diagonal/>
    </border>
    <border>
      <left/>
      <right style="hair">
        <color indexed="22"/>
      </right>
      <top style="hair">
        <color indexed="22"/>
      </top>
      <bottom/>
      <diagonal/>
    </border>
    <border>
      <left style="hair">
        <color indexed="22"/>
      </left>
      <right/>
      <top style="hair">
        <color indexed="22"/>
      </top>
      <bottom style="hair">
        <color indexed="22"/>
      </bottom>
      <diagonal/>
    </border>
    <border>
      <left style="hair">
        <color indexed="22"/>
      </left>
      <right style="hair">
        <color indexed="22"/>
      </right>
      <top/>
      <bottom style="hair">
        <color indexed="22"/>
      </bottom>
      <diagonal/>
    </border>
    <border>
      <left style="hair">
        <color indexed="22"/>
      </left>
      <right style="hair">
        <color indexed="22"/>
      </right>
      <top style="hair">
        <color indexed="22"/>
      </top>
      <bottom style="hair">
        <color indexed="22"/>
      </bottom>
      <diagonal/>
    </border>
    <border>
      <left style="hair">
        <color indexed="22"/>
      </left>
      <right/>
      <top/>
      <bottom style="hair">
        <color indexed="22"/>
      </bottom>
      <diagonal/>
    </border>
    <border>
      <left/>
      <right style="hair">
        <color indexed="22"/>
      </right>
      <top style="hair">
        <color indexed="22"/>
      </top>
      <bottom style="hair">
        <color indexed="22"/>
      </bottom>
      <diagonal/>
    </border>
    <border>
      <left/>
      <right/>
      <top style="hair">
        <color indexed="22"/>
      </top>
      <bottom style="hair">
        <color indexed="22"/>
      </bottom>
      <diagonal/>
    </border>
    <border>
      <left/>
      <right/>
      <top style="hair">
        <color theme="0" tint="-0.2499465926084170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40404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theme="1" tint="0.24994659260841701"/>
      </bottom>
      <diagonal/>
    </border>
    <border>
      <left style="hair">
        <color rgb="FFC0C0C0"/>
      </left>
      <right/>
      <top/>
      <bottom/>
      <diagonal/>
    </border>
    <border>
      <left style="hair">
        <color rgb="FFC0C0C0"/>
      </left>
      <right style="hair">
        <color indexed="22"/>
      </right>
      <top/>
      <bottom/>
      <diagonal/>
    </border>
    <border>
      <left style="hair">
        <color rgb="FFC0C0C0"/>
      </left>
      <right/>
      <top style="hair">
        <color rgb="FFC0C0C0"/>
      </top>
      <bottom/>
      <diagonal/>
    </border>
    <border>
      <left/>
      <right/>
      <top style="hair">
        <color rgb="FFC0C0C0"/>
      </top>
      <bottom/>
      <diagonal/>
    </border>
    <border>
      <left style="hair">
        <color rgb="FFC0C0C0"/>
      </left>
      <right style="hair">
        <color indexed="22"/>
      </right>
      <top/>
      <bottom style="hair">
        <color rgb="FFC0C0C0"/>
      </bottom>
      <diagonal/>
    </border>
    <border>
      <left style="hair">
        <color rgb="FFC0C0C0"/>
      </left>
      <right style="hair">
        <color rgb="FFC0C0C0"/>
      </right>
      <top/>
      <bottom/>
      <diagonal/>
    </border>
    <border>
      <left style="hair">
        <color rgb="FFC0C0C0"/>
      </left>
      <right style="hair">
        <color rgb="FFC0C0C0"/>
      </right>
      <top style="hair">
        <color rgb="FFC0C0C0"/>
      </top>
      <bottom/>
      <diagonal/>
    </border>
    <border>
      <left style="hair">
        <color rgb="FFC0C0C0"/>
      </left>
      <right style="hair">
        <color rgb="FFC0C0C0"/>
      </right>
      <top/>
      <bottom style="hair">
        <color rgb="FFC0C0C0"/>
      </bottom>
      <diagonal/>
    </border>
    <border>
      <left/>
      <right style="hair">
        <color rgb="FFC0C0C0"/>
      </right>
      <top/>
      <bottom/>
      <diagonal/>
    </border>
    <border>
      <left/>
      <right style="hair">
        <color rgb="FFC0C0C0"/>
      </right>
      <top style="hair">
        <color rgb="FFC0C0C0"/>
      </top>
      <bottom/>
      <diagonal/>
    </border>
    <border>
      <left style="hair">
        <color rgb="FFC0C0C0"/>
      </left>
      <right/>
      <top/>
      <bottom style="hair">
        <color rgb="FFC0C0C0"/>
      </bottom>
      <diagonal/>
    </border>
    <border>
      <left/>
      <right/>
      <top/>
      <bottom style="hair">
        <color rgb="FFC0C0C0"/>
      </bottom>
      <diagonal/>
    </border>
    <border>
      <left/>
      <right style="hair">
        <color rgb="FFC0C0C0"/>
      </right>
      <top/>
      <bottom style="hair">
        <color rgb="FFC0C0C0"/>
      </bottom>
      <diagonal/>
    </border>
    <border>
      <left style="hair">
        <color rgb="FFC0C0C0"/>
      </left>
      <right style="hair">
        <color rgb="FFC0C0C0"/>
      </right>
      <top style="hair">
        <color rgb="FFC0C0C0"/>
      </top>
      <bottom style="hair">
        <color rgb="FFC0C0C0"/>
      </bottom>
      <diagonal/>
    </border>
    <border>
      <left style="hair">
        <color rgb="FFC0C0C0"/>
      </left>
      <right style="hair">
        <color indexed="22"/>
      </right>
      <top style="hair">
        <color rgb="FFC0C0C0"/>
      </top>
      <bottom style="hair">
        <color rgb="FFC0C0C0"/>
      </bottom>
      <diagonal/>
    </border>
    <border>
      <left style="hair">
        <color indexed="22"/>
      </left>
      <right style="hair">
        <color indexed="22"/>
      </right>
      <top style="hair">
        <color rgb="FFC0C0C0"/>
      </top>
      <bottom style="hair">
        <color rgb="FFC0C0C0"/>
      </bottom>
      <diagonal/>
    </border>
    <border>
      <left style="hair">
        <color indexed="22"/>
      </left>
      <right/>
      <top style="hair">
        <color rgb="FFC0C0C0"/>
      </top>
      <bottom style="hair">
        <color rgb="FFC0C0C0"/>
      </bottom>
      <diagonal/>
    </border>
    <border>
      <left/>
      <right style="hair">
        <color indexed="22"/>
      </right>
      <top style="hair">
        <color rgb="FFC0C0C0"/>
      </top>
      <bottom style="hair">
        <color rgb="FFC0C0C0"/>
      </bottom>
      <diagonal/>
    </border>
    <border>
      <left style="hair">
        <color indexed="22"/>
      </left>
      <right style="hair">
        <color rgb="FFC0C0C0"/>
      </right>
      <top style="hair">
        <color rgb="FFC0C0C0"/>
      </top>
      <bottom style="hair">
        <color rgb="FFC0C0C0"/>
      </bottom>
      <diagonal/>
    </border>
    <border>
      <left style="hair">
        <color indexed="22"/>
      </left>
      <right/>
      <top style="hair">
        <color indexed="22"/>
      </top>
      <bottom style="hair">
        <color rgb="FFC0C0C0"/>
      </bottom>
      <diagonal/>
    </border>
    <border>
      <left/>
      <right/>
      <top style="hair">
        <color indexed="22"/>
      </top>
      <bottom style="hair">
        <color rgb="FFC0C0C0"/>
      </bottom>
      <diagonal/>
    </border>
    <border>
      <left/>
      <right style="hair">
        <color rgb="FFC0C0C0"/>
      </right>
      <top style="hair">
        <color indexed="22"/>
      </top>
      <bottom style="hair">
        <color rgb="FFC0C0C0"/>
      </bottom>
      <diagonal/>
    </border>
    <border>
      <left style="hair">
        <color indexed="22"/>
      </left>
      <right style="hair">
        <color rgb="FFC0C0C0"/>
      </right>
      <top/>
      <bottom style="hair">
        <color rgb="FFC0C0C0"/>
      </bottom>
      <diagonal/>
    </border>
    <border>
      <left style="hair">
        <color indexed="22"/>
      </left>
      <right style="hair">
        <color indexed="22"/>
      </right>
      <top/>
      <bottom style="hair">
        <color rgb="FFC0C0C0"/>
      </bottom>
      <diagonal/>
    </border>
    <border>
      <left/>
      <right style="hair">
        <color indexed="22"/>
      </right>
      <top/>
      <bottom style="hair">
        <color rgb="FFC0C0C0"/>
      </bottom>
      <diagonal/>
    </border>
    <border>
      <left style="hair">
        <color indexed="22"/>
      </left>
      <right style="hair">
        <color rgb="FFC0C0C0"/>
      </right>
      <top/>
      <bottom/>
      <diagonal/>
    </border>
    <border>
      <left style="hair">
        <color indexed="22"/>
      </left>
      <right style="hair">
        <color rgb="FFC0C0C0"/>
      </right>
      <top style="hair">
        <color rgb="FFC0C0C0"/>
      </top>
      <bottom/>
      <diagonal/>
    </border>
    <border>
      <left style="hair">
        <color indexed="22"/>
      </left>
      <right style="hair">
        <color indexed="22"/>
      </right>
      <top style="hair">
        <color rgb="FFC0C0C0"/>
      </top>
      <bottom/>
      <diagonal/>
    </border>
    <border>
      <left/>
      <right style="hair">
        <color indexed="22"/>
      </right>
      <top style="hair">
        <color rgb="FFC0C0C0"/>
      </top>
      <bottom/>
      <diagonal/>
    </border>
    <border>
      <left style="hair">
        <color indexed="22"/>
      </left>
      <right style="hair">
        <color rgb="FFC0C0C0"/>
      </right>
      <top/>
      <bottom style="hair">
        <color theme="0" tint="-0.24994659260841701"/>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hair">
        <color rgb="FFC0C0C0"/>
      </left>
      <right style="hair">
        <color indexed="22"/>
      </right>
      <top style="hair">
        <color rgb="FFC0C0C0"/>
      </top>
      <bottom/>
      <diagonal/>
    </border>
  </borders>
  <cellStyleXfs count="183">
    <xf numFmtId="0" fontId="0" fillId="0" borderId="0"/>
    <xf numFmtId="166" fontId="27" fillId="0" borderId="0"/>
    <xf numFmtId="166" fontId="27" fillId="0" borderId="0"/>
    <xf numFmtId="49" fontId="27" fillId="0" borderId="0"/>
    <xf numFmtId="49" fontId="27" fillId="0" borderId="0"/>
    <xf numFmtId="167" fontId="24" fillId="0" borderId="0">
      <alignment horizontal="center"/>
    </xf>
    <xf numFmtId="167" fontId="24" fillId="0" borderId="0">
      <alignment horizontal="center"/>
    </xf>
    <xf numFmtId="168" fontId="27" fillId="0" borderId="0"/>
    <xf numFmtId="168" fontId="27" fillId="0" borderId="0"/>
    <xf numFmtId="169" fontId="24" fillId="0" borderId="0"/>
    <xf numFmtId="169" fontId="24" fillId="0" borderId="0"/>
    <xf numFmtId="170" fontId="24" fillId="0" borderId="0"/>
    <xf numFmtId="170" fontId="24" fillId="0" borderId="0"/>
    <xf numFmtId="171" fontId="24" fillId="0" borderId="0"/>
    <xf numFmtId="171" fontId="24" fillId="0" borderId="0"/>
    <xf numFmtId="172" fontId="24" fillId="0" borderId="0">
      <alignment horizontal="center"/>
    </xf>
    <xf numFmtId="172" fontId="24" fillId="0" borderId="0">
      <alignment horizontal="center"/>
    </xf>
    <xf numFmtId="173" fontId="24" fillId="0" borderId="0">
      <alignment horizontal="center"/>
    </xf>
    <xf numFmtId="173" fontId="24" fillId="0" borderId="0">
      <alignment horizontal="center"/>
    </xf>
    <xf numFmtId="174" fontId="24" fillId="0" borderId="0">
      <alignment horizontal="center"/>
    </xf>
    <xf numFmtId="174" fontId="24" fillId="0" borderId="0">
      <alignment horizontal="center"/>
    </xf>
    <xf numFmtId="175" fontId="24" fillId="0" borderId="0">
      <alignment horizontal="center"/>
    </xf>
    <xf numFmtId="175" fontId="24" fillId="0" borderId="0">
      <alignment horizontal="center"/>
    </xf>
    <xf numFmtId="176" fontId="24" fillId="0" borderId="0">
      <alignment horizontal="center"/>
    </xf>
    <xf numFmtId="176" fontId="24" fillId="0" borderId="0">
      <alignment horizontal="center"/>
    </xf>
    <xf numFmtId="16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0" fontId="49" fillId="0" borderId="0" applyNumberFormat="0" applyFill="0" applyBorder="0" applyAlignment="0" applyProtection="0"/>
    <xf numFmtId="0" fontId="3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0" fillId="0" borderId="1" applyFont="0" applyBorder="0" applyAlignment="0"/>
    <xf numFmtId="1" fontId="26" fillId="2" borderId="2">
      <alignment horizontal="right"/>
    </xf>
    <xf numFmtId="9" fontId="24" fillId="0" borderId="0" applyFont="0" applyFill="0" applyBorder="0" applyAlignment="0" applyProtection="0"/>
    <xf numFmtId="9" fontId="24" fillId="0" borderId="0" applyFont="0" applyFill="0" applyBorder="0" applyAlignment="0" applyProtection="0"/>
    <xf numFmtId="9" fontId="27" fillId="0" borderId="0" applyFont="0" applyFill="0" applyBorder="0" applyAlignment="0" applyProtection="0"/>
    <xf numFmtId="9" fontId="24" fillId="0" borderId="0" applyFont="0" applyFill="0" applyBorder="0" applyAlignment="0" applyProtection="0"/>
    <xf numFmtId="0" fontId="43" fillId="0" borderId="0"/>
    <xf numFmtId="0" fontId="24" fillId="0" borderId="0"/>
    <xf numFmtId="0" fontId="47" fillId="0" borderId="0"/>
    <xf numFmtId="0" fontId="48" fillId="0" borderId="0"/>
    <xf numFmtId="0" fontId="24" fillId="0" borderId="0"/>
    <xf numFmtId="0" fontId="48" fillId="0" borderId="0"/>
    <xf numFmtId="0" fontId="52" fillId="0" borderId="0"/>
    <xf numFmtId="0" fontId="48" fillId="0" borderId="0"/>
    <xf numFmtId="0" fontId="24" fillId="0" borderId="0"/>
    <xf numFmtId="0" fontId="48" fillId="0" borderId="0"/>
    <xf numFmtId="0" fontId="48" fillId="0" borderId="0"/>
    <xf numFmtId="0" fontId="48" fillId="0" borderId="0"/>
    <xf numFmtId="0" fontId="48" fillId="0" borderId="0"/>
    <xf numFmtId="0" fontId="48" fillId="0" borderId="0"/>
    <xf numFmtId="0" fontId="44" fillId="0" borderId="0"/>
    <xf numFmtId="0" fontId="24" fillId="0" borderId="0"/>
    <xf numFmtId="0" fontId="3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48" fillId="0" borderId="0"/>
    <xf numFmtId="0" fontId="24" fillId="0" borderId="0"/>
    <xf numFmtId="0" fontId="46" fillId="0" borderId="0"/>
    <xf numFmtId="0" fontId="24" fillId="0" borderId="0" applyNumberFormat="0" applyFill="0" applyBorder="0" applyAlignment="0" applyProtection="0"/>
    <xf numFmtId="0" fontId="48" fillId="0" borderId="0"/>
    <xf numFmtId="0" fontId="48" fillId="0" borderId="0"/>
    <xf numFmtId="0" fontId="24" fillId="0" borderId="0"/>
    <xf numFmtId="0" fontId="46" fillId="0" borderId="0"/>
    <xf numFmtId="0" fontId="24" fillId="0" borderId="0"/>
    <xf numFmtId="0" fontId="24" fillId="0" borderId="0"/>
    <xf numFmtId="0" fontId="27" fillId="0" borderId="0"/>
    <xf numFmtId="0" fontId="48" fillId="0" borderId="0"/>
    <xf numFmtId="0" fontId="27" fillId="0" borderId="0"/>
    <xf numFmtId="0" fontId="52" fillId="0" borderId="0"/>
    <xf numFmtId="0" fontId="27" fillId="0" borderId="0"/>
    <xf numFmtId="0" fontId="24" fillId="0" borderId="0"/>
    <xf numFmtId="0" fontId="24" fillId="0" borderId="0"/>
    <xf numFmtId="0" fontId="33" fillId="0" borderId="0"/>
    <xf numFmtId="0" fontId="24" fillId="0" borderId="0"/>
    <xf numFmtId="0" fontId="35" fillId="0" borderId="0"/>
    <xf numFmtId="0" fontId="24"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7"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35" fillId="0" borderId="0"/>
    <xf numFmtId="0" fontId="35" fillId="0" borderId="0"/>
    <xf numFmtId="177" fontId="31" fillId="0" borderId="0">
      <alignment horizontal="center" vertical="center"/>
    </xf>
    <xf numFmtId="0" fontId="23" fillId="0" borderId="0"/>
    <xf numFmtId="0" fontId="22" fillId="0" borderId="0"/>
    <xf numFmtId="0" fontId="60" fillId="0" borderId="0"/>
    <xf numFmtId="0" fontId="21" fillId="0" borderId="0"/>
    <xf numFmtId="0" fontId="25" fillId="0" borderId="0" applyNumberFormat="0" applyFill="0" applyBorder="0" applyAlignment="0" applyProtection="0">
      <alignment vertical="top"/>
      <protection locked="0"/>
    </xf>
    <xf numFmtId="0" fontId="20" fillId="0" borderId="0"/>
    <xf numFmtId="0" fontId="49" fillId="0" borderId="0" applyNumberFormat="0" applyFill="0" applyBorder="0" applyAlignment="0" applyProtection="0">
      <alignment vertical="top"/>
      <protection locked="0"/>
    </xf>
    <xf numFmtId="0" fontId="19" fillId="0" borderId="0"/>
    <xf numFmtId="0" fontId="24" fillId="0" borderId="0"/>
    <xf numFmtId="0" fontId="24" fillId="0" borderId="0"/>
    <xf numFmtId="0" fontId="24" fillId="0" borderId="0"/>
    <xf numFmtId="0" fontId="54" fillId="0" borderId="0"/>
    <xf numFmtId="0" fontId="19" fillId="0" borderId="0"/>
    <xf numFmtId="0" fontId="19" fillId="0" borderId="0"/>
    <xf numFmtId="0" fontId="18" fillId="0" borderId="0"/>
    <xf numFmtId="0" fontId="47"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6" fillId="0" borderId="0"/>
    <xf numFmtId="0" fontId="4" fillId="0" borderId="0"/>
    <xf numFmtId="0" fontId="4" fillId="0" borderId="0"/>
    <xf numFmtId="0" fontId="49" fillId="0" borderId="0" applyNumberFormat="0" applyFill="0" applyBorder="0" applyAlignment="0" applyProtection="0"/>
    <xf numFmtId="0" fontId="4" fillId="0" borderId="0"/>
    <xf numFmtId="0" fontId="3" fillId="0" borderId="0"/>
    <xf numFmtId="0" fontId="2" fillId="0" borderId="0"/>
    <xf numFmtId="0" fontId="1" fillId="0" borderId="0"/>
    <xf numFmtId="0" fontId="1" fillId="0" borderId="0"/>
    <xf numFmtId="0" fontId="1" fillId="0" borderId="0"/>
  </cellStyleXfs>
  <cellXfs count="542">
    <xf numFmtId="0" fontId="0" fillId="0" borderId="0" xfId="0"/>
    <xf numFmtId="0" fontId="24" fillId="0" borderId="0" xfId="69" applyFont="1"/>
    <xf numFmtId="0" fontId="24" fillId="0" borderId="0" xfId="69" applyProtection="1">
      <protection hidden="1"/>
    </xf>
    <xf numFmtId="0" fontId="25" fillId="0" borderId="0" xfId="47" applyAlignment="1" applyProtection="1">
      <alignment horizontal="right"/>
      <protection hidden="1"/>
    </xf>
    <xf numFmtId="0" fontId="24" fillId="0" borderId="0" xfId="69" applyAlignment="1" applyProtection="1">
      <protection hidden="1"/>
    </xf>
    <xf numFmtId="0" fontId="24" fillId="0" borderId="0" xfId="69" applyAlignment="1" applyProtection="1">
      <alignment horizontal="left"/>
      <protection hidden="1"/>
    </xf>
    <xf numFmtId="3" fontId="27" fillId="0" borderId="6" xfId="69" applyNumberFormat="1" applyFont="1" applyFill="1" applyBorder="1" applyAlignment="1" applyProtection="1">
      <alignment horizontal="left" wrapText="1"/>
      <protection hidden="1"/>
    </xf>
    <xf numFmtId="3" fontId="27" fillId="0" borderId="7" xfId="69" applyNumberFormat="1" applyFont="1" applyFill="1" applyBorder="1" applyAlignment="1" applyProtection="1">
      <alignment horizontal="left" wrapText="1"/>
      <protection hidden="1"/>
    </xf>
    <xf numFmtId="3" fontId="27" fillId="0" borderId="0" xfId="69" applyNumberFormat="1" applyFont="1" applyFill="1" applyBorder="1" applyAlignment="1" applyProtection="1">
      <alignment horizontal="left" wrapText="1"/>
      <protection hidden="1"/>
    </xf>
    <xf numFmtId="0" fontId="24" fillId="0" borderId="0" xfId="69" applyBorder="1" applyProtection="1">
      <protection hidden="1"/>
    </xf>
    <xf numFmtId="0" fontId="28" fillId="0" borderId="0" xfId="69" applyFont="1" applyBorder="1" applyAlignment="1" applyProtection="1">
      <alignment horizontal="right" vertical="center"/>
      <protection hidden="1"/>
    </xf>
    <xf numFmtId="3" fontId="26" fillId="0" borderId="0" xfId="69" applyNumberFormat="1" applyFont="1" applyFill="1" applyBorder="1" applyAlignment="1" applyProtection="1">
      <alignment horizontal="left" vertical="center" wrapText="1"/>
      <protection hidden="1"/>
    </xf>
    <xf numFmtId="49" fontId="27" fillId="0" borderId="9" xfId="69" applyNumberFormat="1" applyFont="1" applyFill="1" applyBorder="1" applyAlignment="1" applyProtection="1">
      <alignment horizontal="center" vertical="center" wrapText="1"/>
      <protection hidden="1"/>
    </xf>
    <xf numFmtId="49" fontId="27" fillId="0" borderId="10" xfId="69" applyNumberFormat="1" applyFont="1" applyFill="1" applyBorder="1" applyAlignment="1" applyProtection="1">
      <alignment horizontal="center" vertical="center" wrapText="1"/>
      <protection hidden="1"/>
    </xf>
    <xf numFmtId="49" fontId="27" fillId="0" borderId="7" xfId="69" applyNumberFormat="1" applyFont="1" applyFill="1" applyBorder="1" applyAlignment="1" applyProtection="1">
      <alignment horizontal="centerContinuous" vertical="center" wrapText="1"/>
      <protection hidden="1"/>
    </xf>
    <xf numFmtId="3" fontId="30" fillId="0" borderId="10" xfId="69" applyNumberFormat="1" applyFont="1" applyFill="1" applyBorder="1" applyAlignment="1" applyProtection="1">
      <alignment horizontal="center" vertical="center" wrapText="1"/>
      <protection hidden="1"/>
    </xf>
    <xf numFmtId="3" fontId="30" fillId="0" borderId="11" xfId="69" applyNumberFormat="1" applyFont="1" applyFill="1" applyBorder="1" applyAlignment="1" applyProtection="1">
      <alignment horizontal="center" vertical="center" wrapText="1"/>
      <protection hidden="1"/>
    </xf>
    <xf numFmtId="3" fontId="30" fillId="0" borderId="8" xfId="69" applyNumberFormat="1" applyFont="1" applyFill="1" applyBorder="1" applyAlignment="1" applyProtection="1">
      <alignment horizontal="center" vertical="center" wrapText="1"/>
      <protection hidden="1"/>
    </xf>
    <xf numFmtId="3" fontId="30" fillId="0" borderId="6" xfId="69" applyNumberFormat="1" applyFont="1" applyFill="1" applyBorder="1" applyAlignment="1" applyProtection="1">
      <alignment horizontal="center" vertical="center" wrapText="1"/>
      <protection hidden="1"/>
    </xf>
    <xf numFmtId="0" fontId="24" fillId="0" borderId="0" xfId="69" applyFill="1" applyProtection="1">
      <protection hidden="1"/>
    </xf>
    <xf numFmtId="0" fontId="28" fillId="0" borderId="0" xfId="69" applyFont="1" applyProtection="1">
      <protection hidden="1"/>
    </xf>
    <xf numFmtId="0" fontId="27" fillId="0" borderId="0" xfId="69" applyFont="1" applyFill="1" applyAlignment="1" applyProtection="1">
      <alignment vertical="center"/>
      <protection hidden="1"/>
    </xf>
    <xf numFmtId="0" fontId="27" fillId="0" borderId="0" xfId="69" applyFont="1" applyFill="1" applyAlignment="1" applyProtection="1">
      <alignment horizontal="left" vertical="top"/>
      <protection hidden="1"/>
    </xf>
    <xf numFmtId="49" fontId="27" fillId="0" borderId="7" xfId="69" applyNumberFormat="1" applyFont="1" applyFill="1" applyBorder="1" applyAlignment="1" applyProtection="1">
      <alignment horizontal="center" vertical="center" wrapText="1"/>
      <protection hidden="1"/>
    </xf>
    <xf numFmtId="0" fontId="38" fillId="0" borderId="0" xfId="54" applyFont="1" applyBorder="1" applyAlignment="1">
      <alignment horizontal="left"/>
    </xf>
    <xf numFmtId="0" fontId="38" fillId="0" borderId="0" xfId="143" applyFont="1" applyBorder="1" applyAlignment="1">
      <alignment horizontal="left"/>
    </xf>
    <xf numFmtId="0" fontId="38" fillId="0" borderId="0" xfId="143" applyFont="1" applyAlignment="1">
      <alignment horizontal="left"/>
    </xf>
    <xf numFmtId="0" fontId="36" fillId="0" borderId="0" xfId="143" applyFont="1" applyFill="1" applyAlignment="1"/>
    <xf numFmtId="0" fontId="36" fillId="0" borderId="0" xfId="142" applyFont="1" applyAlignment="1">
      <alignment horizontal="left"/>
    </xf>
    <xf numFmtId="0" fontId="42" fillId="0" borderId="0" xfId="142" applyFont="1" applyAlignment="1">
      <alignment horizontal="left"/>
    </xf>
    <xf numFmtId="0" fontId="24" fillId="0" borderId="0" xfId="142" applyFont="1" applyAlignment="1"/>
    <xf numFmtId="0" fontId="26" fillId="0" borderId="0" xfId="142" applyFont="1" applyAlignment="1">
      <alignment horizontal="left"/>
    </xf>
    <xf numFmtId="0" fontId="24" fillId="0" borderId="0" xfId="54" applyFont="1" applyFill="1" applyBorder="1" applyAlignment="1">
      <alignment horizontal="left"/>
    </xf>
    <xf numFmtId="0" fontId="26" fillId="0" borderId="0" xfId="142" applyFont="1" applyFill="1" applyAlignment="1">
      <alignment horizontal="left"/>
    </xf>
    <xf numFmtId="0" fontId="24" fillId="0" borderId="0" xfId="142" applyFont="1" applyFill="1" applyBorder="1" applyAlignment="1">
      <alignment horizontal="left"/>
    </xf>
    <xf numFmtId="49" fontId="25" fillId="0" borderId="0" xfId="47" applyNumberFormat="1" applyFill="1" applyBorder="1" applyAlignment="1" applyProtection="1">
      <alignment horizontal="left"/>
    </xf>
    <xf numFmtId="0" fontId="52" fillId="0" borderId="0" xfId="0" applyFont="1" applyFill="1"/>
    <xf numFmtId="49" fontId="52" fillId="0" borderId="0" xfId="0" applyNumberFormat="1" applyFont="1" applyFill="1"/>
    <xf numFmtId="0" fontId="55" fillId="0" borderId="0" xfId="0" applyFont="1" applyFill="1" applyAlignment="1">
      <alignment horizontal="center" vertical="center"/>
    </xf>
    <xf numFmtId="0" fontId="27" fillId="0" borderId="0" xfId="69" applyFont="1" applyFill="1" applyAlignment="1" applyProtection="1">
      <alignment horizontal="left" vertical="center"/>
      <protection hidden="1"/>
    </xf>
    <xf numFmtId="3" fontId="27" fillId="0" borderId="14" xfId="69" applyNumberFormat="1" applyFont="1" applyFill="1" applyBorder="1" applyAlignment="1" applyProtection="1">
      <alignment horizontal="center" vertical="center" wrapText="1"/>
      <protection hidden="1"/>
    </xf>
    <xf numFmtId="3" fontId="27" fillId="0" borderId="12" xfId="69" applyNumberFormat="1" applyFont="1" applyFill="1" applyBorder="1" applyAlignment="1" applyProtection="1">
      <alignment horizontal="center" vertical="center" wrapText="1"/>
      <protection hidden="1"/>
    </xf>
    <xf numFmtId="0" fontId="24" fillId="0" borderId="0" xfId="69" applyAlignment="1" applyProtection="1">
      <alignment vertical="top"/>
      <protection hidden="1"/>
    </xf>
    <xf numFmtId="0" fontId="28" fillId="0" borderId="18" xfId="69" applyFont="1" applyBorder="1" applyProtection="1">
      <protection hidden="1"/>
    </xf>
    <xf numFmtId="0" fontId="24" fillId="0" borderId="18" xfId="69" applyBorder="1" applyProtection="1">
      <protection hidden="1"/>
    </xf>
    <xf numFmtId="0" fontId="28" fillId="0" borderId="18" xfId="69" applyFont="1" applyBorder="1" applyAlignment="1" applyProtection="1">
      <alignment horizontal="right" vertical="center"/>
      <protection hidden="1"/>
    </xf>
    <xf numFmtId="0" fontId="25" fillId="0" borderId="0" xfId="47" applyFill="1" applyAlignment="1" applyProtection="1">
      <alignment horizontal="right"/>
      <protection hidden="1"/>
    </xf>
    <xf numFmtId="0" fontId="24" fillId="0" borderId="0" xfId="69" applyFill="1" applyAlignment="1" applyProtection="1">
      <alignment horizontal="left"/>
      <protection hidden="1"/>
    </xf>
    <xf numFmtId="0" fontId="28" fillId="0" borderId="0" xfId="69" applyFont="1" applyFill="1" applyBorder="1" applyAlignment="1" applyProtection="1">
      <alignment horizontal="right" vertical="center"/>
      <protection hidden="1"/>
    </xf>
    <xf numFmtId="0" fontId="24" fillId="0" borderId="0" xfId="142" applyFont="1" applyFill="1" applyAlignment="1"/>
    <xf numFmtId="0" fontId="0" fillId="0" borderId="0" xfId="0" applyFill="1" applyAlignment="1">
      <alignment horizontal="left"/>
    </xf>
    <xf numFmtId="0" fontId="0" fillId="0" borderId="0" xfId="0" applyFill="1"/>
    <xf numFmtId="0" fontId="48" fillId="0" borderId="0" xfId="0" applyFont="1" applyFill="1"/>
    <xf numFmtId="0" fontId="58" fillId="0" borderId="0" xfId="59" applyFont="1" applyFill="1" applyAlignment="1">
      <alignment horizontal="left"/>
    </xf>
    <xf numFmtId="0" fontId="0" fillId="4" borderId="0" xfId="0" applyFill="1"/>
    <xf numFmtId="180" fontId="24" fillId="0" borderId="0" xfId="69" applyNumberFormat="1" applyProtection="1">
      <protection hidden="1"/>
    </xf>
    <xf numFmtId="0" fontId="57" fillId="0" borderId="0" xfId="0" applyFont="1" applyFill="1"/>
    <xf numFmtId="181" fontId="24" fillId="0" borderId="0" xfId="69" applyNumberFormat="1" applyProtection="1">
      <protection hidden="1"/>
    </xf>
    <xf numFmtId="0" fontId="0" fillId="6" borderId="0" xfId="0" applyFill="1"/>
    <xf numFmtId="0" fontId="25" fillId="0" borderId="0" xfId="149" applyFill="1" applyBorder="1" applyAlignment="1" applyProtection="1">
      <alignment horizontal="left" wrapText="1" indent="2"/>
    </xf>
    <xf numFmtId="0" fontId="24" fillId="0" borderId="0" xfId="69" applyAlignment="1" applyProtection="1">
      <alignment horizontal="right"/>
      <protection hidden="1"/>
    </xf>
    <xf numFmtId="0" fontId="26" fillId="0" borderId="0" xfId="69" applyFont="1" applyAlignment="1" applyProtection="1">
      <alignment horizontal="left" vertical="center"/>
      <protection hidden="1"/>
    </xf>
    <xf numFmtId="0" fontId="24" fillId="0" borderId="0" xfId="69" applyAlignment="1" applyProtection="1">
      <alignment horizontal="left" vertical="center"/>
      <protection hidden="1"/>
    </xf>
    <xf numFmtId="0" fontId="24" fillId="0" borderId="0" xfId="69" applyAlignment="1" applyProtection="1">
      <alignment vertical="center"/>
      <protection hidden="1"/>
    </xf>
    <xf numFmtId="0" fontId="26" fillId="0" borderId="0" xfId="69" applyFont="1" applyFill="1" applyAlignment="1" applyProtection="1">
      <alignment horizontal="left" vertical="center"/>
      <protection hidden="1"/>
    </xf>
    <xf numFmtId="0" fontId="26" fillId="0" borderId="0" xfId="69" applyFont="1" applyAlignment="1" applyProtection="1">
      <alignment horizontal="left" vertical="center" wrapText="1"/>
      <protection hidden="1"/>
    </xf>
    <xf numFmtId="181" fontId="24" fillId="0" borderId="0" xfId="69" applyNumberFormat="1" applyAlignment="1" applyProtection="1">
      <alignment horizontal="left"/>
      <protection hidden="1"/>
    </xf>
    <xf numFmtId="180" fontId="24" fillId="0" borderId="0" xfId="69" applyNumberFormat="1" applyAlignment="1" applyProtection="1">
      <alignment horizontal="left"/>
      <protection hidden="1"/>
    </xf>
    <xf numFmtId="181" fontId="24" fillId="0" borderId="0" xfId="69" applyNumberFormat="1" applyAlignment="1" applyProtection="1">
      <protection hidden="1"/>
    </xf>
    <xf numFmtId="180" fontId="24" fillId="0" borderId="0" xfId="69" applyNumberFormat="1" applyAlignment="1" applyProtection="1">
      <protection hidden="1"/>
    </xf>
    <xf numFmtId="0" fontId="28" fillId="0" borderId="8" xfId="69" applyFont="1" applyBorder="1" applyAlignment="1" applyProtection="1">
      <alignment horizontal="right" vertical="center"/>
      <protection hidden="1"/>
    </xf>
    <xf numFmtId="0" fontId="52" fillId="0" borderId="0" xfId="0" applyFont="1"/>
    <xf numFmtId="0" fontId="27" fillId="0" borderId="0" xfId="69" applyFont="1" applyAlignment="1" applyProtection="1">
      <alignment horizontal="left"/>
      <protection hidden="1"/>
    </xf>
    <xf numFmtId="0" fontId="27" fillId="0" borderId="0" xfId="69" applyFont="1" applyAlignment="1" applyProtection="1">
      <alignment horizontal="left" vertical="center"/>
      <protection hidden="1"/>
    </xf>
    <xf numFmtId="3" fontId="27" fillId="0" borderId="8" xfId="69" applyNumberFormat="1" applyFont="1" applyFill="1" applyBorder="1" applyAlignment="1" applyProtection="1">
      <alignment horizontal="center" vertical="center" wrapText="1"/>
      <protection hidden="1"/>
    </xf>
    <xf numFmtId="3" fontId="27" fillId="0" borderId="0" xfId="69" applyNumberFormat="1" applyFont="1" applyFill="1" applyBorder="1" applyAlignment="1" applyProtection="1">
      <alignment horizontal="center" vertical="center" wrapText="1"/>
      <protection hidden="1"/>
    </xf>
    <xf numFmtId="3" fontId="27" fillId="0" borderId="11" xfId="69" applyNumberFormat="1" applyFont="1" applyFill="1" applyBorder="1" applyAlignment="1" applyProtection="1">
      <alignment horizontal="center" vertical="center" wrapText="1"/>
      <protection hidden="1"/>
    </xf>
    <xf numFmtId="3" fontId="27" fillId="0" borderId="10" xfId="69" applyNumberFormat="1" applyFont="1" applyFill="1" applyBorder="1" applyAlignment="1" applyProtection="1">
      <alignment horizontal="center" vertical="center" wrapText="1"/>
      <protection hidden="1"/>
    </xf>
    <xf numFmtId="0" fontId="27" fillId="0" borderId="0" xfId="0" applyFont="1" applyFill="1" applyBorder="1" applyAlignment="1" applyProtection="1">
      <alignment horizontal="left" vertical="center"/>
      <protection hidden="1"/>
    </xf>
    <xf numFmtId="0" fontId="24" fillId="0" borderId="21" xfId="69" applyBorder="1" applyAlignment="1">
      <alignment vertical="top"/>
    </xf>
    <xf numFmtId="0" fontId="24" fillId="0" borderId="21" xfId="69" applyFont="1" applyFill="1" applyBorder="1"/>
    <xf numFmtId="0" fontId="24" fillId="0" borderId="21" xfId="69" applyFont="1" applyFill="1" applyBorder="1" applyAlignment="1">
      <alignment horizontal="right" vertical="center"/>
    </xf>
    <xf numFmtId="0" fontId="52" fillId="3" borderId="0" xfId="0" applyFont="1" applyFill="1" applyAlignment="1">
      <alignment vertical="center"/>
    </xf>
    <xf numFmtId="0" fontId="38" fillId="3" borderId="0" xfId="74" applyFont="1" applyFill="1"/>
    <xf numFmtId="0" fontId="25" fillId="0" borderId="0" xfId="47" applyBorder="1" applyAlignment="1" applyProtection="1">
      <alignment horizontal="right"/>
    </xf>
    <xf numFmtId="3" fontId="32" fillId="3" borderId="5" xfId="69" applyNumberFormat="1" applyFont="1" applyFill="1" applyBorder="1" applyAlignment="1" applyProtection="1">
      <alignment horizontal="left"/>
      <protection hidden="1"/>
    </xf>
    <xf numFmtId="3" fontId="32" fillId="3" borderId="11" xfId="69" applyNumberFormat="1" applyFont="1" applyFill="1" applyBorder="1" applyAlignment="1" applyProtection="1">
      <alignment horizontal="left"/>
      <protection hidden="1"/>
    </xf>
    <xf numFmtId="0" fontId="27" fillId="3" borderId="4" xfId="69" applyFont="1" applyFill="1" applyBorder="1" applyAlignment="1" applyProtection="1">
      <alignment horizontal="left"/>
      <protection hidden="1"/>
    </xf>
    <xf numFmtId="3" fontId="27" fillId="3" borderId="10" xfId="69" applyNumberFormat="1" applyFont="1" applyFill="1" applyBorder="1" applyAlignment="1" applyProtection="1">
      <alignment horizontal="left"/>
      <protection hidden="1"/>
    </xf>
    <xf numFmtId="0" fontId="24" fillId="3" borderId="4" xfId="69" applyFill="1" applyBorder="1" applyAlignment="1" applyProtection="1">
      <protection hidden="1"/>
    </xf>
    <xf numFmtId="3" fontId="27" fillId="3" borderId="13" xfId="69" applyNumberFormat="1" applyFont="1" applyFill="1" applyBorder="1" applyAlignment="1" applyProtection="1">
      <alignment horizontal="left"/>
      <protection hidden="1"/>
    </xf>
    <xf numFmtId="0" fontId="24" fillId="3" borderId="9" xfId="69" applyFill="1" applyBorder="1" applyAlignment="1" applyProtection="1">
      <alignment horizontal="left"/>
      <protection hidden="1"/>
    </xf>
    <xf numFmtId="0" fontId="24" fillId="0" borderId="0" xfId="69" applyFont="1" applyFill="1" applyBorder="1" applyAlignment="1">
      <alignment horizontal="right" vertical="center"/>
    </xf>
    <xf numFmtId="0" fontId="55" fillId="0" borderId="22" xfId="0" applyFont="1" applyFill="1" applyBorder="1" applyAlignment="1">
      <alignment horizontal="center" vertical="center" wrapText="1"/>
    </xf>
    <xf numFmtId="0" fontId="63" fillId="5" borderId="0" xfId="0" applyFont="1" applyFill="1" applyAlignment="1">
      <alignment horizontal="center"/>
    </xf>
    <xf numFmtId="0" fontId="55" fillId="5" borderId="0" xfId="0" applyFont="1" applyFill="1" applyAlignment="1">
      <alignment horizontal="center"/>
    </xf>
    <xf numFmtId="0" fontId="52" fillId="5" borderId="0" xfId="0" applyFont="1" applyFill="1" applyAlignment="1">
      <alignment horizontal="center"/>
    </xf>
    <xf numFmtId="0" fontId="52" fillId="0" borderId="23" xfId="0" applyFont="1" applyFill="1" applyBorder="1" applyAlignment="1">
      <alignment horizontal="left" vertical="center" wrapText="1"/>
    </xf>
    <xf numFmtId="0" fontId="38" fillId="0" borderId="23" xfId="0" applyFont="1" applyFill="1" applyBorder="1" applyAlignment="1">
      <alignment horizontal="left" vertical="top" wrapText="1"/>
    </xf>
    <xf numFmtId="0" fontId="52" fillId="0" borderId="24" xfId="0" applyFont="1" applyFill="1" applyBorder="1" applyAlignment="1">
      <alignment horizontal="left" vertical="center" wrapText="1"/>
    </xf>
    <xf numFmtId="0" fontId="38" fillId="0" borderId="24" xfId="0" applyFont="1" applyFill="1" applyBorder="1" applyAlignment="1">
      <alignment horizontal="left" vertical="top" wrapText="1"/>
    </xf>
    <xf numFmtId="0" fontId="52" fillId="0" borderId="25" xfId="0" applyFont="1" applyFill="1" applyBorder="1" applyAlignment="1">
      <alignment horizontal="left" vertical="center" wrapText="1"/>
    </xf>
    <xf numFmtId="0" fontId="38" fillId="0" borderId="25" xfId="0" applyFont="1" applyFill="1" applyBorder="1" applyAlignment="1">
      <alignment horizontal="left" vertical="top" wrapText="1"/>
    </xf>
    <xf numFmtId="0" fontId="52" fillId="7" borderId="23" xfId="0" applyFont="1" applyFill="1" applyBorder="1" applyAlignment="1">
      <alignment horizontal="left" vertical="top" wrapText="1"/>
    </xf>
    <xf numFmtId="0" fontId="38" fillId="5" borderId="23" xfId="0" applyFont="1" applyFill="1" applyBorder="1" applyAlignment="1">
      <alignment horizontal="left" vertical="top" wrapText="1"/>
    </xf>
    <xf numFmtId="0" fontId="52" fillId="7" borderId="24" xfId="0" applyFont="1" applyFill="1" applyBorder="1" applyAlignment="1">
      <alignment horizontal="left" vertical="top" wrapText="1"/>
    </xf>
    <xf numFmtId="0" fontId="38" fillId="5" borderId="24" xfId="0" applyFont="1" applyFill="1" applyBorder="1" applyAlignment="1">
      <alignment horizontal="left" vertical="top" wrapText="1"/>
    </xf>
    <xf numFmtId="0" fontId="52" fillId="7" borderId="25" xfId="0" applyFont="1" applyFill="1" applyBorder="1" applyAlignment="1">
      <alignment horizontal="left" vertical="top" wrapText="1"/>
    </xf>
    <xf numFmtId="0" fontId="38" fillId="5" borderId="25" xfId="0" applyFont="1" applyFill="1" applyBorder="1" applyAlignment="1">
      <alignment horizontal="left" vertical="top" wrapText="1"/>
    </xf>
    <xf numFmtId="0" fontId="52" fillId="0" borderId="23" xfId="0" applyFont="1" applyFill="1" applyBorder="1" applyAlignment="1">
      <alignment horizontal="left" vertical="top" wrapText="1"/>
    </xf>
    <xf numFmtId="0" fontId="52" fillId="0" borderId="24" xfId="0" applyFont="1" applyFill="1" applyBorder="1" applyAlignment="1">
      <alignment horizontal="left" vertical="top" wrapText="1"/>
    </xf>
    <xf numFmtId="0" fontId="52" fillId="0" borderId="25" xfId="0" applyFont="1" applyFill="1" applyBorder="1" applyAlignment="1">
      <alignment horizontal="left" vertical="top" wrapText="1"/>
    </xf>
    <xf numFmtId="0" fontId="55" fillId="4" borderId="0" xfId="0" applyFont="1" applyFill="1" applyAlignment="1">
      <alignment horizontal="left"/>
    </xf>
    <xf numFmtId="0" fontId="52" fillId="0" borderId="0" xfId="0" applyFont="1" applyFill="1" applyAlignment="1">
      <alignment horizontal="left"/>
    </xf>
    <xf numFmtId="0" fontId="52" fillId="0" borderId="0" xfId="0" applyFont="1" applyFill="1" applyAlignment="1"/>
    <xf numFmtId="0" fontId="52" fillId="4" borderId="0" xfId="0" applyFont="1" applyFill="1"/>
    <xf numFmtId="0" fontId="64" fillId="0" borderId="0" xfId="0" applyFont="1" applyFill="1" applyAlignment="1">
      <alignment horizontal="left"/>
    </xf>
    <xf numFmtId="0" fontId="64" fillId="0" borderId="0" xfId="0" applyFont="1" applyFill="1"/>
    <xf numFmtId="0" fontId="52" fillId="0" borderId="23" xfId="0" applyFont="1" applyFill="1" applyBorder="1" applyAlignment="1">
      <alignment horizontal="center"/>
    </xf>
    <xf numFmtId="0" fontId="52" fillId="0" borderId="24" xfId="0" applyFont="1" applyFill="1" applyBorder="1" applyAlignment="1">
      <alignment horizontal="center"/>
    </xf>
    <xf numFmtId="0" fontId="52" fillId="0" borderId="25" xfId="0" applyFont="1" applyFill="1" applyBorder="1" applyAlignment="1">
      <alignment horizontal="center"/>
    </xf>
    <xf numFmtId="0" fontId="0" fillId="0" borderId="23" xfId="0" applyFill="1" applyBorder="1"/>
    <xf numFmtId="0" fontId="0" fillId="0" borderId="24" xfId="0" applyFill="1" applyBorder="1"/>
    <xf numFmtId="0" fontId="0" fillId="0" borderId="25" xfId="0" applyFill="1" applyBorder="1"/>
    <xf numFmtId="0" fontId="0" fillId="5" borderId="23" xfId="0" applyFill="1" applyBorder="1"/>
    <xf numFmtId="0" fontId="0" fillId="5" borderId="24" xfId="0" applyFill="1" applyBorder="1"/>
    <xf numFmtId="0" fontId="0" fillId="5" borderId="25" xfId="0" applyFill="1" applyBorder="1"/>
    <xf numFmtId="0" fontId="65" fillId="3" borderId="0" xfId="149" applyFont="1" applyFill="1" applyAlignment="1" applyProtection="1">
      <alignment vertical="top" wrapText="1"/>
    </xf>
    <xf numFmtId="0" fontId="25" fillId="0" borderId="0" xfId="47" applyAlignment="1" applyProtection="1">
      <alignment wrapText="1"/>
    </xf>
    <xf numFmtId="0" fontId="25" fillId="0" borderId="0" xfId="149" applyFill="1" applyAlignment="1" applyProtection="1">
      <alignment wrapText="1"/>
    </xf>
    <xf numFmtId="0" fontId="64" fillId="0" borderId="0" xfId="0" applyFont="1" applyFill="1" applyAlignment="1"/>
    <xf numFmtId="0" fontId="56" fillId="0" borderId="0" xfId="69" applyFont="1" applyFill="1" applyAlignment="1" applyProtection="1">
      <alignment vertical="center"/>
      <protection hidden="1"/>
    </xf>
    <xf numFmtId="0" fontId="53" fillId="0" borderId="0" xfId="69" applyFont="1" applyFill="1" applyAlignment="1" applyProtection="1">
      <alignment vertical="center"/>
      <protection hidden="1"/>
    </xf>
    <xf numFmtId="0" fontId="53" fillId="0" borderId="0" xfId="69" applyFont="1" applyFill="1" applyAlignment="1" applyProtection="1">
      <alignment horizontal="left" vertical="center"/>
      <protection hidden="1"/>
    </xf>
    <xf numFmtId="0" fontId="25" fillId="0" borderId="0" xfId="47" applyAlignment="1" applyProtection="1">
      <alignment horizontal="left" vertical="center" indent="2"/>
    </xf>
    <xf numFmtId="183" fontId="27" fillId="0" borderId="0" xfId="69" applyNumberFormat="1" applyFont="1" applyFill="1" applyBorder="1" applyAlignment="1" applyProtection="1">
      <alignment horizontal="right"/>
      <protection hidden="1"/>
    </xf>
    <xf numFmtId="179" fontId="32" fillId="0" borderId="5" xfId="69" applyNumberFormat="1" applyFont="1" applyFill="1" applyBorder="1" applyAlignment="1" applyProtection="1">
      <alignment horizontal="right"/>
      <protection hidden="1"/>
    </xf>
    <xf numFmtId="179" fontId="32" fillId="0" borderId="8" xfId="69" applyNumberFormat="1" applyFont="1" applyFill="1" applyBorder="1" applyAlignment="1" applyProtection="1">
      <alignment horizontal="right"/>
      <protection hidden="1"/>
    </xf>
    <xf numFmtId="180" fontId="32" fillId="0" borderId="11" xfId="69" applyNumberFormat="1" applyFont="1" applyFill="1" applyBorder="1" applyAlignment="1" applyProtection="1">
      <alignment horizontal="right"/>
      <protection hidden="1"/>
    </xf>
    <xf numFmtId="179" fontId="27" fillId="0" borderId="4" xfId="69" applyNumberFormat="1" applyFont="1" applyFill="1" applyBorder="1" applyAlignment="1" applyProtection="1">
      <alignment horizontal="right"/>
      <protection hidden="1"/>
    </xf>
    <xf numFmtId="180" fontId="27" fillId="0" borderId="0" xfId="69" applyNumberFormat="1" applyFont="1" applyFill="1" applyBorder="1" applyAlignment="1" applyProtection="1">
      <alignment horizontal="right"/>
      <protection hidden="1"/>
    </xf>
    <xf numFmtId="180" fontId="27" fillId="0" borderId="10" xfId="69" applyNumberFormat="1" applyFont="1" applyFill="1" applyBorder="1" applyAlignment="1" applyProtection="1">
      <alignment horizontal="right"/>
      <protection hidden="1"/>
    </xf>
    <xf numFmtId="179" fontId="27" fillId="0" borderId="15" xfId="69" applyNumberFormat="1" applyFont="1" applyFill="1" applyBorder="1" applyAlignment="1" applyProtection="1">
      <alignment horizontal="right"/>
      <protection hidden="1"/>
    </xf>
    <xf numFmtId="180" fontId="27" fillId="0" borderId="3" xfId="69" applyNumberFormat="1" applyFont="1" applyFill="1" applyBorder="1" applyAlignment="1" applyProtection="1">
      <alignment horizontal="right"/>
      <protection hidden="1"/>
    </xf>
    <xf numFmtId="180" fontId="27" fillId="0" borderId="9" xfId="69" applyNumberFormat="1" applyFont="1" applyFill="1" applyBorder="1" applyAlignment="1" applyProtection="1">
      <alignment horizontal="right"/>
      <protection hidden="1"/>
    </xf>
    <xf numFmtId="3" fontId="27" fillId="0" borderId="28" xfId="69" applyNumberFormat="1" applyFont="1" applyFill="1" applyBorder="1" applyAlignment="1" applyProtection="1">
      <alignment horizontal="left" wrapText="1"/>
      <protection hidden="1"/>
    </xf>
    <xf numFmtId="3" fontId="27" fillId="0" borderId="31" xfId="69" applyNumberFormat="1" applyFont="1" applyFill="1" applyBorder="1" applyAlignment="1" applyProtection="1">
      <alignment horizontal="left" wrapText="1"/>
      <protection hidden="1"/>
    </xf>
    <xf numFmtId="3" fontId="27" fillId="0" borderId="11" xfId="69" applyNumberFormat="1" applyFont="1" applyFill="1" applyBorder="1" applyAlignment="1" applyProtection="1">
      <alignment horizontal="center" vertical="center" wrapText="1"/>
      <protection hidden="1"/>
    </xf>
    <xf numFmtId="3" fontId="27" fillId="0" borderId="10" xfId="69" applyNumberFormat="1" applyFont="1" applyFill="1" applyBorder="1" applyAlignment="1" applyProtection="1">
      <alignment horizontal="center" vertical="center" wrapText="1"/>
      <protection hidden="1"/>
    </xf>
    <xf numFmtId="3" fontId="30" fillId="0" borderId="5" xfId="69" applyNumberFormat="1" applyFont="1" applyFill="1" applyBorder="1" applyAlignment="1" applyProtection="1">
      <alignment horizontal="center" vertical="center" wrapText="1"/>
      <protection hidden="1"/>
    </xf>
    <xf numFmtId="3" fontId="30" fillId="0" borderId="7" xfId="69" applyNumberFormat="1" applyFont="1" applyFill="1" applyBorder="1" applyAlignment="1" applyProtection="1">
      <alignment horizontal="center" vertical="center" wrapText="1"/>
      <protection hidden="1"/>
    </xf>
    <xf numFmtId="183" fontId="53" fillId="0" borderId="35" xfId="69" applyNumberFormat="1" applyFont="1" applyFill="1" applyBorder="1" applyAlignment="1" applyProtection="1">
      <alignment horizontal="right"/>
      <protection hidden="1"/>
    </xf>
    <xf numFmtId="183" fontId="27" fillId="0" borderId="30" xfId="69" applyNumberFormat="1" applyFont="1" applyFill="1" applyBorder="1" applyAlignment="1" applyProtection="1">
      <alignment horizontal="right"/>
      <protection hidden="1"/>
    </xf>
    <xf numFmtId="183" fontId="53" fillId="0" borderId="36" xfId="69" applyNumberFormat="1" applyFont="1" applyFill="1" applyBorder="1" applyAlignment="1" applyProtection="1">
      <alignment horizontal="right"/>
      <protection hidden="1"/>
    </xf>
    <xf numFmtId="3" fontId="27" fillId="0" borderId="6" xfId="69" applyNumberFormat="1" applyFont="1" applyFill="1" applyBorder="1" applyAlignment="1" applyProtection="1">
      <alignment horizontal="center" vertical="center" wrapText="1"/>
      <protection hidden="1"/>
    </xf>
    <xf numFmtId="3" fontId="27" fillId="0" borderId="7" xfId="69" applyNumberFormat="1" applyFont="1" applyFill="1" applyBorder="1" applyAlignment="1" applyProtection="1">
      <alignment horizontal="center" vertical="center" wrapText="1"/>
      <protection hidden="1"/>
    </xf>
    <xf numFmtId="0" fontId="69" fillId="6" borderId="21" xfId="55" applyNumberFormat="1" applyFont="1" applyFill="1" applyBorder="1" applyAlignment="1">
      <alignment horizontal="left" vertical="top" wrapText="1"/>
    </xf>
    <xf numFmtId="0" fontId="69" fillId="6" borderId="21" xfId="55" applyNumberFormat="1" applyFont="1" applyFill="1" applyBorder="1" applyAlignment="1">
      <alignment horizontal="right" vertical="center" wrapText="1"/>
    </xf>
    <xf numFmtId="0" fontId="69" fillId="6" borderId="0" xfId="55" applyNumberFormat="1" applyFont="1" applyFill="1" applyAlignment="1">
      <alignment horizontal="left" vertical="top" wrapText="1"/>
    </xf>
    <xf numFmtId="0" fontId="70" fillId="6" borderId="0" xfId="55" applyNumberFormat="1" applyFont="1" applyFill="1" applyAlignment="1">
      <alignment horizontal="left" vertical="top" wrapText="1"/>
    </xf>
    <xf numFmtId="0" fontId="71" fillId="6" borderId="0" xfId="55" applyNumberFormat="1" applyFont="1" applyFill="1" applyAlignment="1">
      <alignment horizontal="left" vertical="top" wrapText="1"/>
    </xf>
    <xf numFmtId="178" fontId="69" fillId="6" borderId="0" xfId="55" applyNumberFormat="1" applyFont="1" applyFill="1" applyAlignment="1">
      <alignment horizontal="left" vertical="top" wrapText="1"/>
    </xf>
    <xf numFmtId="14" fontId="69" fillId="6" borderId="0" xfId="55" applyNumberFormat="1" applyFont="1" applyFill="1" applyAlignment="1">
      <alignment horizontal="left" vertical="top" wrapText="1"/>
    </xf>
    <xf numFmtId="0" fontId="25" fillId="6" borderId="0" xfId="47" applyNumberFormat="1" applyFill="1" applyAlignment="1" applyProtection="1">
      <alignment horizontal="left" vertical="top" wrapText="1"/>
    </xf>
    <xf numFmtId="0" fontId="72" fillId="6" borderId="0" xfId="47" applyNumberFormat="1" applyFont="1" applyFill="1" applyAlignment="1" applyProtection="1">
      <alignment horizontal="left" vertical="top" wrapText="1"/>
    </xf>
    <xf numFmtId="3" fontId="27" fillId="0" borderId="27" xfId="69" applyNumberFormat="1" applyFont="1" applyFill="1" applyBorder="1" applyAlignment="1" applyProtection="1">
      <alignment horizontal="left" wrapText="1"/>
      <protection hidden="1"/>
    </xf>
    <xf numFmtId="183" fontId="27" fillId="0" borderId="38" xfId="69" applyNumberFormat="1" applyFont="1" applyFill="1" applyBorder="1" applyAlignment="1" applyProtection="1">
      <alignment horizontal="right"/>
      <protection hidden="1"/>
    </xf>
    <xf numFmtId="183" fontId="53" fillId="0" borderId="39" xfId="69" applyNumberFormat="1" applyFont="1" applyFill="1" applyBorder="1" applyAlignment="1" applyProtection="1">
      <alignment horizontal="right"/>
      <protection hidden="1"/>
    </xf>
    <xf numFmtId="3" fontId="27" fillId="0" borderId="30" xfId="69" applyNumberFormat="1" applyFont="1" applyFill="1" applyBorder="1" applyAlignment="1" applyProtection="1">
      <alignment horizontal="left" wrapText="1"/>
      <protection hidden="1"/>
    </xf>
    <xf numFmtId="3" fontId="27" fillId="0" borderId="38" xfId="69" applyNumberFormat="1" applyFont="1" applyFill="1" applyBorder="1" applyAlignment="1" applyProtection="1">
      <alignment horizontal="left" wrapText="1"/>
      <protection hidden="1"/>
    </xf>
    <xf numFmtId="3" fontId="27" fillId="0" borderId="7" xfId="69" applyNumberFormat="1" applyFont="1" applyFill="1" applyBorder="1" applyAlignment="1" applyProtection="1">
      <alignment horizontal="center" vertical="center" wrapText="1"/>
      <protection hidden="1"/>
    </xf>
    <xf numFmtId="3" fontId="27" fillId="0" borderId="33" xfId="69" applyNumberFormat="1" applyFont="1" applyFill="1" applyBorder="1" applyAlignment="1" applyProtection="1">
      <alignment horizontal="left" wrapText="1"/>
      <protection hidden="1"/>
    </xf>
    <xf numFmtId="3" fontId="27" fillId="0" borderId="32" xfId="69" applyNumberFormat="1" applyFont="1" applyFill="1" applyBorder="1" applyAlignment="1" applyProtection="1">
      <alignment horizontal="left" wrapText="1"/>
      <protection hidden="1"/>
    </xf>
    <xf numFmtId="3" fontId="27" fillId="0" borderId="34" xfId="69" applyNumberFormat="1" applyFont="1" applyFill="1" applyBorder="1" applyAlignment="1" applyProtection="1">
      <alignment horizontal="left" wrapText="1"/>
      <protection hidden="1"/>
    </xf>
    <xf numFmtId="183" fontId="27" fillId="0" borderId="29" xfId="69" applyNumberFormat="1" applyFont="1" applyFill="1" applyBorder="1" applyAlignment="1" applyProtection="1">
      <alignment horizontal="right"/>
      <protection hidden="1"/>
    </xf>
    <xf numFmtId="183" fontId="27" fillId="0" borderId="27" xfId="69" applyNumberFormat="1" applyFont="1" applyFill="1" applyBorder="1" applyAlignment="1" applyProtection="1">
      <alignment horizontal="right"/>
      <protection hidden="1"/>
    </xf>
    <xf numFmtId="183" fontId="27" fillId="0" borderId="37" xfId="69" applyNumberFormat="1" applyFont="1" applyFill="1" applyBorder="1" applyAlignment="1" applyProtection="1">
      <alignment horizontal="right"/>
      <protection hidden="1"/>
    </xf>
    <xf numFmtId="0" fontId="55" fillId="0" borderId="33" xfId="0" applyFont="1" applyFill="1" applyBorder="1" applyAlignment="1">
      <alignment horizontal="center" vertical="center"/>
    </xf>
    <xf numFmtId="0" fontId="55" fillId="0" borderId="41" xfId="0" applyFont="1" applyFill="1" applyBorder="1" applyAlignment="1">
      <alignment horizontal="center" vertical="center" wrapText="1"/>
    </xf>
    <xf numFmtId="0" fontId="55" fillId="0" borderId="42" xfId="0" applyFont="1" applyFill="1" applyBorder="1" applyAlignment="1">
      <alignment horizontal="center" vertical="center" wrapText="1"/>
    </xf>
    <xf numFmtId="0" fontId="55" fillId="0" borderId="43" xfId="0" applyFont="1" applyFill="1" applyBorder="1" applyAlignment="1">
      <alignment horizontal="center" vertical="center" wrapText="1"/>
    </xf>
    <xf numFmtId="49" fontId="55" fillId="0" borderId="42" xfId="0" applyNumberFormat="1" applyFont="1" applyFill="1" applyBorder="1" applyAlignment="1">
      <alignment horizontal="center" vertical="center" wrapText="1"/>
    </xf>
    <xf numFmtId="49" fontId="55" fillId="0" borderId="43" xfId="0" applyNumberFormat="1" applyFont="1" applyFill="1" applyBorder="1" applyAlignment="1">
      <alignment horizontal="center" vertical="center" wrapText="1"/>
    </xf>
    <xf numFmtId="49" fontId="55" fillId="0" borderId="41" xfId="0" applyNumberFormat="1" applyFont="1" applyFill="1" applyBorder="1" applyAlignment="1">
      <alignment horizontal="center" vertical="center" wrapText="1"/>
    </xf>
    <xf numFmtId="3" fontId="53" fillId="0" borderId="44" xfId="69" applyNumberFormat="1" applyFont="1" applyFill="1" applyBorder="1" applyAlignment="1" applyProtection="1">
      <alignment horizontal="center" vertical="center" wrapText="1"/>
      <protection hidden="1"/>
    </xf>
    <xf numFmtId="3" fontId="53" fillId="0" borderId="43" xfId="69" applyNumberFormat="1" applyFont="1" applyFill="1" applyBorder="1" applyAlignment="1" applyProtection="1">
      <alignment horizontal="center" vertical="center" wrapText="1"/>
      <protection hidden="1"/>
    </xf>
    <xf numFmtId="3" fontId="53" fillId="0" borderId="42" xfId="69" applyNumberFormat="1" applyFont="1" applyFill="1" applyBorder="1" applyAlignment="1" applyProtection="1">
      <alignment horizontal="center" vertical="center" wrapText="1"/>
      <protection hidden="1"/>
    </xf>
    <xf numFmtId="3" fontId="53" fillId="0" borderId="45" xfId="69" applyNumberFormat="1" applyFont="1" applyFill="1" applyBorder="1" applyAlignment="1" applyProtection="1">
      <alignment horizontal="center" vertical="center" wrapText="1"/>
      <protection hidden="1"/>
    </xf>
    <xf numFmtId="49" fontId="55" fillId="0" borderId="34" xfId="0" applyNumberFormat="1" applyFont="1" applyFill="1" applyBorder="1" applyAlignment="1">
      <alignment horizontal="center" vertical="center" wrapText="1"/>
    </xf>
    <xf numFmtId="0" fontId="52" fillId="0" borderId="40" xfId="0" applyFont="1" applyFill="1" applyBorder="1" applyAlignment="1">
      <alignment horizontal="left" vertical="center" wrapText="1"/>
    </xf>
    <xf numFmtId="49" fontId="52" fillId="0" borderId="40" xfId="0" applyNumberFormat="1" applyFont="1" applyFill="1" applyBorder="1" applyAlignment="1">
      <alignment horizontal="left" vertical="center" wrapText="1"/>
    </xf>
    <xf numFmtId="0" fontId="52" fillId="0" borderId="40" xfId="0" applyNumberFormat="1" applyFont="1" applyFill="1" applyBorder="1" applyAlignment="1">
      <alignment horizontal="left" vertical="center" wrapText="1"/>
    </xf>
    <xf numFmtId="3" fontId="53" fillId="0" borderId="40" xfId="0" applyNumberFormat="1" applyFont="1" applyFill="1" applyBorder="1" applyAlignment="1">
      <alignment horizontal="right"/>
    </xf>
    <xf numFmtId="3" fontId="53" fillId="0" borderId="40" xfId="69" applyNumberFormat="1" applyFont="1" applyFill="1" applyBorder="1" applyAlignment="1" applyProtection="1">
      <alignment horizontal="right" vertical="center" wrapText="1"/>
      <protection hidden="1"/>
    </xf>
    <xf numFmtId="182" fontId="53" fillId="0" borderId="40" xfId="0" applyNumberFormat="1" applyFont="1" applyFill="1" applyBorder="1" applyAlignment="1">
      <alignment horizontal="right"/>
    </xf>
    <xf numFmtId="14" fontId="52" fillId="0" borderId="40" xfId="0" applyNumberFormat="1" applyFont="1" applyFill="1" applyBorder="1"/>
    <xf numFmtId="14" fontId="52" fillId="0" borderId="40" xfId="0" applyNumberFormat="1" applyFont="1" applyFill="1" applyBorder="1" applyAlignment="1">
      <alignment horizontal="left" vertical="center" wrapText="1"/>
    </xf>
    <xf numFmtId="0" fontId="52" fillId="0" borderId="40" xfId="0" applyFont="1" applyFill="1" applyBorder="1" applyAlignment="1">
      <alignment horizontal="left" vertical="top" wrapText="1"/>
    </xf>
    <xf numFmtId="0" fontId="64" fillId="0" borderId="40" xfId="0" applyFont="1" applyFill="1" applyBorder="1" applyAlignment="1">
      <alignment horizontal="left"/>
    </xf>
    <xf numFmtId="49" fontId="52" fillId="8" borderId="40" xfId="0" applyNumberFormat="1" applyFont="1" applyFill="1" applyBorder="1" applyAlignment="1">
      <alignment horizontal="left" vertical="center" wrapText="1"/>
    </xf>
    <xf numFmtId="0" fontId="52" fillId="8" borderId="40" xfId="0" applyFont="1" applyFill="1" applyBorder="1" applyAlignment="1">
      <alignment horizontal="left" vertical="center" wrapText="1"/>
    </xf>
    <xf numFmtId="0" fontId="52" fillId="8" borderId="40" xfId="0" applyFont="1" applyFill="1" applyBorder="1" applyAlignment="1">
      <alignment horizontal="left" vertical="top" wrapText="1"/>
    </xf>
    <xf numFmtId="14" fontId="52" fillId="8" borderId="40" xfId="0" applyNumberFormat="1" applyFont="1" applyFill="1" applyBorder="1"/>
    <xf numFmtId="0" fontId="52" fillId="0" borderId="40" xfId="0" applyFont="1" applyFill="1" applyBorder="1" applyAlignment="1">
      <alignment horizontal="left"/>
    </xf>
    <xf numFmtId="3" fontId="73" fillId="3" borderId="8" xfId="69" applyNumberFormat="1" applyFont="1" applyFill="1" applyBorder="1" applyAlignment="1" applyProtection="1">
      <alignment horizontal="left" wrapText="1"/>
      <protection hidden="1"/>
    </xf>
    <xf numFmtId="3" fontId="59" fillId="3" borderId="0" xfId="69" applyNumberFormat="1" applyFont="1" applyFill="1" applyBorder="1" applyAlignment="1" applyProtection="1">
      <alignment horizontal="left" wrapText="1"/>
      <protection hidden="1"/>
    </xf>
    <xf numFmtId="3" fontId="59" fillId="3" borderId="0" xfId="69" applyNumberFormat="1" applyFont="1" applyFill="1" applyBorder="1" applyAlignment="1" applyProtection="1">
      <alignment horizontal="left" vertical="center" wrapText="1" indent="2"/>
      <protection hidden="1"/>
    </xf>
    <xf numFmtId="3" fontId="59" fillId="3" borderId="3" xfId="69" applyNumberFormat="1" applyFont="1" applyFill="1" applyBorder="1" applyAlignment="1" applyProtection="1">
      <alignment horizontal="left" wrapText="1"/>
      <protection hidden="1"/>
    </xf>
    <xf numFmtId="3" fontId="59" fillId="0" borderId="30" xfId="69" applyNumberFormat="1" applyFont="1" applyFill="1" applyBorder="1" applyAlignment="1" applyProtection="1">
      <alignment horizontal="left" wrapText="1"/>
      <protection hidden="1"/>
    </xf>
    <xf numFmtId="3" fontId="27" fillId="0" borderId="36" xfId="69" applyNumberFormat="1" applyFont="1" applyFill="1" applyBorder="1" applyAlignment="1" applyProtection="1">
      <alignment horizontal="left" wrapText="1"/>
      <protection hidden="1"/>
    </xf>
    <xf numFmtId="3" fontId="59" fillId="0" borderId="0" xfId="69" applyNumberFormat="1" applyFont="1" applyFill="1" applyBorder="1" applyAlignment="1" applyProtection="1">
      <alignment horizontal="left" wrapText="1"/>
      <protection hidden="1"/>
    </xf>
    <xf numFmtId="3" fontId="27" fillId="0" borderId="35" xfId="69" applyNumberFormat="1" applyFont="1" applyFill="1" applyBorder="1" applyAlignment="1" applyProtection="1">
      <alignment horizontal="left" wrapText="1"/>
      <protection hidden="1"/>
    </xf>
    <xf numFmtId="3" fontId="59" fillId="0" borderId="38" xfId="69" applyNumberFormat="1" applyFont="1" applyFill="1" applyBorder="1" applyAlignment="1" applyProtection="1">
      <alignment horizontal="left" wrapText="1"/>
      <protection hidden="1"/>
    </xf>
    <xf numFmtId="3" fontId="27" fillId="0" borderId="39" xfId="69" applyNumberFormat="1" applyFont="1" applyFill="1" applyBorder="1" applyAlignment="1" applyProtection="1">
      <alignment horizontal="left" wrapText="1"/>
      <protection hidden="1"/>
    </xf>
    <xf numFmtId="3" fontId="53" fillId="0" borderId="32" xfId="69" applyNumberFormat="1" applyFont="1" applyFill="1" applyBorder="1" applyAlignment="1" applyProtection="1">
      <alignment horizontal="left" wrapText="1"/>
      <protection hidden="1"/>
    </xf>
    <xf numFmtId="3" fontId="53" fillId="0" borderId="34" xfId="69" applyNumberFormat="1" applyFont="1" applyFill="1" applyBorder="1" applyAlignment="1" applyProtection="1">
      <alignment horizontal="left" wrapText="1"/>
      <protection hidden="1"/>
    </xf>
    <xf numFmtId="3" fontId="27" fillId="0" borderId="5" xfId="69" applyNumberFormat="1" applyFont="1" applyFill="1" applyBorder="1" applyAlignment="1" applyProtection="1">
      <alignment horizontal="center" vertical="center" wrapText="1"/>
      <protection hidden="1"/>
    </xf>
    <xf numFmtId="3" fontId="27" fillId="0" borderId="6" xfId="69" applyNumberFormat="1" applyFont="1" applyFill="1" applyBorder="1" applyAlignment="1" applyProtection="1">
      <alignment horizontal="center" vertical="center" wrapText="1"/>
      <protection hidden="1"/>
    </xf>
    <xf numFmtId="3" fontId="27" fillId="0" borderId="11" xfId="69" applyNumberFormat="1" applyFont="1" applyFill="1" applyBorder="1" applyAlignment="1" applyProtection="1">
      <alignment horizontal="center" vertical="center" wrapText="1"/>
      <protection hidden="1"/>
    </xf>
    <xf numFmtId="0" fontId="0" fillId="0" borderId="0" xfId="0" applyProtection="1">
      <protection hidden="1"/>
    </xf>
    <xf numFmtId="0" fontId="0" fillId="0" borderId="0" xfId="0" applyFill="1" applyProtection="1">
      <protection hidden="1"/>
    </xf>
    <xf numFmtId="0" fontId="78" fillId="0" borderId="0" xfId="0" applyFont="1" applyFill="1" applyBorder="1" applyAlignment="1" applyProtection="1">
      <alignment horizontal="right" vertical="center"/>
      <protection hidden="1"/>
    </xf>
    <xf numFmtId="0" fontId="0" fillId="0" borderId="0" xfId="0" applyFill="1" applyBorder="1" applyProtection="1">
      <protection hidden="1"/>
    </xf>
    <xf numFmtId="0" fontId="78" fillId="0" borderId="0" xfId="0" applyNumberFormat="1" applyFont="1" applyBorder="1" applyAlignment="1" applyProtection="1">
      <alignment horizontal="left" vertical="center"/>
      <protection hidden="1"/>
    </xf>
    <xf numFmtId="3" fontId="27" fillId="0" borderId="13" xfId="69" applyNumberFormat="1" applyFont="1" applyFill="1" applyBorder="1" applyAlignment="1" applyProtection="1">
      <alignment horizontal="left" wrapText="1"/>
      <protection hidden="1"/>
    </xf>
    <xf numFmtId="3" fontId="73" fillId="3" borderId="3" xfId="69" applyNumberFormat="1" applyFont="1" applyFill="1" applyBorder="1" applyAlignment="1" applyProtection="1">
      <alignment horizontal="left" wrapText="1"/>
      <protection hidden="1"/>
    </xf>
    <xf numFmtId="3" fontId="32" fillId="3" borderId="15" xfId="69" applyNumberFormat="1" applyFont="1" applyFill="1" applyBorder="1" applyAlignment="1" applyProtection="1">
      <alignment horizontal="left" wrapText="1"/>
      <protection hidden="1"/>
    </xf>
    <xf numFmtId="3" fontId="32" fillId="3" borderId="10" xfId="69" applyNumberFormat="1" applyFont="1" applyFill="1" applyBorder="1" applyAlignment="1" applyProtection="1">
      <alignment horizontal="left" indent="1"/>
      <protection hidden="1"/>
    </xf>
    <xf numFmtId="3" fontId="73" fillId="3" borderId="0" xfId="69" applyNumberFormat="1" applyFont="1" applyFill="1" applyBorder="1" applyAlignment="1" applyProtection="1">
      <alignment horizontal="left" wrapText="1"/>
      <protection hidden="1"/>
    </xf>
    <xf numFmtId="3" fontId="32" fillId="3" borderId="4" xfId="69" applyNumberFormat="1" applyFont="1" applyFill="1" applyBorder="1" applyAlignment="1" applyProtection="1">
      <alignment horizontal="left" wrapText="1"/>
      <protection hidden="1"/>
    </xf>
    <xf numFmtId="3" fontId="0" fillId="0" borderId="0" xfId="0" applyNumberFormat="1" applyProtection="1">
      <protection hidden="1"/>
    </xf>
    <xf numFmtId="3" fontId="32" fillId="3" borderId="5" xfId="69" applyNumberFormat="1" applyFont="1" applyFill="1" applyBorder="1" applyAlignment="1" applyProtection="1">
      <alignment horizontal="left" wrapText="1"/>
      <protection hidden="1"/>
    </xf>
    <xf numFmtId="3" fontId="27" fillId="0" borderId="13" xfId="69" applyNumberFormat="1" applyFont="1" applyFill="1" applyBorder="1" applyAlignment="1" applyProtection="1">
      <alignment vertical="center" wrapText="1"/>
      <protection hidden="1"/>
    </xf>
    <xf numFmtId="3" fontId="27" fillId="0" borderId="15" xfId="69" applyNumberFormat="1" applyFont="1" applyFill="1" applyBorder="1" applyAlignment="1" applyProtection="1">
      <alignment vertical="center" wrapText="1"/>
      <protection hidden="1"/>
    </xf>
    <xf numFmtId="0" fontId="27" fillId="0" borderId="14" xfId="0" applyFont="1" applyFill="1" applyBorder="1" applyAlignment="1" applyProtection="1">
      <alignment horizontal="center" vertical="center" wrapText="1"/>
      <protection hidden="1"/>
    </xf>
    <xf numFmtId="0" fontId="27" fillId="0" borderId="16" xfId="0" applyFont="1" applyFill="1" applyBorder="1" applyAlignment="1" applyProtection="1">
      <alignment horizontal="center" vertical="center" wrapText="1"/>
      <protection hidden="1"/>
    </xf>
    <xf numFmtId="0" fontId="0" fillId="0" borderId="0" xfId="0" applyAlignment="1" applyProtection="1">
      <alignment horizontal="center" vertical="center"/>
      <protection hidden="1"/>
    </xf>
    <xf numFmtId="1" fontId="53" fillId="0" borderId="0" xfId="0" applyNumberFormat="1" applyFont="1" applyAlignment="1" applyProtection="1">
      <alignment horizontal="left" vertical="center"/>
      <protection hidden="1"/>
    </xf>
    <xf numFmtId="0" fontId="53" fillId="0" borderId="0" xfId="0" applyFont="1" applyAlignment="1" applyProtection="1">
      <alignment horizontal="left" vertical="center"/>
      <protection hidden="1"/>
    </xf>
    <xf numFmtId="0" fontId="0" fillId="0" borderId="0" xfId="0" applyAlignment="1" applyProtection="1">
      <alignment horizontal="right"/>
      <protection hidden="1"/>
    </xf>
    <xf numFmtId="0" fontId="0" fillId="0" borderId="0" xfId="0" applyFill="1" applyAlignment="1" applyProtection="1">
      <alignment horizontal="right"/>
      <protection hidden="1"/>
    </xf>
    <xf numFmtId="0" fontId="54" fillId="3" borderId="0" xfId="69" applyFont="1" applyFill="1" applyProtection="1">
      <protection hidden="1"/>
    </xf>
    <xf numFmtId="0" fontId="54" fillId="0" borderId="0" xfId="69" applyFont="1" applyFill="1" applyProtection="1">
      <protection hidden="1"/>
    </xf>
    <xf numFmtId="0" fontId="54" fillId="3" borderId="0" xfId="69" applyFont="1" applyFill="1" applyAlignment="1" applyProtection="1">
      <alignment horizontal="left" vertical="center"/>
      <protection hidden="1"/>
    </xf>
    <xf numFmtId="0" fontId="54" fillId="0" borderId="0" xfId="69" applyFont="1" applyFill="1" applyAlignment="1" applyProtection="1">
      <alignment horizontal="left" vertical="center"/>
      <protection hidden="1"/>
    </xf>
    <xf numFmtId="0" fontId="54" fillId="3" borderId="0" xfId="69" applyFont="1" applyFill="1" applyAlignment="1" applyProtection="1">
      <alignment horizontal="right"/>
      <protection hidden="1"/>
    </xf>
    <xf numFmtId="0" fontId="78" fillId="0" borderId="0" xfId="0" applyFont="1" applyBorder="1" applyAlignment="1" applyProtection="1">
      <alignment horizontal="right" vertical="center"/>
      <protection hidden="1"/>
    </xf>
    <xf numFmtId="0" fontId="78" fillId="3" borderId="0" xfId="69" applyFont="1" applyFill="1" applyBorder="1" applyAlignment="1" applyProtection="1">
      <alignment horizontal="left" vertical="center"/>
      <protection hidden="1"/>
    </xf>
    <xf numFmtId="0" fontId="54" fillId="0" borderId="0" xfId="69" applyFont="1" applyFill="1" applyBorder="1" applyAlignment="1" applyProtection="1">
      <alignment horizontal="left" vertical="center"/>
      <protection hidden="1"/>
    </xf>
    <xf numFmtId="0" fontId="54" fillId="3" borderId="0" xfId="69" applyFont="1" applyFill="1" applyBorder="1" applyAlignment="1" applyProtection="1">
      <alignment horizontal="left" vertical="center"/>
      <protection hidden="1"/>
    </xf>
    <xf numFmtId="179" fontId="54" fillId="3" borderId="0" xfId="69" applyNumberFormat="1" applyFont="1" applyFill="1" applyProtection="1">
      <protection hidden="1"/>
    </xf>
    <xf numFmtId="179" fontId="53" fillId="0" borderId="49" xfId="69" applyNumberFormat="1" applyFont="1" applyFill="1" applyBorder="1" applyAlignment="1" applyProtection="1">
      <alignment horizontal="right" wrapText="1"/>
      <protection hidden="1"/>
    </xf>
    <xf numFmtId="179" fontId="53" fillId="0" borderId="50" xfId="69" applyNumberFormat="1" applyFont="1" applyFill="1" applyBorder="1" applyAlignment="1" applyProtection="1">
      <alignment horizontal="right" wrapText="1"/>
      <protection hidden="1"/>
    </xf>
    <xf numFmtId="179" fontId="53" fillId="0" borderId="51" xfId="69" applyNumberFormat="1" applyFont="1" applyFill="1" applyBorder="1" applyAlignment="1" applyProtection="1">
      <alignment horizontal="right" wrapText="1"/>
      <protection hidden="1"/>
    </xf>
    <xf numFmtId="179" fontId="53" fillId="0" borderId="52" xfId="69" applyNumberFormat="1" applyFont="1" applyFill="1" applyBorder="1" applyAlignment="1" applyProtection="1">
      <alignment horizontal="right" wrapText="1"/>
      <protection hidden="1"/>
    </xf>
    <xf numFmtId="179" fontId="53" fillId="0" borderId="7" xfId="69" applyNumberFormat="1" applyFont="1" applyFill="1" applyBorder="1" applyAlignment="1" applyProtection="1">
      <alignment horizontal="right" wrapText="1"/>
      <protection hidden="1"/>
    </xf>
    <xf numFmtId="179" fontId="53" fillId="0" borderId="10" xfId="69" applyNumberFormat="1" applyFont="1" applyFill="1" applyBorder="1" applyAlignment="1" applyProtection="1">
      <alignment horizontal="right" wrapText="1"/>
      <protection hidden="1"/>
    </xf>
    <xf numFmtId="3" fontId="32" fillId="3" borderId="51" xfId="69" applyNumberFormat="1" applyFont="1" applyFill="1" applyBorder="1" applyAlignment="1" applyProtection="1">
      <alignment horizontal="left" indent="1"/>
      <protection hidden="1"/>
    </xf>
    <xf numFmtId="3" fontId="73" fillId="3" borderId="38" xfId="69" applyNumberFormat="1" applyFont="1" applyFill="1" applyBorder="1" applyAlignment="1" applyProtection="1">
      <alignment horizontal="left" wrapText="1"/>
      <protection hidden="1"/>
    </xf>
    <xf numFmtId="3" fontId="32" fillId="3" borderId="37" xfId="69" applyNumberFormat="1" applyFont="1" applyFill="1" applyBorder="1" applyAlignment="1" applyProtection="1">
      <alignment horizontal="left" wrapText="1"/>
      <protection hidden="1"/>
    </xf>
    <xf numFmtId="3" fontId="32" fillId="3" borderId="27" xfId="69" applyNumberFormat="1" applyFont="1" applyFill="1" applyBorder="1" applyAlignment="1" applyProtection="1">
      <alignment horizontal="left" wrapText="1"/>
      <protection hidden="1"/>
    </xf>
    <xf numFmtId="179" fontId="53" fillId="0" borderId="53" xfId="69" applyNumberFormat="1" applyFont="1" applyFill="1" applyBorder="1" applyAlignment="1" applyProtection="1">
      <alignment horizontal="right" wrapText="1"/>
      <protection hidden="1"/>
    </xf>
    <xf numFmtId="179" fontId="53" fillId="0" borderId="54" xfId="69" applyNumberFormat="1" applyFont="1" applyFill="1" applyBorder="1" applyAlignment="1" applyProtection="1">
      <alignment horizontal="right" wrapText="1"/>
      <protection hidden="1"/>
    </xf>
    <xf numFmtId="179" fontId="53" fillId="0" borderId="55" xfId="69" applyNumberFormat="1" applyFont="1" applyFill="1" applyBorder="1" applyAlignment="1" applyProtection="1">
      <alignment horizontal="right" wrapText="1"/>
      <protection hidden="1"/>
    </xf>
    <xf numFmtId="3" fontId="32" fillId="3" borderId="55" xfId="69" applyNumberFormat="1" applyFont="1" applyFill="1" applyBorder="1" applyAlignment="1" applyProtection="1">
      <alignment horizontal="left" indent="1"/>
      <protection hidden="1"/>
    </xf>
    <xf numFmtId="3" fontId="73" fillId="3" borderId="30" xfId="69" applyNumberFormat="1" applyFont="1" applyFill="1" applyBorder="1" applyAlignment="1" applyProtection="1">
      <alignment horizontal="left" wrapText="1"/>
      <protection hidden="1"/>
    </xf>
    <xf numFmtId="3" fontId="32" fillId="3" borderId="29" xfId="69" applyNumberFormat="1" applyFont="1" applyFill="1" applyBorder="1" applyAlignment="1" applyProtection="1">
      <alignment horizontal="left" wrapText="1"/>
      <protection hidden="1"/>
    </xf>
    <xf numFmtId="3" fontId="80" fillId="3" borderId="7" xfId="69" applyNumberFormat="1" applyFont="1" applyFill="1" applyBorder="1" applyAlignment="1" applyProtection="1">
      <alignment horizontal="center" vertical="center" wrapText="1"/>
      <protection hidden="1"/>
    </xf>
    <xf numFmtId="3" fontId="80" fillId="0" borderId="5" xfId="69" applyNumberFormat="1" applyFont="1" applyFill="1" applyBorder="1" applyAlignment="1" applyProtection="1">
      <alignment horizontal="center" vertical="center" wrapText="1"/>
      <protection hidden="1"/>
    </xf>
    <xf numFmtId="3" fontId="53" fillId="3" borderId="14" xfId="69" applyNumberFormat="1" applyFont="1" applyFill="1" applyBorder="1" applyAlignment="1" applyProtection="1">
      <alignment horizontal="center" vertical="center" wrapText="1"/>
      <protection hidden="1"/>
    </xf>
    <xf numFmtId="0" fontId="54" fillId="3" borderId="0" xfId="69" applyFont="1" applyFill="1" applyAlignment="1" applyProtection="1">
      <alignment horizontal="left"/>
      <protection hidden="1"/>
    </xf>
    <xf numFmtId="0" fontId="54" fillId="0" borderId="0" xfId="69" applyFont="1" applyFill="1" applyAlignment="1" applyProtection="1">
      <alignment horizontal="left"/>
      <protection hidden="1"/>
    </xf>
    <xf numFmtId="178" fontId="53" fillId="3" borderId="0" xfId="69" applyNumberFormat="1" applyFont="1" applyFill="1" applyAlignment="1" applyProtection="1">
      <alignment horizontal="left" vertical="center" wrapText="1"/>
      <protection hidden="1"/>
    </xf>
    <xf numFmtId="0" fontId="53" fillId="3" borderId="0" xfId="69" applyFont="1" applyFill="1" applyAlignment="1" applyProtection="1">
      <alignment horizontal="left" vertical="top"/>
      <protection hidden="1"/>
    </xf>
    <xf numFmtId="0" fontId="53" fillId="3" borderId="0" xfId="69" applyFont="1" applyFill="1" applyAlignment="1" applyProtection="1">
      <alignment horizontal="left" vertical="center"/>
      <protection hidden="1"/>
    </xf>
    <xf numFmtId="0" fontId="56" fillId="3" borderId="0" xfId="69" applyFont="1" applyFill="1" applyAlignment="1" applyProtection="1">
      <alignment horizontal="left" vertical="center"/>
      <protection hidden="1"/>
    </xf>
    <xf numFmtId="178" fontId="53" fillId="3" borderId="0" xfId="69" applyNumberFormat="1" applyFont="1" applyFill="1" applyAlignment="1" applyProtection="1">
      <alignment vertical="center" wrapText="1"/>
      <protection hidden="1"/>
    </xf>
    <xf numFmtId="0" fontId="54" fillId="3" borderId="0" xfId="69" applyFont="1" applyFill="1" applyAlignment="1" applyProtection="1">
      <alignment vertical="top"/>
      <protection hidden="1"/>
    </xf>
    <xf numFmtId="0" fontId="81" fillId="3" borderId="0" xfId="47" applyFont="1" applyFill="1" applyAlignment="1" applyProtection="1">
      <alignment horizontal="right"/>
      <protection hidden="1"/>
    </xf>
    <xf numFmtId="0" fontId="58" fillId="0" borderId="40" xfId="60" applyFont="1" applyFill="1" applyBorder="1" applyAlignment="1">
      <alignment horizontal="left"/>
    </xf>
    <xf numFmtId="3" fontId="53" fillId="8" borderId="40" xfId="0" applyNumberFormat="1" applyFont="1" applyFill="1" applyBorder="1" applyAlignment="1">
      <alignment horizontal="right"/>
    </xf>
    <xf numFmtId="0" fontId="5" fillId="0" borderId="40" xfId="0" applyFont="1" applyFill="1" applyBorder="1" applyAlignment="1">
      <alignment horizontal="left"/>
    </xf>
    <xf numFmtId="183" fontId="27" fillId="0" borderId="52" xfId="69" applyNumberFormat="1" applyFont="1" applyFill="1" applyBorder="1" applyAlignment="1" applyProtection="1">
      <alignment horizontal="right" wrapText="1"/>
      <protection hidden="1"/>
    </xf>
    <xf numFmtId="183" fontId="27" fillId="0" borderId="56" xfId="69" applyNumberFormat="1" applyFont="1" applyFill="1" applyBorder="1" applyAlignment="1" applyProtection="1">
      <alignment horizontal="right" wrapText="1"/>
      <protection hidden="1"/>
    </xf>
    <xf numFmtId="183" fontId="27" fillId="0" borderId="33" xfId="69" applyNumberFormat="1" applyFont="1" applyFill="1" applyBorder="1" applyAlignment="1" applyProtection="1">
      <alignment horizontal="right" wrapText="1"/>
      <protection hidden="1"/>
    </xf>
    <xf numFmtId="183" fontId="27" fillId="0" borderId="32" xfId="69" applyNumberFormat="1" applyFont="1" applyFill="1" applyBorder="1" applyAlignment="1" applyProtection="1">
      <alignment horizontal="right" wrapText="1"/>
      <protection hidden="1"/>
    </xf>
    <xf numFmtId="183" fontId="27" fillId="0" borderId="34" xfId="69" applyNumberFormat="1" applyFont="1" applyFill="1" applyBorder="1" applyAlignment="1" applyProtection="1">
      <alignment horizontal="right" wrapText="1"/>
      <protection hidden="1"/>
    </xf>
    <xf numFmtId="14" fontId="69" fillId="0" borderId="0" xfId="55" applyNumberFormat="1" applyFont="1" applyFill="1" applyAlignment="1">
      <alignment horizontal="left" vertical="top" wrapText="1"/>
    </xf>
    <xf numFmtId="3" fontId="27" fillId="0" borderId="13" xfId="69" applyNumberFormat="1" applyFont="1" applyFill="1" applyBorder="1" applyAlignment="1" applyProtection="1">
      <alignment horizontal="center" vertical="center" wrapText="1"/>
      <protection hidden="1"/>
    </xf>
    <xf numFmtId="3" fontId="27" fillId="0" borderId="9" xfId="69" applyNumberFormat="1" applyFont="1" applyFill="1" applyBorder="1" applyAlignment="1" applyProtection="1">
      <alignment horizontal="center" vertical="center" wrapText="1"/>
      <protection hidden="1"/>
    </xf>
    <xf numFmtId="49" fontId="52" fillId="7" borderId="24" xfId="0" applyNumberFormat="1" applyFont="1" applyFill="1" applyBorder="1" applyAlignment="1">
      <alignment horizontal="left" vertical="top" wrapText="1"/>
    </xf>
    <xf numFmtId="0" fontId="25" fillId="0" borderId="0" xfId="47" applyFill="1" applyAlignment="1" applyProtection="1">
      <alignment horizontal="left" wrapText="1" indent="2"/>
    </xf>
    <xf numFmtId="0" fontId="25" fillId="0" borderId="0" xfId="47" applyFill="1" applyAlignment="1" applyProtection="1">
      <alignment horizontal="left"/>
    </xf>
    <xf numFmtId="0" fontId="25" fillId="0" borderId="0" xfId="47" applyFill="1" applyAlignment="1" applyProtection="1"/>
    <xf numFmtId="3" fontId="27" fillId="0" borderId="5" xfId="69" applyNumberFormat="1" applyFont="1" applyFill="1" applyBorder="1" applyAlignment="1" applyProtection="1">
      <alignment horizontal="left" wrapText="1"/>
      <protection hidden="1"/>
    </xf>
    <xf numFmtId="3" fontId="27" fillId="0" borderId="4" xfId="69" applyNumberFormat="1" applyFont="1" applyFill="1" applyBorder="1" applyAlignment="1" applyProtection="1">
      <alignment horizontal="left" wrapText="1"/>
      <protection hidden="1"/>
    </xf>
    <xf numFmtId="3" fontId="27" fillId="0" borderId="15" xfId="69" applyNumberFormat="1" applyFont="1" applyFill="1" applyBorder="1" applyAlignment="1" applyProtection="1">
      <alignment horizontal="left" wrapText="1"/>
      <protection hidden="1"/>
    </xf>
    <xf numFmtId="179" fontId="27" fillId="0" borderId="0" xfId="0" applyNumberFormat="1" applyFont="1" applyFill="1" applyBorder="1" applyAlignment="1" applyProtection="1">
      <protection hidden="1"/>
    </xf>
    <xf numFmtId="179" fontId="27" fillId="0" borderId="27" xfId="0" applyNumberFormat="1" applyFont="1" applyFill="1" applyBorder="1" applyAlignment="1" applyProtection="1">
      <protection hidden="1"/>
    </xf>
    <xf numFmtId="179" fontId="27" fillId="0" borderId="35" xfId="0" applyNumberFormat="1" applyFont="1" applyFill="1" applyBorder="1" applyAlignment="1" applyProtection="1">
      <protection hidden="1"/>
    </xf>
    <xf numFmtId="179" fontId="27" fillId="0" borderId="29" xfId="0" applyNumberFormat="1" applyFont="1" applyFill="1" applyBorder="1" applyAlignment="1" applyProtection="1">
      <protection hidden="1"/>
    </xf>
    <xf numFmtId="179" fontId="27" fillId="0" borderId="30" xfId="0" applyNumberFormat="1" applyFont="1" applyFill="1" applyBorder="1" applyAlignment="1" applyProtection="1">
      <protection hidden="1"/>
    </xf>
    <xf numFmtId="179" fontId="27" fillId="0" borderId="36" xfId="0" applyNumberFormat="1" applyFont="1" applyFill="1" applyBorder="1" applyAlignment="1" applyProtection="1">
      <protection hidden="1"/>
    </xf>
    <xf numFmtId="179" fontId="27" fillId="0" borderId="37" xfId="0" applyNumberFormat="1" applyFont="1" applyFill="1" applyBorder="1" applyAlignment="1" applyProtection="1">
      <protection hidden="1"/>
    </xf>
    <xf numFmtId="179" fontId="27" fillId="0" borderId="38" xfId="0" applyNumberFormat="1" applyFont="1" applyFill="1" applyBorder="1" applyAlignment="1" applyProtection="1">
      <protection hidden="1"/>
    </xf>
    <xf numFmtId="179" fontId="27" fillId="0" borderId="39" xfId="0" applyNumberFormat="1" applyFont="1" applyFill="1" applyBorder="1" applyAlignment="1" applyProtection="1">
      <protection hidden="1"/>
    </xf>
    <xf numFmtId="3" fontId="32" fillId="3" borderId="8" xfId="69" applyNumberFormat="1" applyFont="1" applyFill="1" applyBorder="1" applyAlignment="1" applyProtection="1">
      <alignment horizontal="left" indent="1"/>
      <protection hidden="1"/>
    </xf>
    <xf numFmtId="3" fontId="32" fillId="3" borderId="0" xfId="69" applyNumberFormat="1" applyFont="1" applyFill="1" applyBorder="1" applyAlignment="1" applyProtection="1">
      <alignment horizontal="left" indent="1"/>
      <protection hidden="1"/>
    </xf>
    <xf numFmtId="3" fontId="32" fillId="3" borderId="3" xfId="69" applyNumberFormat="1" applyFont="1" applyFill="1" applyBorder="1" applyAlignment="1" applyProtection="1">
      <alignment horizontal="left" indent="1"/>
      <protection hidden="1"/>
    </xf>
    <xf numFmtId="3" fontId="30" fillId="0" borderId="6" xfId="0" applyNumberFormat="1" applyFont="1" applyFill="1" applyBorder="1" applyAlignment="1" applyProtection="1">
      <alignment horizontal="center" vertical="center" wrapText="1"/>
      <protection hidden="1"/>
    </xf>
    <xf numFmtId="3" fontId="30" fillId="0" borderId="8" xfId="0" applyNumberFormat="1" applyFont="1" applyFill="1" applyBorder="1" applyAlignment="1" applyProtection="1">
      <alignment horizontal="center" vertical="center" wrapText="1"/>
      <protection hidden="1"/>
    </xf>
    <xf numFmtId="3" fontId="30" fillId="0" borderId="5" xfId="0" applyNumberFormat="1" applyFont="1" applyFill="1" applyBorder="1" applyAlignment="1" applyProtection="1">
      <alignment horizontal="center" vertical="center" wrapText="1"/>
      <protection hidden="1"/>
    </xf>
    <xf numFmtId="179" fontId="53" fillId="0" borderId="65" xfId="69" applyNumberFormat="1" applyFont="1" applyFill="1" applyBorder="1" applyAlignment="1" applyProtection="1">
      <alignment horizontal="right" wrapText="1"/>
      <protection hidden="1"/>
    </xf>
    <xf numFmtId="179" fontId="53" fillId="0" borderId="28" xfId="69" applyNumberFormat="1" applyFont="1" applyFill="1" applyBorder="1" applyAlignment="1" applyProtection="1">
      <alignment horizontal="right" wrapText="1"/>
      <protection hidden="1"/>
    </xf>
    <xf numFmtId="179" fontId="53" fillId="0" borderId="31" xfId="69" applyNumberFormat="1" applyFont="1" applyFill="1" applyBorder="1" applyAlignment="1" applyProtection="1">
      <alignment horizontal="right" wrapText="1"/>
      <protection hidden="1"/>
    </xf>
    <xf numFmtId="179" fontId="53" fillId="0" borderId="32" xfId="69" applyNumberFormat="1" applyFont="1" applyFill="1" applyBorder="1" applyAlignment="1" applyProtection="1">
      <alignment horizontal="right" wrapText="1"/>
      <protection hidden="1"/>
    </xf>
    <xf numFmtId="179" fontId="53" fillId="0" borderId="33" xfId="69" applyNumberFormat="1" applyFont="1" applyFill="1" applyBorder="1" applyAlignment="1" applyProtection="1">
      <alignment horizontal="right" wrapText="1"/>
      <protection hidden="1"/>
    </xf>
    <xf numFmtId="179" fontId="53" fillId="0" borderId="34" xfId="69" applyNumberFormat="1" applyFont="1" applyFill="1" applyBorder="1" applyAlignment="1" applyProtection="1">
      <alignment horizontal="right" wrapText="1"/>
      <protection hidden="1"/>
    </xf>
    <xf numFmtId="0" fontId="24" fillId="0" borderId="21" xfId="69" applyBorder="1"/>
    <xf numFmtId="0" fontId="24" fillId="0" borderId="21" xfId="69" applyBorder="1" applyAlignment="1">
      <alignment horizontal="right" vertical="center"/>
    </xf>
    <xf numFmtId="0" fontId="24" fillId="0" borderId="0" xfId="69" applyAlignment="1">
      <alignment horizontal="right" vertical="center"/>
    </xf>
    <xf numFmtId="0" fontId="24" fillId="0" borderId="0" xfId="69"/>
    <xf numFmtId="0" fontId="38" fillId="0" borderId="0" xfId="74" applyFont="1"/>
    <xf numFmtId="0" fontId="24" fillId="0" borderId="0" xfId="74" applyAlignment="1">
      <alignment horizontal="right" vertical="center"/>
    </xf>
    <xf numFmtId="14" fontId="68" fillId="0" borderId="0" xfId="71" applyNumberFormat="1" applyFont="1" applyAlignment="1">
      <alignment horizontal="right"/>
    </xf>
    <xf numFmtId="0" fontId="24" fillId="0" borderId="0" xfId="74"/>
    <xf numFmtId="0" fontId="75" fillId="0" borderId="0" xfId="74" applyFont="1" applyAlignment="1">
      <alignment horizontal="left"/>
    </xf>
    <xf numFmtId="0" fontId="70" fillId="0" borderId="0" xfId="74" applyFont="1" applyAlignment="1">
      <alignment horizontal="left"/>
    </xf>
    <xf numFmtId="0" fontId="71" fillId="0" borderId="0" xfId="74" applyFont="1"/>
    <xf numFmtId="0" fontId="69" fillId="0" borderId="0" xfId="74" applyFont="1"/>
    <xf numFmtId="0" fontId="24" fillId="3" borderId="0" xfId="74" applyFill="1"/>
    <xf numFmtId="0" fontId="69" fillId="0" borderId="0" xfId="74" applyFont="1" applyAlignment="1">
      <alignment horizontal="justify" vertical="center"/>
    </xf>
    <xf numFmtId="0" fontId="74" fillId="0" borderId="0" xfId="0" applyFont="1" applyAlignment="1">
      <alignment vertical="center"/>
    </xf>
    <xf numFmtId="0" fontId="24" fillId="3" borderId="0" xfId="74" applyFill="1" applyAlignment="1">
      <alignment horizontal="justify" wrapText="1"/>
    </xf>
    <xf numFmtId="0" fontId="24" fillId="0" borderId="0" xfId="74" applyAlignment="1">
      <alignment horizontal="justify" wrapText="1"/>
    </xf>
    <xf numFmtId="0" fontId="24" fillId="0" borderId="0" xfId="74" applyAlignment="1">
      <alignment horizontal="justify" vertical="center"/>
    </xf>
    <xf numFmtId="0" fontId="24" fillId="0" borderId="0" xfId="74" applyAlignment="1">
      <alignment horizontal="left" vertical="top"/>
    </xf>
    <xf numFmtId="49" fontId="38" fillId="2" borderId="0" xfId="153" applyNumberFormat="1" applyFont="1" applyFill="1" applyAlignment="1">
      <alignment horizontal="left" vertical="center"/>
    </xf>
    <xf numFmtId="0" fontId="1" fillId="0" borderId="0" xfId="180" applyAlignment="1">
      <alignment vertical="center"/>
    </xf>
    <xf numFmtId="9" fontId="38" fillId="0" borderId="0" xfId="180" applyNumberFormat="1" applyFont="1" applyAlignment="1">
      <alignment vertical="center"/>
    </xf>
    <xf numFmtId="0" fontId="24" fillId="0" borderId="0" xfId="74" applyAlignment="1">
      <alignment wrapText="1"/>
    </xf>
    <xf numFmtId="0" fontId="54" fillId="0" borderId="21" xfId="69" applyFont="1" applyBorder="1" applyAlignment="1">
      <alignment horizontal="right" vertical="center"/>
    </xf>
    <xf numFmtId="0" fontId="42" fillId="0" borderId="0" xfId="74" applyFont="1" applyAlignment="1">
      <alignment horizontal="left"/>
    </xf>
    <xf numFmtId="0" fontId="36" fillId="0" borderId="0" xfId="74" applyFont="1" applyAlignment="1">
      <alignment horizontal="left"/>
    </xf>
    <xf numFmtId="0" fontId="88" fillId="0" borderId="0" xfId="74" applyFont="1"/>
    <xf numFmtId="0" fontId="56" fillId="0" borderId="0" xfId="74" applyFont="1"/>
    <xf numFmtId="0" fontId="54" fillId="0" borderId="0" xfId="74" applyFont="1"/>
    <xf numFmtId="0" fontId="89" fillId="0" borderId="0" xfId="74" applyFont="1" applyAlignment="1">
      <alignment horizontal="left"/>
    </xf>
    <xf numFmtId="0" fontId="74" fillId="0" borderId="0" xfId="181" applyFont="1" applyAlignment="1">
      <alignment horizontal="left"/>
    </xf>
    <xf numFmtId="0" fontId="69" fillId="0" borderId="0" xfId="74" applyFont="1" applyAlignment="1">
      <alignment vertical="top"/>
    </xf>
    <xf numFmtId="0" fontId="88" fillId="0" borderId="0" xfId="74" applyFont="1" applyAlignment="1">
      <alignment vertical="top"/>
    </xf>
    <xf numFmtId="0" fontId="24" fillId="0" borderId="0" xfId="74" applyAlignment="1">
      <alignment vertical="top"/>
    </xf>
    <xf numFmtId="0" fontId="28" fillId="0" borderId="0" xfId="74" applyFont="1"/>
    <xf numFmtId="0" fontId="74" fillId="0" borderId="61" xfId="181" applyFont="1" applyBorder="1" applyAlignment="1">
      <alignment horizontal="left"/>
    </xf>
    <xf numFmtId="0" fontId="74" fillId="0" borderId="60" xfId="181" applyFont="1" applyBorder="1" applyAlignment="1">
      <alignment horizontal="left"/>
    </xf>
    <xf numFmtId="0" fontId="74" fillId="0" borderId="0" xfId="181" applyFont="1"/>
    <xf numFmtId="0" fontId="74" fillId="0" borderId="0" xfId="74" applyFont="1"/>
    <xf numFmtId="0" fontId="74" fillId="0" borderId="0" xfId="74" applyFont="1" applyAlignment="1">
      <alignment horizontal="left"/>
    </xf>
    <xf numFmtId="0" fontId="52" fillId="0" borderId="61" xfId="74" applyFont="1" applyBorder="1" applyAlignment="1">
      <alignment horizontal="left"/>
    </xf>
    <xf numFmtId="0" fontId="52" fillId="0" borderId="0" xfId="74" applyFont="1" applyAlignment="1">
      <alignment horizontal="left"/>
    </xf>
    <xf numFmtId="0" fontId="52" fillId="0" borderId="60" xfId="74" applyFont="1" applyBorder="1" applyAlignment="1">
      <alignment horizontal="left"/>
    </xf>
    <xf numFmtId="0" fontId="87" fillId="0" borderId="0" xfId="74" applyFont="1" applyAlignment="1">
      <alignment wrapText="1"/>
    </xf>
    <xf numFmtId="0" fontId="82" fillId="0" borderId="0" xfId="74" applyFont="1"/>
    <xf numFmtId="0" fontId="38" fillId="0" borderId="0" xfId="71" applyFont="1"/>
    <xf numFmtId="0" fontId="39" fillId="0" borderId="0" xfId="71" applyFont="1" applyAlignment="1">
      <alignment horizontal="left" indent="10"/>
    </xf>
    <xf numFmtId="0" fontId="24" fillId="0" borderId="0" xfId="71" applyAlignment="1">
      <alignment horizontal="left"/>
    </xf>
    <xf numFmtId="0" fontId="27" fillId="3" borderId="0" xfId="71" applyFont="1" applyFill="1" applyAlignment="1">
      <alignment horizontal="right"/>
    </xf>
    <xf numFmtId="0" fontId="24" fillId="0" borderId="0" xfId="71" applyAlignment="1">
      <alignment horizontal="left" vertical="top" wrapText="1"/>
    </xf>
    <xf numFmtId="0" fontId="36" fillId="0" borderId="0" xfId="71" applyFont="1"/>
    <xf numFmtId="0" fontId="40" fillId="0" borderId="0" xfId="71" applyFont="1"/>
    <xf numFmtId="0" fontId="37" fillId="0" borderId="0" xfId="71" applyFont="1" applyAlignment="1">
      <alignment horizontal="left"/>
    </xf>
    <xf numFmtId="0" fontId="37" fillId="0" borderId="0" xfId="182" applyFont="1"/>
    <xf numFmtId="0" fontId="66" fillId="0" borderId="0" xfId="182" applyFont="1" applyAlignment="1">
      <alignment horizontal="center"/>
    </xf>
    <xf numFmtId="0" fontId="66" fillId="0" borderId="0" xfId="71" applyFont="1" applyAlignment="1">
      <alignment horizontal="left"/>
    </xf>
    <xf numFmtId="0" fontId="41" fillId="0" borderId="0" xfId="182" applyFont="1" applyAlignment="1">
      <alignment horizontal="left" indent="10"/>
    </xf>
    <xf numFmtId="0" fontId="24" fillId="0" borderId="0" xfId="71"/>
    <xf numFmtId="0" fontId="39" fillId="0" borderId="0" xfId="182" applyFont="1" applyAlignment="1">
      <alignment horizontal="left" vertical="top" wrapText="1" indent="2"/>
    </xf>
    <xf numFmtId="0" fontId="41" fillId="0" borderId="0" xfId="182" applyFont="1" applyAlignment="1">
      <alignment horizontal="center"/>
    </xf>
    <xf numFmtId="0" fontId="24" fillId="0" borderId="0" xfId="71" applyAlignment="1">
      <alignment horizontal="left" indent="3"/>
    </xf>
    <xf numFmtId="0" fontId="26" fillId="0" borderId="0" xfId="71" applyFont="1" applyAlignment="1">
      <alignment horizontal="left" vertical="top" wrapText="1"/>
    </xf>
    <xf numFmtId="0" fontId="25" fillId="0" borderId="0" xfId="149" applyFill="1" applyAlignment="1" applyProtection="1">
      <alignment horizontal="left" wrapText="1" indent="2"/>
    </xf>
    <xf numFmtId="0" fontId="25" fillId="0" borderId="0" xfId="149" applyFill="1" applyAlignment="1" applyProtection="1">
      <alignment horizontal="left" indent="2"/>
    </xf>
    <xf numFmtId="0" fontId="1" fillId="0" borderId="0" xfId="182" applyAlignment="1">
      <alignment wrapText="1"/>
    </xf>
    <xf numFmtId="0" fontId="24" fillId="0" borderId="0" xfId="71" applyAlignment="1">
      <alignment wrapText="1"/>
    </xf>
    <xf numFmtId="0" fontId="38" fillId="0" borderId="0" xfId="71" applyFont="1" applyAlignment="1">
      <alignment horizontal="left"/>
    </xf>
    <xf numFmtId="0" fontId="24" fillId="0" borderId="0" xfId="182" applyFont="1" applyAlignment="1">
      <alignment horizontal="left"/>
    </xf>
    <xf numFmtId="49" fontId="25" fillId="0" borderId="0" xfId="47" applyNumberFormat="1" applyFill="1" applyBorder="1" applyAlignment="1" applyProtection="1">
      <alignment horizontal="left"/>
    </xf>
    <xf numFmtId="0" fontId="25" fillId="0" borderId="0" xfId="47" applyAlignment="1" applyProtection="1">
      <alignment horizontal="right" vertical="center"/>
      <protection hidden="1"/>
    </xf>
    <xf numFmtId="0" fontId="27" fillId="0" borderId="0" xfId="69" applyFont="1" applyFill="1" applyAlignment="1" applyProtection="1">
      <alignment horizontal="left" vertical="center" wrapText="1"/>
      <protection hidden="1"/>
    </xf>
    <xf numFmtId="0" fontId="27" fillId="0" borderId="0" xfId="69" applyFont="1" applyAlignment="1" applyProtection="1">
      <alignment horizontal="left" vertical="center"/>
      <protection hidden="1"/>
    </xf>
    <xf numFmtId="0" fontId="27" fillId="0" borderId="0" xfId="69" applyFont="1" applyAlignment="1" applyProtection="1">
      <alignment horizontal="left"/>
      <protection hidden="1"/>
    </xf>
    <xf numFmtId="49" fontId="27" fillId="0" borderId="12" xfId="69" applyNumberFormat="1" applyFont="1" applyFill="1" applyBorder="1" applyAlignment="1" applyProtection="1">
      <alignment horizontal="center" vertical="center" wrapText="1"/>
      <protection hidden="1"/>
    </xf>
    <xf numFmtId="49" fontId="27" fillId="0" borderId="16" xfId="69" applyNumberFormat="1" applyFont="1" applyFill="1" applyBorder="1" applyAlignment="1" applyProtection="1">
      <alignment horizontal="center" vertical="center" wrapText="1"/>
      <protection hidden="1"/>
    </xf>
    <xf numFmtId="49" fontId="27" fillId="0" borderId="17" xfId="69" applyNumberFormat="1" applyFont="1" applyFill="1" applyBorder="1" applyAlignment="1" applyProtection="1">
      <alignment horizontal="center" vertical="center" wrapText="1"/>
      <protection hidden="1"/>
    </xf>
    <xf numFmtId="0" fontId="59" fillId="0" borderId="0" xfId="69" applyFont="1" applyFill="1" applyAlignment="1" applyProtection="1">
      <alignment horizontal="left" vertical="top" wrapText="1"/>
      <protection hidden="1"/>
    </xf>
    <xf numFmtId="3" fontId="27" fillId="0" borderId="5" xfId="69" applyNumberFormat="1" applyFont="1" applyFill="1" applyBorder="1" applyAlignment="1" applyProtection="1">
      <alignment horizontal="center" vertical="center" wrapText="1"/>
      <protection hidden="1"/>
    </xf>
    <xf numFmtId="3" fontId="27" fillId="0" borderId="4" xfId="69" applyNumberFormat="1" applyFont="1" applyFill="1" applyBorder="1" applyAlignment="1" applyProtection="1">
      <alignment horizontal="center" vertical="center" wrapText="1"/>
      <protection hidden="1"/>
    </xf>
    <xf numFmtId="165" fontId="27" fillId="0" borderId="12" xfId="69" applyNumberFormat="1" applyFont="1" applyFill="1" applyBorder="1" applyAlignment="1" applyProtection="1">
      <alignment horizontal="center" vertical="center" wrapText="1"/>
      <protection hidden="1"/>
    </xf>
    <xf numFmtId="165" fontId="27" fillId="0" borderId="16" xfId="69" applyNumberFormat="1" applyFont="1" applyFill="1" applyBorder="1" applyAlignment="1" applyProtection="1">
      <alignment horizontal="center" vertical="center" wrapText="1"/>
      <protection hidden="1"/>
    </xf>
    <xf numFmtId="0" fontId="27" fillId="0" borderId="0" xfId="69" applyFont="1" applyAlignment="1" applyProtection="1">
      <alignment horizontal="left" vertical="center" wrapText="1"/>
      <protection hidden="1"/>
    </xf>
    <xf numFmtId="0" fontId="25" fillId="0" borderId="0" xfId="47" applyAlignment="1" applyProtection="1">
      <alignment horizontal="right" vertical="center"/>
    </xf>
    <xf numFmtId="3" fontId="27" fillId="0" borderId="6" xfId="69" applyNumberFormat="1" applyFont="1" applyFill="1" applyBorder="1" applyAlignment="1" applyProtection="1">
      <alignment horizontal="center" vertical="center" wrapText="1"/>
      <protection hidden="1"/>
    </xf>
    <xf numFmtId="3" fontId="27" fillId="0" borderId="13" xfId="69" applyNumberFormat="1" applyFont="1" applyFill="1" applyBorder="1" applyAlignment="1" applyProtection="1">
      <alignment horizontal="center" vertical="center" wrapText="1"/>
      <protection hidden="1"/>
    </xf>
    <xf numFmtId="3" fontId="27" fillId="0" borderId="8" xfId="69" applyNumberFormat="1" applyFont="1" applyFill="1" applyBorder="1" applyAlignment="1" applyProtection="1">
      <alignment horizontal="center" vertical="center" wrapText="1"/>
      <protection hidden="1"/>
    </xf>
    <xf numFmtId="3" fontId="27" fillId="0" borderId="11" xfId="69" applyNumberFormat="1" applyFont="1" applyFill="1" applyBorder="1" applyAlignment="1" applyProtection="1">
      <alignment horizontal="center" vertical="center" wrapText="1"/>
      <protection hidden="1"/>
    </xf>
    <xf numFmtId="3" fontId="27" fillId="0" borderId="9" xfId="69" applyNumberFormat="1" applyFont="1" applyFill="1" applyBorder="1" applyAlignment="1" applyProtection="1">
      <alignment horizontal="center" vertical="center" wrapText="1"/>
      <protection hidden="1"/>
    </xf>
    <xf numFmtId="0" fontId="27" fillId="0" borderId="7" xfId="0" applyFont="1" applyFill="1" applyBorder="1" applyAlignment="1" applyProtection="1">
      <alignment horizontal="center" vertical="center" wrapText="1"/>
      <protection hidden="1"/>
    </xf>
    <xf numFmtId="0" fontId="27" fillId="0" borderId="13" xfId="0" applyFont="1" applyFill="1" applyBorder="1" applyAlignment="1" applyProtection="1">
      <alignment horizontal="center" vertical="center" wrapText="1"/>
      <protection hidden="1"/>
    </xf>
    <xf numFmtId="0" fontId="27" fillId="0" borderId="15" xfId="0" applyFont="1" applyFill="1" applyBorder="1" applyAlignment="1" applyProtection="1">
      <alignment horizontal="center" vertical="center" wrapText="1"/>
      <protection hidden="1"/>
    </xf>
    <xf numFmtId="0" fontId="27" fillId="0" borderId="9" xfId="0" applyFont="1" applyFill="1" applyBorder="1" applyAlignment="1" applyProtection="1">
      <alignment horizontal="center" vertical="center" wrapText="1"/>
      <protection hidden="1"/>
    </xf>
    <xf numFmtId="0" fontId="56" fillId="0" borderId="0" xfId="0" applyFont="1" applyAlignment="1" applyProtection="1">
      <alignment horizontal="left" vertical="center" wrapText="1"/>
      <protection hidden="1"/>
    </xf>
    <xf numFmtId="0" fontId="72" fillId="0" borderId="0" xfId="47" applyFont="1" applyFill="1" applyAlignment="1" applyProtection="1">
      <alignment horizontal="right" vertical="center"/>
    </xf>
    <xf numFmtId="0" fontId="27" fillId="0" borderId="6" xfId="0" applyFont="1" applyFill="1" applyBorder="1" applyAlignment="1" applyProtection="1">
      <alignment horizontal="center" vertical="center" wrapText="1"/>
      <protection hidden="1"/>
    </xf>
    <xf numFmtId="0" fontId="27" fillId="0" borderId="8" xfId="0" applyFont="1" applyFill="1" applyBorder="1" applyAlignment="1" applyProtection="1">
      <alignment horizontal="center" vertical="center" wrapText="1"/>
      <protection hidden="1"/>
    </xf>
    <xf numFmtId="0" fontId="27" fillId="0" borderId="0" xfId="0" applyFont="1" applyFill="1" applyBorder="1" applyAlignment="1" applyProtection="1">
      <alignment horizontal="center" vertical="center" wrapText="1"/>
      <protection hidden="1"/>
    </xf>
    <xf numFmtId="0" fontId="27" fillId="0" borderId="12" xfId="0" applyFont="1" applyFill="1" applyBorder="1" applyAlignment="1" applyProtection="1">
      <alignment horizontal="center" vertical="center" wrapText="1"/>
      <protection hidden="1"/>
    </xf>
    <xf numFmtId="0" fontId="27" fillId="0" borderId="17" xfId="0" applyFont="1" applyFill="1" applyBorder="1" applyAlignment="1" applyProtection="1">
      <alignment horizontal="center" vertical="center" wrapText="1"/>
      <protection hidden="1"/>
    </xf>
    <xf numFmtId="0" fontId="27" fillId="0" borderId="16" xfId="0" applyFont="1" applyFill="1" applyBorder="1" applyAlignment="1" applyProtection="1">
      <alignment horizontal="center" vertical="center" wrapText="1"/>
      <protection hidden="1"/>
    </xf>
    <xf numFmtId="3" fontId="27" fillId="0" borderId="7" xfId="69" applyNumberFormat="1" applyFont="1" applyFill="1" applyBorder="1" applyAlignment="1" applyProtection="1">
      <alignment horizontal="center" vertical="center" wrapText="1"/>
      <protection hidden="1"/>
    </xf>
    <xf numFmtId="3" fontId="53" fillId="0" borderId="5" xfId="69" applyNumberFormat="1" applyFont="1" applyFill="1" applyBorder="1" applyAlignment="1" applyProtection="1">
      <alignment horizontal="center" vertical="center" wrapText="1"/>
      <protection hidden="1"/>
    </xf>
    <xf numFmtId="3" fontId="53" fillId="0" borderId="4" xfId="69" applyNumberFormat="1" applyFont="1" applyFill="1" applyBorder="1" applyAlignment="1" applyProtection="1">
      <alignment horizontal="center" vertical="center" wrapText="1"/>
      <protection hidden="1"/>
    </xf>
    <xf numFmtId="3" fontId="53" fillId="3" borderId="12" xfId="69" applyNumberFormat="1" applyFont="1" applyFill="1" applyBorder="1" applyAlignment="1" applyProtection="1">
      <alignment horizontal="center" vertical="center" wrapText="1"/>
      <protection hidden="1"/>
    </xf>
    <xf numFmtId="3" fontId="53" fillId="3" borderId="17" xfId="69" applyNumberFormat="1" applyFont="1" applyFill="1" applyBorder="1" applyAlignment="1" applyProtection="1">
      <alignment horizontal="center" vertical="center" wrapText="1"/>
      <protection hidden="1"/>
    </xf>
    <xf numFmtId="3" fontId="53" fillId="3" borderId="16" xfId="69" applyNumberFormat="1" applyFont="1" applyFill="1" applyBorder="1" applyAlignment="1" applyProtection="1">
      <alignment horizontal="center" vertical="center" wrapText="1"/>
      <protection hidden="1"/>
    </xf>
    <xf numFmtId="0" fontId="53" fillId="3" borderId="0" xfId="69" applyFont="1" applyFill="1" applyAlignment="1" applyProtection="1">
      <alignment horizontal="left" vertical="top" wrapText="1"/>
      <protection hidden="1"/>
    </xf>
    <xf numFmtId="0" fontId="53" fillId="0" borderId="0" xfId="69" applyFont="1" applyFill="1" applyAlignment="1" applyProtection="1">
      <alignment horizontal="left" vertical="top" wrapText="1"/>
      <protection hidden="1"/>
    </xf>
    <xf numFmtId="0" fontId="52" fillId="0" borderId="0" xfId="69" applyFont="1" applyFill="1" applyAlignment="1" applyProtection="1">
      <alignment horizontal="justify" vertical="top" wrapText="1"/>
      <protection hidden="1"/>
    </xf>
    <xf numFmtId="0" fontId="53" fillId="0" borderId="0" xfId="69" applyFont="1" applyFill="1" applyAlignment="1" applyProtection="1">
      <alignment horizontal="justify" vertical="top" wrapText="1"/>
      <protection hidden="1"/>
    </xf>
    <xf numFmtId="0" fontId="62" fillId="0" borderId="0" xfId="47" applyFont="1" applyFill="1" applyAlignment="1" applyProtection="1">
      <alignment horizontal="justify" vertical="center"/>
    </xf>
    <xf numFmtId="0" fontId="52" fillId="0" borderId="0" xfId="180" applyFont="1" applyAlignment="1">
      <alignment horizontal="left" vertical="center"/>
    </xf>
    <xf numFmtId="0" fontId="61" fillId="0" borderId="0" xfId="151" applyFont="1" applyFill="1" applyAlignment="1" applyProtection="1">
      <alignment horizontal="left" vertical="center" wrapText="1"/>
    </xf>
    <xf numFmtId="0" fontId="1" fillId="0" borderId="0" xfId="180"/>
    <xf numFmtId="0" fontId="52" fillId="0" borderId="0" xfId="0" applyFont="1" applyAlignment="1">
      <alignment horizontal="justify" vertical="top" wrapText="1"/>
    </xf>
    <xf numFmtId="0" fontId="74" fillId="0" borderId="0" xfId="0" applyFont="1" applyAlignment="1">
      <alignment horizontal="justify" vertical="center"/>
    </xf>
    <xf numFmtId="0" fontId="69" fillId="0" borderId="0" xfId="74" applyFont="1" applyAlignment="1">
      <alignment horizontal="left" vertical="center"/>
    </xf>
    <xf numFmtId="0" fontId="71" fillId="0" borderId="0" xfId="0" applyFont="1" applyAlignment="1">
      <alignment horizontal="justify" vertical="center"/>
    </xf>
    <xf numFmtId="0" fontId="77" fillId="0" borderId="0" xfId="47" applyFont="1" applyFill="1" applyAlignment="1" applyProtection="1">
      <alignment horizontal="justify" vertical="center"/>
    </xf>
    <xf numFmtId="0" fontId="74" fillId="0" borderId="0" xfId="0" applyFont="1" applyAlignment="1">
      <alignment horizontal="justify" vertical="center" wrapText="1"/>
    </xf>
    <xf numFmtId="0" fontId="71" fillId="0" borderId="0" xfId="0" applyFont="1" applyAlignment="1">
      <alignment horizontal="justify" vertical="center" wrapText="1"/>
    </xf>
    <xf numFmtId="0" fontId="69" fillId="0" borderId="0" xfId="74" applyFont="1" applyAlignment="1">
      <alignment horizontal="justify" vertical="center"/>
    </xf>
    <xf numFmtId="0" fontId="77" fillId="0" borderId="0" xfId="0" applyFont="1" applyAlignment="1">
      <alignment horizontal="justify" vertical="center"/>
    </xf>
    <xf numFmtId="0" fontId="77" fillId="0" borderId="0" xfId="47" applyFont="1" applyFill="1" applyBorder="1" applyAlignment="1" applyProtection="1">
      <alignment horizontal="justify" vertical="center" wrapText="1"/>
    </xf>
    <xf numFmtId="0" fontId="25" fillId="0" borderId="0" xfId="47" applyFill="1" applyBorder="1" applyAlignment="1" applyProtection="1">
      <alignment horizontal="justify" vertical="center" wrapText="1"/>
    </xf>
    <xf numFmtId="0" fontId="24" fillId="0" borderId="0" xfId="74" applyAlignment="1">
      <alignment horizontal="justify" vertical="center"/>
    </xf>
    <xf numFmtId="0" fontId="74" fillId="0" borderId="0" xfId="0" applyFont="1" applyAlignment="1">
      <alignment horizontal="justify" vertical="top" wrapText="1"/>
    </xf>
    <xf numFmtId="0" fontId="52" fillId="0" borderId="0" xfId="0" applyFont="1" applyAlignment="1">
      <alignment horizontal="justify" vertical="center"/>
    </xf>
    <xf numFmtId="0" fontId="72" fillId="0" borderId="0" xfId="47" applyFont="1" applyAlignment="1" applyProtection="1">
      <alignment horizontal="right" vertical="center"/>
    </xf>
    <xf numFmtId="0" fontId="83" fillId="0" borderId="0" xfId="0" applyFont="1" applyAlignment="1">
      <alignment horizontal="justify" vertical="center" wrapText="1"/>
    </xf>
    <xf numFmtId="0" fontId="74" fillId="0" borderId="61" xfId="74" applyFont="1" applyBorder="1" applyAlignment="1">
      <alignment horizontal="left"/>
    </xf>
    <xf numFmtId="0" fontId="74" fillId="0" borderId="0" xfId="74" applyFont="1" applyAlignment="1">
      <alignment horizontal="left"/>
    </xf>
    <xf numFmtId="0" fontId="74" fillId="0" borderId="60" xfId="74" applyFont="1" applyBorder="1" applyAlignment="1">
      <alignment horizontal="left"/>
    </xf>
    <xf numFmtId="0" fontId="74" fillId="0" borderId="61" xfId="74" applyFont="1" applyBorder="1" applyAlignment="1">
      <alignment horizontal="left" wrapText="1"/>
    </xf>
    <xf numFmtId="0" fontId="74" fillId="0" borderId="59" xfId="74" applyFont="1" applyBorder="1" applyAlignment="1">
      <alignment horizontal="left" wrapText="1"/>
    </xf>
    <xf numFmtId="0" fontId="74" fillId="0" borderId="58" xfId="74" applyFont="1" applyBorder="1" applyAlignment="1">
      <alignment horizontal="left"/>
    </xf>
    <xf numFmtId="0" fontId="74" fillId="0" borderId="57" xfId="74" applyFont="1" applyBorder="1" applyAlignment="1">
      <alignment horizontal="left"/>
    </xf>
    <xf numFmtId="0" fontId="84" fillId="0" borderId="0" xfId="74" applyFont="1" applyAlignment="1">
      <alignment horizontal="left"/>
    </xf>
    <xf numFmtId="0" fontId="69" fillId="0" borderId="0" xfId="74" applyFont="1" applyAlignment="1">
      <alignment horizontal="left"/>
    </xf>
    <xf numFmtId="0" fontId="74" fillId="0" borderId="64" xfId="74" applyFont="1" applyBorder="1" applyAlignment="1">
      <alignment horizontal="left"/>
    </xf>
    <xf numFmtId="0" fontId="74" fillId="0" borderId="63" xfId="74" applyFont="1" applyBorder="1" applyAlignment="1">
      <alignment horizontal="left"/>
    </xf>
    <xf numFmtId="0" fontId="74" fillId="0" borderId="62" xfId="74" applyFont="1" applyBorder="1" applyAlignment="1">
      <alignment horizontal="left"/>
    </xf>
    <xf numFmtId="0" fontId="74" fillId="0" borderId="59" xfId="74" applyFont="1" applyBorder="1" applyAlignment="1">
      <alignment horizontal="left"/>
    </xf>
    <xf numFmtId="0" fontId="52" fillId="0" borderId="0" xfId="0" applyFont="1" applyAlignment="1">
      <alignment horizontal="justify" vertical="center" wrapText="1"/>
    </xf>
    <xf numFmtId="0" fontId="74" fillId="0" borderId="0" xfId="74" applyFont="1" applyAlignment="1">
      <alignment horizontal="justify" wrapText="1"/>
    </xf>
    <xf numFmtId="0" fontId="86" fillId="0" borderId="0" xfId="74" applyFont="1" applyAlignment="1">
      <alignment horizontal="right"/>
    </xf>
    <xf numFmtId="0" fontId="74" fillId="0" borderId="0" xfId="74" applyFont="1" applyAlignment="1">
      <alignment horizontal="right"/>
    </xf>
    <xf numFmtId="0" fontId="85" fillId="0" borderId="0" xfId="74" applyFont="1" applyAlignment="1">
      <alignment horizontal="left"/>
    </xf>
    <xf numFmtId="0" fontId="52" fillId="0" borderId="61" xfId="74" applyFont="1" applyBorder="1" applyAlignment="1">
      <alignment horizontal="left"/>
    </xf>
    <xf numFmtId="0" fontId="52" fillId="0" borderId="0" xfId="74" applyFont="1" applyAlignment="1">
      <alignment horizontal="left"/>
    </xf>
    <xf numFmtId="0" fontId="52" fillId="0" borderId="60" xfId="74" applyFont="1" applyBorder="1" applyAlignment="1">
      <alignment horizontal="left"/>
    </xf>
    <xf numFmtId="0" fontId="52" fillId="0" borderId="59" xfId="74" applyFont="1" applyBorder="1" applyAlignment="1">
      <alignment horizontal="left"/>
    </xf>
    <xf numFmtId="0" fontId="52" fillId="0" borderId="58" xfId="74" applyFont="1" applyBorder="1" applyAlignment="1">
      <alignment horizontal="left"/>
    </xf>
    <xf numFmtId="0" fontId="52" fillId="0" borderId="57" xfId="74" applyFont="1" applyBorder="1" applyAlignment="1">
      <alignment horizontal="left"/>
    </xf>
    <xf numFmtId="0" fontId="52" fillId="0" borderId="19" xfId="74" applyFont="1" applyBorder="1" applyAlignment="1">
      <alignment horizontal="left"/>
    </xf>
    <xf numFmtId="0" fontId="52" fillId="0" borderId="2" xfId="74" applyFont="1" applyBorder="1" applyAlignment="1">
      <alignment horizontal="left"/>
    </xf>
    <xf numFmtId="0" fontId="52" fillId="0" borderId="20" xfId="74" applyFont="1" applyBorder="1" applyAlignment="1">
      <alignment horizontal="left"/>
    </xf>
    <xf numFmtId="0" fontId="77" fillId="0" borderId="0" xfId="74" applyFont="1" applyAlignment="1">
      <alignment horizontal="left"/>
    </xf>
    <xf numFmtId="0" fontId="52" fillId="0" borderId="64" xfId="74" applyFont="1" applyBorder="1" applyAlignment="1">
      <alignment horizontal="left"/>
    </xf>
    <xf numFmtId="0" fontId="52" fillId="0" borderId="63" xfId="74" applyFont="1" applyBorder="1" applyAlignment="1">
      <alignment horizontal="left"/>
    </xf>
    <xf numFmtId="0" fontId="52" fillId="0" borderId="62" xfId="74" applyFont="1" applyBorder="1" applyAlignment="1">
      <alignment horizontal="left"/>
    </xf>
    <xf numFmtId="0" fontId="76" fillId="0" borderId="0" xfId="74" applyFont="1" applyAlignment="1">
      <alignment horizontal="left"/>
    </xf>
    <xf numFmtId="0" fontId="74" fillId="0" borderId="61" xfId="181" applyFont="1" applyBorder="1" applyAlignment="1">
      <alignment horizontal="left"/>
    </xf>
    <xf numFmtId="0" fontId="74" fillId="0" borderId="0" xfId="181" applyFont="1" applyAlignment="1">
      <alignment horizontal="left"/>
    </xf>
    <xf numFmtId="0" fontId="74" fillId="0" borderId="60" xfId="181" applyFont="1" applyBorder="1" applyAlignment="1">
      <alignment horizontal="left"/>
    </xf>
    <xf numFmtId="0" fontId="74" fillId="0" borderId="59" xfId="181" applyFont="1" applyBorder="1" applyAlignment="1">
      <alignment horizontal="left" wrapText="1"/>
    </xf>
    <xf numFmtId="0" fontId="74" fillId="0" borderId="58" xfId="181" applyFont="1" applyBorder="1" applyAlignment="1">
      <alignment horizontal="left"/>
    </xf>
    <xf numFmtId="0" fontId="74" fillId="0" borderId="57" xfId="181" applyFont="1" applyBorder="1" applyAlignment="1">
      <alignment horizontal="left"/>
    </xf>
    <xf numFmtId="0" fontId="74" fillId="0" borderId="61" xfId="181" applyFont="1" applyBorder="1" applyAlignment="1">
      <alignment horizontal="left" vertical="top" wrapText="1"/>
    </xf>
    <xf numFmtId="0" fontId="74" fillId="0" borderId="0" xfId="181" applyFont="1" applyAlignment="1">
      <alignment horizontal="left" vertical="top"/>
    </xf>
    <xf numFmtId="0" fontId="74" fillId="0" borderId="60" xfId="181" applyFont="1" applyBorder="1" applyAlignment="1">
      <alignment horizontal="left" vertical="top"/>
    </xf>
    <xf numFmtId="0" fontId="74" fillId="0" borderId="64" xfId="181" applyFont="1" applyBorder="1" applyAlignment="1">
      <alignment horizontal="left"/>
    </xf>
    <xf numFmtId="0" fontId="74" fillId="0" borderId="63" xfId="181" applyFont="1" applyBorder="1" applyAlignment="1">
      <alignment horizontal="left"/>
    </xf>
    <xf numFmtId="0" fontId="74" fillId="0" borderId="62" xfId="181" applyFont="1" applyBorder="1" applyAlignment="1">
      <alignment horizontal="left"/>
    </xf>
    <xf numFmtId="0" fontId="74" fillId="0" borderId="59" xfId="181" applyFont="1" applyBorder="1" applyAlignment="1">
      <alignment horizontal="left"/>
    </xf>
    <xf numFmtId="0" fontId="84" fillId="0" borderId="0" xfId="181" applyFont="1" applyAlignment="1">
      <alignment horizontal="left"/>
    </xf>
    <xf numFmtId="0" fontId="74" fillId="0" borderId="61" xfId="181" applyFont="1" applyBorder="1" applyAlignment="1">
      <alignment horizontal="left" wrapText="1"/>
    </xf>
    <xf numFmtId="0" fontId="74" fillId="0" borderId="61" xfId="181" applyFont="1" applyBorder="1" applyAlignment="1">
      <alignment horizontal="left" vertical="top"/>
    </xf>
    <xf numFmtId="0" fontId="52" fillId="0" borderId="61" xfId="181" applyFont="1" applyBorder="1" applyAlignment="1">
      <alignment horizontal="left" vertical="top"/>
    </xf>
    <xf numFmtId="0" fontId="52" fillId="0" borderId="0" xfId="181" applyFont="1" applyAlignment="1">
      <alignment horizontal="left" vertical="top"/>
    </xf>
    <xf numFmtId="0" fontId="52" fillId="0" borderId="60" xfId="181" applyFont="1" applyBorder="1" applyAlignment="1">
      <alignment horizontal="left" vertical="top"/>
    </xf>
    <xf numFmtId="0" fontId="74" fillId="0" borderId="59" xfId="181" applyFont="1" applyBorder="1" applyAlignment="1">
      <alignment horizontal="left" vertical="top"/>
    </xf>
    <xf numFmtId="0" fontId="74" fillId="0" borderId="58" xfId="181" applyFont="1" applyBorder="1" applyAlignment="1">
      <alignment horizontal="left" vertical="top"/>
    </xf>
    <xf numFmtId="0" fontId="74" fillId="0" borderId="57" xfId="181" applyFont="1" applyBorder="1" applyAlignment="1">
      <alignment horizontal="left" vertical="top"/>
    </xf>
    <xf numFmtId="0" fontId="52" fillId="0" borderId="61" xfId="181" applyFont="1" applyBorder="1" applyAlignment="1">
      <alignment horizontal="left" vertical="top" wrapText="1"/>
    </xf>
    <xf numFmtId="0" fontId="52" fillId="0" borderId="0" xfId="181" applyFont="1" applyAlignment="1">
      <alignment horizontal="justify"/>
    </xf>
    <xf numFmtId="0" fontId="52" fillId="0" borderId="64" xfId="181" applyFont="1" applyBorder="1" applyAlignment="1">
      <alignment horizontal="left" vertical="top"/>
    </xf>
    <xf numFmtId="0" fontId="52" fillId="0" borderId="63" xfId="181" applyFont="1" applyBorder="1" applyAlignment="1">
      <alignment horizontal="left" vertical="top"/>
    </xf>
    <xf numFmtId="0" fontId="52" fillId="0" borderId="62" xfId="181" applyFont="1" applyBorder="1" applyAlignment="1">
      <alignment horizontal="left" vertical="top"/>
    </xf>
    <xf numFmtId="0" fontId="74" fillId="0" borderId="0" xfId="181" applyFont="1" applyAlignment="1">
      <alignment horizontal="left" vertical="top" wrapText="1"/>
    </xf>
    <xf numFmtId="0" fontId="74" fillId="0" borderId="60" xfId="181" applyFont="1" applyBorder="1" applyAlignment="1">
      <alignment horizontal="left" vertical="top" wrapText="1"/>
    </xf>
    <xf numFmtId="0" fontId="55" fillId="0" borderId="0" xfId="74" applyFont="1" applyAlignment="1">
      <alignment horizontal="right"/>
    </xf>
    <xf numFmtId="0" fontId="54" fillId="0" borderId="0" xfId="74" applyFont="1" applyAlignment="1">
      <alignment horizontal="left"/>
    </xf>
    <xf numFmtId="0" fontId="89" fillId="0" borderId="0" xfId="74" applyFont="1" applyAlignment="1">
      <alignment horizontal="left"/>
    </xf>
    <xf numFmtId="0" fontId="52" fillId="0" borderId="0" xfId="181" applyFont="1" applyAlignment="1">
      <alignment horizontal="left" vertical="top" wrapText="1"/>
    </xf>
    <xf numFmtId="0" fontId="52" fillId="0" borderId="60" xfId="181" applyFont="1" applyBorder="1" applyAlignment="1">
      <alignment horizontal="left" vertical="top" wrapText="1"/>
    </xf>
    <xf numFmtId="0" fontId="24" fillId="0" borderId="0" xfId="71" applyAlignment="1">
      <alignment horizontal="left" wrapText="1"/>
    </xf>
    <xf numFmtId="0" fontId="25" fillId="0" borderId="0" xfId="47" applyFill="1" applyAlignment="1" applyProtection="1">
      <alignment horizontal="left"/>
    </xf>
    <xf numFmtId="0" fontId="25" fillId="0" borderId="0" xfId="47" applyFill="1" applyAlignment="1" applyProtection="1">
      <alignment horizontal="left" wrapText="1" indent="2"/>
    </xf>
    <xf numFmtId="0" fontId="25" fillId="0" borderId="0" xfId="47" applyFill="1" applyAlignment="1" applyProtection="1"/>
    <xf numFmtId="0" fontId="25" fillId="0" borderId="0" xfId="47" applyAlignment="1" applyProtection="1"/>
    <xf numFmtId="0" fontId="25" fillId="0" borderId="0" xfId="47" applyFill="1" applyBorder="1" applyAlignment="1" applyProtection="1">
      <alignment horizontal="left" wrapText="1"/>
    </xf>
    <xf numFmtId="0" fontId="25" fillId="0" borderId="0" xfId="47" applyFill="1" applyAlignment="1" applyProtection="1">
      <alignment horizontal="left" wrapText="1"/>
    </xf>
    <xf numFmtId="0" fontId="25" fillId="0" borderId="0" xfId="47" applyAlignment="1" applyProtection="1">
      <alignment horizontal="left" wrapText="1" indent="2"/>
    </xf>
    <xf numFmtId="0" fontId="25" fillId="0" borderId="0" xfId="47" applyFill="1" applyBorder="1" applyAlignment="1" applyProtection="1">
      <alignment horizontal="left" vertical="top" wrapText="1" indent="2"/>
    </xf>
    <xf numFmtId="0" fontId="25" fillId="0" borderId="0" xfId="47" applyFill="1" applyAlignment="1" applyProtection="1">
      <alignment horizontal="left" vertical="top" wrapText="1" indent="2"/>
    </xf>
    <xf numFmtId="0" fontId="25" fillId="0" borderId="0" xfId="47" applyFill="1" applyAlignment="1" applyProtection="1">
      <alignment horizontal="left" indent="2"/>
    </xf>
    <xf numFmtId="0" fontId="38" fillId="3" borderId="26" xfId="71" applyFont="1" applyFill="1" applyBorder="1"/>
    <xf numFmtId="0" fontId="24" fillId="3" borderId="0" xfId="71" applyFill="1" applyAlignment="1">
      <alignment horizontal="left" wrapText="1"/>
    </xf>
    <xf numFmtId="0" fontId="26" fillId="3" borderId="0" xfId="71" applyFont="1" applyFill="1" applyAlignment="1">
      <alignment horizontal="left" wrapText="1"/>
    </xf>
    <xf numFmtId="0" fontId="25" fillId="0" borderId="0" xfId="47" applyAlignment="1" applyProtection="1">
      <alignment horizontal="left" vertical="top" wrapText="1"/>
    </xf>
    <xf numFmtId="0" fontId="25" fillId="3" borderId="0" xfId="47" applyFill="1" applyBorder="1" applyAlignment="1" applyProtection="1">
      <alignment horizontal="left" vertical="top" wrapText="1" indent="2"/>
    </xf>
    <xf numFmtId="0" fontId="55" fillId="0" borderId="22" xfId="0" applyFont="1" applyFill="1" applyBorder="1" applyAlignment="1">
      <alignment horizontal="center" vertical="center" wrapText="1"/>
    </xf>
    <xf numFmtId="0" fontId="55" fillId="0" borderId="22" xfId="0" applyFont="1" applyFill="1" applyBorder="1" applyAlignment="1">
      <alignment horizontal="center" vertical="center"/>
    </xf>
    <xf numFmtId="0" fontId="55" fillId="0" borderId="19" xfId="0" applyFont="1" applyFill="1" applyBorder="1" applyAlignment="1">
      <alignment horizontal="center" vertical="center" wrapText="1"/>
    </xf>
    <xf numFmtId="0" fontId="55" fillId="0" borderId="20" xfId="0" applyFont="1" applyFill="1" applyBorder="1" applyAlignment="1">
      <alignment horizontal="center" vertical="center" wrapText="1"/>
    </xf>
    <xf numFmtId="0" fontId="55" fillId="0" borderId="46" xfId="0" applyFont="1" applyFill="1" applyBorder="1" applyAlignment="1">
      <alignment horizontal="center" vertical="center"/>
    </xf>
    <xf numFmtId="0" fontId="55" fillId="0" borderId="47" xfId="0" applyFont="1" applyFill="1" applyBorder="1" applyAlignment="1">
      <alignment horizontal="center" vertical="center"/>
    </xf>
    <xf numFmtId="0" fontId="55" fillId="0" borderId="48" xfId="0" applyFont="1" applyFill="1" applyBorder="1" applyAlignment="1">
      <alignment horizontal="center" vertical="center"/>
    </xf>
    <xf numFmtId="0" fontId="55" fillId="0" borderId="5" xfId="0" applyFont="1" applyFill="1" applyBorder="1" applyAlignment="1">
      <alignment horizontal="center" vertical="center"/>
    </xf>
    <xf numFmtId="0" fontId="55" fillId="0" borderId="8" xfId="0" applyFont="1" applyFill="1" applyBorder="1" applyAlignment="1">
      <alignment horizontal="center" vertical="center"/>
    </xf>
    <xf numFmtId="0" fontId="55" fillId="0" borderId="11" xfId="0" applyFont="1" applyFill="1" applyBorder="1" applyAlignment="1">
      <alignment horizontal="center" vertical="center"/>
    </xf>
    <xf numFmtId="0" fontId="55" fillId="0" borderId="8" xfId="0" applyFont="1" applyFill="1" applyBorder="1" applyAlignment="1">
      <alignment horizontal="center" vertical="center" wrapText="1"/>
    </xf>
    <xf numFmtId="0" fontId="55" fillId="0" borderId="11" xfId="0" applyFont="1" applyFill="1" applyBorder="1" applyAlignment="1">
      <alignment horizontal="center" vertical="center" wrapText="1"/>
    </xf>
  </cellXfs>
  <cellStyles count="183">
    <cellStyle name="0mitP" xfId="1" xr:uid="{00000000-0005-0000-0000-000000000000}"/>
    <cellStyle name="0mitP 2" xfId="2" xr:uid="{00000000-0005-0000-0000-000001000000}"/>
    <cellStyle name="0ohneP" xfId="3" xr:uid="{00000000-0005-0000-0000-000002000000}"/>
    <cellStyle name="0ohneP 2" xfId="4" xr:uid="{00000000-0005-0000-0000-000003000000}"/>
    <cellStyle name="10mitP" xfId="5" xr:uid="{00000000-0005-0000-0000-000004000000}"/>
    <cellStyle name="10mitP 2" xfId="6" xr:uid="{00000000-0005-0000-0000-000005000000}"/>
    <cellStyle name="1mitP" xfId="7" xr:uid="{00000000-0005-0000-0000-000006000000}"/>
    <cellStyle name="1mitP 2" xfId="8" xr:uid="{00000000-0005-0000-0000-000007000000}"/>
    <cellStyle name="3mitP" xfId="9" xr:uid="{00000000-0005-0000-0000-000008000000}"/>
    <cellStyle name="3mitP 2" xfId="10" xr:uid="{00000000-0005-0000-0000-000009000000}"/>
    <cellStyle name="3ohneP" xfId="11" xr:uid="{00000000-0005-0000-0000-00000A000000}"/>
    <cellStyle name="3ohneP 2" xfId="12" xr:uid="{00000000-0005-0000-0000-00000B000000}"/>
    <cellStyle name="4mitP" xfId="13" xr:uid="{00000000-0005-0000-0000-00000C000000}"/>
    <cellStyle name="4mitP 2" xfId="14" xr:uid="{00000000-0005-0000-0000-00000D000000}"/>
    <cellStyle name="6mitP" xfId="15" xr:uid="{00000000-0005-0000-0000-00000E000000}"/>
    <cellStyle name="6mitP 2" xfId="16" xr:uid="{00000000-0005-0000-0000-00000F000000}"/>
    <cellStyle name="6ohneP" xfId="17" xr:uid="{00000000-0005-0000-0000-000010000000}"/>
    <cellStyle name="6ohneP 2" xfId="18" xr:uid="{00000000-0005-0000-0000-000011000000}"/>
    <cellStyle name="7mitP" xfId="19" xr:uid="{00000000-0005-0000-0000-000012000000}"/>
    <cellStyle name="7mitP 2" xfId="20" xr:uid="{00000000-0005-0000-0000-000013000000}"/>
    <cellStyle name="9mitP" xfId="21" xr:uid="{00000000-0005-0000-0000-000014000000}"/>
    <cellStyle name="9mitP 2" xfId="22" xr:uid="{00000000-0005-0000-0000-000015000000}"/>
    <cellStyle name="9ohneP" xfId="23" xr:uid="{00000000-0005-0000-0000-000016000000}"/>
    <cellStyle name="9ohneP 2" xfId="24" xr:uid="{00000000-0005-0000-0000-000017000000}"/>
    <cellStyle name="Deźimal [0]" xfId="25" xr:uid="{00000000-0005-0000-0000-000018000000}"/>
    <cellStyle name="Euro" xfId="26" xr:uid="{00000000-0005-0000-0000-000019000000}"/>
    <cellStyle name="Euro 2" xfId="27" xr:uid="{00000000-0005-0000-0000-00001A000000}"/>
    <cellStyle name="Hyperlink 10" xfId="28" xr:uid="{00000000-0005-0000-0000-00001B000000}"/>
    <cellStyle name="Hyperlink 2" xfId="29" xr:uid="{00000000-0005-0000-0000-00001C000000}"/>
    <cellStyle name="Hyperlink 2 2" xfId="30" xr:uid="{00000000-0005-0000-0000-00001D000000}"/>
    <cellStyle name="Hyperlink 2 2 2" xfId="31" xr:uid="{00000000-0005-0000-0000-00001E000000}"/>
    <cellStyle name="Hyperlink 2 3" xfId="32" xr:uid="{00000000-0005-0000-0000-00001F000000}"/>
    <cellStyle name="Hyperlink 2 4" xfId="33" xr:uid="{00000000-0005-0000-0000-000020000000}"/>
    <cellStyle name="Hyperlink 3" xfId="34" xr:uid="{00000000-0005-0000-0000-000021000000}"/>
    <cellStyle name="Hyperlink 3 2" xfId="35" xr:uid="{00000000-0005-0000-0000-000022000000}"/>
    <cellStyle name="Hyperlink 3 3" xfId="36" xr:uid="{00000000-0005-0000-0000-000023000000}"/>
    <cellStyle name="Hyperlink 4" xfId="37" xr:uid="{00000000-0005-0000-0000-000024000000}"/>
    <cellStyle name="Hyperlink 4 2" xfId="38" xr:uid="{00000000-0005-0000-0000-000025000000}"/>
    <cellStyle name="Hyperlink 5" xfId="39" xr:uid="{00000000-0005-0000-0000-000026000000}"/>
    <cellStyle name="Hyperlink 6" xfId="40" xr:uid="{00000000-0005-0000-0000-000027000000}"/>
    <cellStyle name="Hyperlink 6 2" xfId="41" xr:uid="{00000000-0005-0000-0000-000028000000}"/>
    <cellStyle name="Hyperlink 7" xfId="42" xr:uid="{00000000-0005-0000-0000-000029000000}"/>
    <cellStyle name="Hyperlink 8" xfId="43" xr:uid="{00000000-0005-0000-0000-00002A000000}"/>
    <cellStyle name="Hyperlink 9" xfId="44" xr:uid="{00000000-0005-0000-0000-00002B000000}"/>
    <cellStyle name="Hyperlink_Info-Seite 2" xfId="45" xr:uid="{00000000-0005-0000-0000-00002C000000}"/>
    <cellStyle name="Hyperlũnk" xfId="46" xr:uid="{00000000-0005-0000-0000-00002D000000}"/>
    <cellStyle name="Link" xfId="47" builtinId="8"/>
    <cellStyle name="Link 2" xfId="149" xr:uid="{00000000-0005-0000-0000-00002F000000}"/>
    <cellStyle name="Link 3" xfId="151" xr:uid="{00000000-0005-0000-0000-000030000000}"/>
    <cellStyle name="Link 4" xfId="176" xr:uid="{F81FACE3-8E70-4CDA-94CD-8BBC5234C59A}"/>
    <cellStyle name="nf2" xfId="48" xr:uid="{00000000-0005-0000-0000-000031000000}"/>
    <cellStyle name="Normal_040831_KapaBedarf-AA_Hochfahrlogik_A2LL_KT" xfId="49" xr:uid="{00000000-0005-0000-0000-000032000000}"/>
    <cellStyle name="Prozent 2" xfId="50" xr:uid="{00000000-0005-0000-0000-000033000000}"/>
    <cellStyle name="Prozent 2 2" xfId="51" xr:uid="{00000000-0005-0000-0000-000034000000}"/>
    <cellStyle name="Prozent 3" xfId="52" xr:uid="{00000000-0005-0000-0000-000035000000}"/>
    <cellStyle name="Prozent 4" xfId="53" xr:uid="{00000000-0005-0000-0000-000036000000}"/>
    <cellStyle name="Standard" xfId="0" builtinId="0"/>
    <cellStyle name="Standard 10" xfId="54" xr:uid="{00000000-0005-0000-0000-000038000000}"/>
    <cellStyle name="Standard 10 2" xfId="55" xr:uid="{00000000-0005-0000-0000-000039000000}"/>
    <cellStyle name="Standard 11" xfId="56" xr:uid="{00000000-0005-0000-0000-00003A000000}"/>
    <cellStyle name="Standard 11 2" xfId="57" xr:uid="{00000000-0005-0000-0000-00003B000000}"/>
    <cellStyle name="Standard 12" xfId="58" xr:uid="{00000000-0005-0000-0000-00003C000000}"/>
    <cellStyle name="Standard 13" xfId="59" xr:uid="{00000000-0005-0000-0000-00003D000000}"/>
    <cellStyle name="Standard 13 2" xfId="60" xr:uid="{00000000-0005-0000-0000-00003E000000}"/>
    <cellStyle name="Standard 13 3" xfId="161" xr:uid="{00000000-0005-0000-0000-00003F000000}"/>
    <cellStyle name="Standard 14" xfId="61" xr:uid="{00000000-0005-0000-0000-000040000000}"/>
    <cellStyle name="Standard 14 2" xfId="62" xr:uid="{00000000-0005-0000-0000-000041000000}"/>
    <cellStyle name="Standard 15" xfId="63" xr:uid="{00000000-0005-0000-0000-000042000000}"/>
    <cellStyle name="Standard 15 2" xfId="64" xr:uid="{00000000-0005-0000-0000-000043000000}"/>
    <cellStyle name="Standard 16" xfId="65" xr:uid="{00000000-0005-0000-0000-000044000000}"/>
    <cellStyle name="Standard 17" xfId="66" xr:uid="{00000000-0005-0000-0000-000045000000}"/>
    <cellStyle name="Standard 18" xfId="67" xr:uid="{00000000-0005-0000-0000-000046000000}"/>
    <cellStyle name="Standard 19" xfId="68" xr:uid="{00000000-0005-0000-0000-000047000000}"/>
    <cellStyle name="Standard 2" xfId="69" xr:uid="{00000000-0005-0000-0000-000048000000}"/>
    <cellStyle name="Standard 2 10" xfId="163" xr:uid="{00000000-0005-0000-0000-000049000000}"/>
    <cellStyle name="Standard 2 11" xfId="165" xr:uid="{00000000-0005-0000-0000-00004A000000}"/>
    <cellStyle name="Standard 2 12" xfId="166" xr:uid="{00000000-0005-0000-0000-00004B000000}"/>
    <cellStyle name="Standard 2 13" xfId="167" xr:uid="{00000000-0005-0000-0000-00004C000000}"/>
    <cellStyle name="Standard 2 14" xfId="168" xr:uid="{00000000-0005-0000-0000-00004D000000}"/>
    <cellStyle name="Standard 2 2" xfId="70" xr:uid="{00000000-0005-0000-0000-00004E000000}"/>
    <cellStyle name="Standard 2 2 2" xfId="71" xr:uid="{00000000-0005-0000-0000-00004F000000}"/>
    <cellStyle name="Standard 2 2 2 2" xfId="155" xr:uid="{00000000-0005-0000-0000-000050000000}"/>
    <cellStyle name="Standard 2 2 3" xfId="72" xr:uid="{00000000-0005-0000-0000-000051000000}"/>
    <cellStyle name="Standard 2 2 4" xfId="73" xr:uid="{00000000-0005-0000-0000-000052000000}"/>
    <cellStyle name="Standard 2 3" xfId="74" xr:uid="{00000000-0005-0000-0000-000053000000}"/>
    <cellStyle name="Standard 2 3 2" xfId="154" xr:uid="{00000000-0005-0000-0000-000054000000}"/>
    <cellStyle name="Standard 2 3 3" xfId="169" xr:uid="{C82AB679-FFC1-455A-A97E-A415562EF9BA}"/>
    <cellStyle name="Standard 2 3 4" xfId="170" xr:uid="{BD8968AE-AFB4-4861-8151-142B043C0402}"/>
    <cellStyle name="Standard 2 4" xfId="75" xr:uid="{00000000-0005-0000-0000-000055000000}"/>
    <cellStyle name="Standard 2 4 2" xfId="76" xr:uid="{00000000-0005-0000-0000-000056000000}"/>
    <cellStyle name="Standard 2 4 3" xfId="171" xr:uid="{080CABB2-42D0-4429-8620-DEBE9DD7633B}"/>
    <cellStyle name="Standard 2 4 4" xfId="177" xr:uid="{FCEFF041-04A6-45BE-8D14-804BC714BCB9}"/>
    <cellStyle name="Standard 2 4 5" xfId="182" xr:uid="{D22A4962-E0FB-4119-9193-00BAF61121C6}"/>
    <cellStyle name="Standard 2 5" xfId="77" xr:uid="{00000000-0005-0000-0000-000057000000}"/>
    <cellStyle name="Standard 2 6" xfId="145" xr:uid="{00000000-0005-0000-0000-000058000000}"/>
    <cellStyle name="Standard 2 7" xfId="148" xr:uid="{00000000-0005-0000-0000-000059000000}"/>
    <cellStyle name="Standard 2 8" xfId="150" xr:uid="{00000000-0005-0000-0000-00005A000000}"/>
    <cellStyle name="Standard 2 9" xfId="157" xr:uid="{00000000-0005-0000-0000-00005B000000}"/>
    <cellStyle name="Standard 20" xfId="146" xr:uid="{00000000-0005-0000-0000-00005C000000}"/>
    <cellStyle name="Standard 21" xfId="147" xr:uid="{00000000-0005-0000-0000-00005D000000}"/>
    <cellStyle name="Standard 22" xfId="152" xr:uid="{00000000-0005-0000-0000-00005E000000}"/>
    <cellStyle name="Standard 22 2" xfId="172" xr:uid="{F131A10F-428A-4A5A-BC49-07D49FA0D8B1}"/>
    <cellStyle name="Standard 22 2 2" xfId="174" xr:uid="{C1A413D8-BC3C-4D7D-BFF5-75BAAFC6ADB9}"/>
    <cellStyle name="Standard 22 2 2 2" xfId="180" xr:uid="{F8EDEFF2-6CF4-4826-A365-F68947F1A633}"/>
    <cellStyle name="Standard 23" xfId="156" xr:uid="{00000000-0005-0000-0000-00005F000000}"/>
    <cellStyle name="Standard 24" xfId="162" xr:uid="{00000000-0005-0000-0000-000060000000}"/>
    <cellStyle name="Standard 25" xfId="164" xr:uid="{00000000-0005-0000-0000-000061000000}"/>
    <cellStyle name="Standard 26" xfId="179" xr:uid="{542C77D3-E249-4B9F-B4B9-8A018414D89E}"/>
    <cellStyle name="Standard 3" xfId="78" xr:uid="{00000000-0005-0000-0000-000062000000}"/>
    <cellStyle name="Standard 3 2" xfId="79" xr:uid="{00000000-0005-0000-0000-000063000000}"/>
    <cellStyle name="Standard 3 2 2" xfId="158" xr:uid="{00000000-0005-0000-0000-000064000000}"/>
    <cellStyle name="Standard 3 2 2 2" xfId="173" xr:uid="{0F5BAE58-EFD0-4ABE-B66E-3BF3F6F9432C}"/>
    <cellStyle name="Standard 3 2 2 2 2" xfId="175" xr:uid="{F0ED5ED8-EA6A-4AC8-A34F-C57560C3B8EB}"/>
    <cellStyle name="Standard 3 2 2 2 3" xfId="178" xr:uid="{1BB89E6B-2280-4683-BC29-6098DD542DF9}"/>
    <cellStyle name="Standard 3 2 2 2 3 2" xfId="181" xr:uid="{A4A8C80E-C2FE-4278-8FCC-15C89E030F80}"/>
    <cellStyle name="Standard 3 2 3" xfId="159" xr:uid="{00000000-0005-0000-0000-000065000000}"/>
    <cellStyle name="Standard 3 3" xfId="80" xr:uid="{00000000-0005-0000-0000-000066000000}"/>
    <cellStyle name="Standard 3 4" xfId="160" xr:uid="{00000000-0005-0000-0000-000067000000}"/>
    <cellStyle name="Standard 4" xfId="81" xr:uid="{00000000-0005-0000-0000-000068000000}"/>
    <cellStyle name="Standard 4 2" xfId="82" xr:uid="{00000000-0005-0000-0000-000069000000}"/>
    <cellStyle name="Standard 4 2 2" xfId="83" xr:uid="{00000000-0005-0000-0000-00006A000000}"/>
    <cellStyle name="Standard 4 2 3" xfId="84" xr:uid="{00000000-0005-0000-0000-00006B000000}"/>
    <cellStyle name="Standard 4 3" xfId="85" xr:uid="{00000000-0005-0000-0000-00006C000000}"/>
    <cellStyle name="Standard 5" xfId="86" xr:uid="{00000000-0005-0000-0000-00006D000000}"/>
    <cellStyle name="Standard 5 2" xfId="87" xr:uid="{00000000-0005-0000-0000-00006E000000}"/>
    <cellStyle name="Standard 5 2 2" xfId="88" xr:uid="{00000000-0005-0000-0000-00006F000000}"/>
    <cellStyle name="Standard 5 3" xfId="89" xr:uid="{00000000-0005-0000-0000-000070000000}"/>
    <cellStyle name="Standard 5 3 2" xfId="90" xr:uid="{00000000-0005-0000-0000-000071000000}"/>
    <cellStyle name="Standard 5 4" xfId="91" xr:uid="{00000000-0005-0000-0000-000072000000}"/>
    <cellStyle name="Standard 5 5" xfId="92" xr:uid="{00000000-0005-0000-0000-000073000000}"/>
    <cellStyle name="Standard 6" xfId="93" xr:uid="{00000000-0005-0000-0000-000074000000}"/>
    <cellStyle name="Standard 6 2" xfId="94" xr:uid="{00000000-0005-0000-0000-000075000000}"/>
    <cellStyle name="Standard 7" xfId="95" xr:uid="{00000000-0005-0000-0000-000076000000}"/>
    <cellStyle name="Standard 7 2" xfId="96" xr:uid="{00000000-0005-0000-0000-000077000000}"/>
    <cellStyle name="Standard 7 3" xfId="97" xr:uid="{00000000-0005-0000-0000-000078000000}"/>
    <cellStyle name="Standard 8" xfId="98" xr:uid="{00000000-0005-0000-0000-000079000000}"/>
    <cellStyle name="Standard 8 2" xfId="99" xr:uid="{00000000-0005-0000-0000-00007A000000}"/>
    <cellStyle name="Standard 8 2 2" xfId="100" xr:uid="{00000000-0005-0000-0000-00007B000000}"/>
    <cellStyle name="Standard 8 2 2 10" xfId="101" xr:uid="{00000000-0005-0000-0000-00007C000000}"/>
    <cellStyle name="Standard 8 2 2 11" xfId="102" xr:uid="{00000000-0005-0000-0000-00007D000000}"/>
    <cellStyle name="Standard 8 2 2 11 2" xfId="103" xr:uid="{00000000-0005-0000-0000-00007E000000}"/>
    <cellStyle name="Standard 8 2 2 12" xfId="104" xr:uid="{00000000-0005-0000-0000-00007F000000}"/>
    <cellStyle name="Standard 8 2 2 13" xfId="105" xr:uid="{00000000-0005-0000-0000-000080000000}"/>
    <cellStyle name="Standard 8 2 2 14" xfId="106" xr:uid="{00000000-0005-0000-0000-000081000000}"/>
    <cellStyle name="Standard 8 2 2 15" xfId="107" xr:uid="{00000000-0005-0000-0000-000082000000}"/>
    <cellStyle name="Standard 8 2 2 16" xfId="108" xr:uid="{00000000-0005-0000-0000-000083000000}"/>
    <cellStyle name="Standard 8 2 2 17" xfId="109" xr:uid="{00000000-0005-0000-0000-000084000000}"/>
    <cellStyle name="Standard 8 2 2 18" xfId="110" xr:uid="{00000000-0005-0000-0000-000085000000}"/>
    <cellStyle name="Standard 8 2 2 19" xfId="111" xr:uid="{00000000-0005-0000-0000-000086000000}"/>
    <cellStyle name="Standard 8 2 2 2" xfId="112" xr:uid="{00000000-0005-0000-0000-000087000000}"/>
    <cellStyle name="Standard 8 2 2 20" xfId="113" xr:uid="{00000000-0005-0000-0000-000088000000}"/>
    <cellStyle name="Standard 8 2 2 21" xfId="114" xr:uid="{00000000-0005-0000-0000-000089000000}"/>
    <cellStyle name="Standard 8 2 2 22" xfId="115" xr:uid="{00000000-0005-0000-0000-00008A000000}"/>
    <cellStyle name="Standard 8 2 2 23" xfId="116" xr:uid="{00000000-0005-0000-0000-00008B000000}"/>
    <cellStyle name="Standard 8 2 2 3" xfId="117" xr:uid="{00000000-0005-0000-0000-00008C000000}"/>
    <cellStyle name="Standard 8 2 2 4" xfId="118" xr:uid="{00000000-0005-0000-0000-00008D000000}"/>
    <cellStyle name="Standard 8 2 2 5" xfId="119" xr:uid="{00000000-0005-0000-0000-00008E000000}"/>
    <cellStyle name="Standard 8 2 2 5 2" xfId="120" xr:uid="{00000000-0005-0000-0000-00008F000000}"/>
    <cellStyle name="Standard 8 2 2 5 3" xfId="121" xr:uid="{00000000-0005-0000-0000-000090000000}"/>
    <cellStyle name="Standard 8 2 2 5 4" xfId="122" xr:uid="{00000000-0005-0000-0000-000091000000}"/>
    <cellStyle name="Standard 8 2 2 6" xfId="123" xr:uid="{00000000-0005-0000-0000-000092000000}"/>
    <cellStyle name="Standard 8 2 2 7" xfId="124" xr:uid="{00000000-0005-0000-0000-000093000000}"/>
    <cellStyle name="Standard 8 2 2 8" xfId="125" xr:uid="{00000000-0005-0000-0000-000094000000}"/>
    <cellStyle name="Standard 8 2 2 9" xfId="126" xr:uid="{00000000-0005-0000-0000-000095000000}"/>
    <cellStyle name="Standard 8 3" xfId="127" xr:uid="{00000000-0005-0000-0000-000096000000}"/>
    <cellStyle name="Standard 9" xfId="128" xr:uid="{00000000-0005-0000-0000-000097000000}"/>
    <cellStyle name="Standard 9 2" xfId="129" xr:uid="{00000000-0005-0000-0000-000098000000}"/>
    <cellStyle name="Standard 9 2 2" xfId="130" xr:uid="{00000000-0005-0000-0000-000099000000}"/>
    <cellStyle name="Standard 9 3" xfId="131" xr:uid="{00000000-0005-0000-0000-00009A000000}"/>
    <cellStyle name="Standard 9 3 2" xfId="132" xr:uid="{00000000-0005-0000-0000-00009B000000}"/>
    <cellStyle name="Standard 9 3 2 2" xfId="133" xr:uid="{00000000-0005-0000-0000-00009C000000}"/>
    <cellStyle name="Standard 9 3 3" xfId="134" xr:uid="{00000000-0005-0000-0000-00009D000000}"/>
    <cellStyle name="Standard 9 4" xfId="135" xr:uid="{00000000-0005-0000-0000-00009E000000}"/>
    <cellStyle name="Standard 9 5" xfId="136" xr:uid="{00000000-0005-0000-0000-00009F000000}"/>
    <cellStyle name="Standard 9 6" xfId="137" xr:uid="{00000000-0005-0000-0000-0000A0000000}"/>
    <cellStyle name="Standard 9 6 2" xfId="138" xr:uid="{00000000-0005-0000-0000-0000A1000000}"/>
    <cellStyle name="Standard 9 7" xfId="139" xr:uid="{00000000-0005-0000-0000-0000A2000000}"/>
    <cellStyle name="Standard 9 8" xfId="140" xr:uid="{00000000-0005-0000-0000-0000A3000000}"/>
    <cellStyle name="Standard 9 9" xfId="141" xr:uid="{00000000-0005-0000-0000-0000A4000000}"/>
    <cellStyle name="Standard_Allgemeines_Glossar" xfId="153" xr:uid="{00000000-0005-0000-0000-0000A5000000}"/>
    <cellStyle name="Standard_qheftd" xfId="142" xr:uid="{00000000-0005-0000-0000-0000A6000000}"/>
    <cellStyle name="Standard_Vorlage Infoseite" xfId="143" xr:uid="{00000000-0005-0000-0000-0000A8000000}"/>
    <cellStyle name="Tsd" xfId="144" xr:uid="{00000000-0005-0000-0000-0000A9000000}"/>
  </cellStyles>
  <dxfs count="0"/>
  <tableStyles count="0" defaultTableStyle="TableStyleMedium9" defaultPivotStyle="PivotStyleLight16"/>
  <colors>
    <mruColors>
      <color rgb="FF0000FF"/>
      <color rgb="FF000000"/>
      <color rgb="FF40404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73366113730806"/>
          <c:y val="8.9460784313725478E-2"/>
          <c:w val="0.68762706031609078"/>
          <c:h val="0.81566102579718969"/>
        </c:manualLayout>
      </c:layout>
      <c:barChart>
        <c:barDir val="bar"/>
        <c:grouping val="clustered"/>
        <c:varyColors val="0"/>
        <c:ser>
          <c:idx val="0"/>
          <c:order val="0"/>
          <c:spPr>
            <a:solidFill>
              <a:srgbClr val="30384D"/>
            </a:solidFill>
            <a:ln>
              <a:noFill/>
            </a:ln>
            <a:effectLst/>
            <a:extLst>
              <a:ext uri="{91240B29-F687-4F45-9708-019B960494DF}">
                <a14:hiddenLine xmlns:a14="http://schemas.microsoft.com/office/drawing/2010/main">
                  <a:noFill/>
                </a14:hiddenLine>
              </a:ext>
            </a:extLst>
          </c:spPr>
          <c:invertIfNegative val="0"/>
          <c:dLbls>
            <c:dLbl>
              <c:idx val="0"/>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09-4BAC-AD8B-411AA85C74FE}"/>
                </c:ext>
              </c:extLst>
            </c:dLbl>
            <c:dLbl>
              <c:idx val="1"/>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09-4BAC-AD8B-411AA85C74FE}"/>
                </c:ext>
              </c:extLst>
            </c:dLbl>
            <c:dLbl>
              <c:idx val="2"/>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09-4BAC-AD8B-411AA85C74FE}"/>
                </c:ext>
              </c:extLst>
            </c:dLbl>
            <c:dLbl>
              <c:idx val="3"/>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09-4BAC-AD8B-411AA85C74FE}"/>
                </c:ext>
              </c:extLst>
            </c:dLbl>
            <c:dLbl>
              <c:idx val="4"/>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E09-4BAC-AD8B-411AA85C74FE}"/>
                </c:ext>
              </c:extLst>
            </c:dLbl>
            <c:dLbl>
              <c:idx val="5"/>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09-4BAC-AD8B-411AA85C74F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'1'!$B$16:$B$21</c:f>
              <c:strCache>
                <c:ptCount val="6"/>
                <c:pt idx="0">
                  <c:v>Bürgergeld</c:v>
                </c:pt>
                <c:pt idx="1">
                  <c:v>Kosten der Unterkunft</c:v>
                </c:pt>
                <c:pt idx="2">
                  <c:v>Ausgaben für Leistungen zur Sozialversicherung</c:v>
                </c:pt>
                <c:pt idx="3">
                  <c:v>Eingliederungsleistungen ¹</c:v>
                </c:pt>
                <c:pt idx="4">
                  <c:v>Verwaltungskosten ² ³</c:v>
                </c:pt>
                <c:pt idx="5">
                  <c:v>Abweichend zu erbringende Leistungen</c:v>
                </c:pt>
              </c:strCache>
            </c:strRef>
          </c:cat>
          <c:val>
            <c:numRef>
              <c:f>'1'!$E$16:$E$21</c:f>
              <c:numCache>
                <c:formatCode>* 0.0;* \-_ 0.0;\-</c:formatCode>
                <c:ptCount val="6"/>
                <c:pt idx="0">
                  <c:v>38.636090051629189</c:v>
                </c:pt>
                <c:pt idx="1">
                  <c:v>30.608445586661652</c:v>
                </c:pt>
                <c:pt idx="2">
                  <c:v>12.550810438731256</c:v>
                </c:pt>
                <c:pt idx="3">
                  <c:v>6.4522164199004566</c:v>
                </c:pt>
                <c:pt idx="4">
                  <c:v>11.294987801143884</c:v>
                </c:pt>
                <c:pt idx="5">
                  <c:v>0.45744970193357104</c:v>
                </c:pt>
              </c:numCache>
            </c:numRef>
          </c:val>
          <c:extLst>
            <c:ext xmlns:c16="http://schemas.microsoft.com/office/drawing/2014/chart" uri="{C3380CC4-5D6E-409C-BE32-E72D297353CC}">
              <c16:uniqueId val="{00000006-2E09-4BAC-AD8B-411AA85C74FE}"/>
            </c:ext>
          </c:extLst>
        </c:ser>
        <c:dLbls>
          <c:showLegendKey val="0"/>
          <c:showVal val="0"/>
          <c:showCatName val="0"/>
          <c:showSerName val="0"/>
          <c:showPercent val="0"/>
          <c:showBubbleSize val="0"/>
        </c:dLbls>
        <c:gapWidth val="100"/>
        <c:axId val="833073992"/>
        <c:axId val="833075168"/>
      </c:barChart>
      <c:catAx>
        <c:axId val="833073992"/>
        <c:scaling>
          <c:orientation val="maxMin"/>
        </c:scaling>
        <c:delete val="0"/>
        <c:axPos val="l"/>
        <c:numFmt formatCode="General" sourceLinked="1"/>
        <c:majorTickMark val="none"/>
        <c:minorTickMark val="none"/>
        <c:tickLblPos val="low"/>
        <c:txPr>
          <a:bodyPr rot="0" vert="horz"/>
          <a:lstStyle/>
          <a:p>
            <a:pPr>
              <a:defRPr sz="800" b="0" i="0" u="none" strike="noStrike" baseline="0">
                <a:solidFill>
                  <a:srgbClr val="000000"/>
                </a:solidFill>
                <a:latin typeface="Arial"/>
                <a:ea typeface="Arial"/>
                <a:cs typeface="Arial"/>
              </a:defRPr>
            </a:pPr>
            <a:endParaRPr lang="de-DE"/>
          </a:p>
        </c:txPr>
        <c:crossAx val="833075168"/>
        <c:crosses val="autoZero"/>
        <c:auto val="1"/>
        <c:lblAlgn val="ctr"/>
        <c:lblOffset val="100"/>
        <c:noMultiLvlLbl val="0"/>
      </c:catAx>
      <c:valAx>
        <c:axId val="833075168"/>
        <c:scaling>
          <c:orientation val="minMax"/>
        </c:scaling>
        <c:delete val="0"/>
        <c:axPos val="t"/>
        <c:numFmt formatCode="* 0.0;* \-_ 0.0;\-" sourceLinked="1"/>
        <c:majorTickMark val="out"/>
        <c:minorTickMark val="none"/>
        <c:tickLblPos val="none"/>
        <c:spPr>
          <a:ln>
            <a:solidFill>
              <a:schemeClr val="bg1"/>
            </a:solidFill>
          </a:ln>
        </c:spPr>
        <c:crossAx val="833073992"/>
        <c:crosses val="autoZero"/>
        <c:crossBetween val="between"/>
      </c:valAx>
      <c:spPr>
        <a:noFill/>
        <a:ln w="25400">
          <a:noFill/>
        </a:ln>
      </c:spPr>
    </c:plotArea>
    <c:plotVisOnly val="1"/>
    <c:dispBlanksAs val="zero"/>
    <c:showDLblsOverMax val="0"/>
  </c:chart>
  <c:spPr>
    <a:ln>
      <a:noFill/>
    </a:ln>
  </c:spPr>
  <c:txPr>
    <a:bodyPr/>
    <a:lstStyle/>
    <a:p>
      <a:pPr>
        <a:defRPr sz="1000" b="0" i="0" u="none" strike="noStrike" baseline="0">
          <a:solidFill>
            <a:srgbClr val="000000"/>
          </a:solidFill>
          <a:latin typeface="Calibri"/>
          <a:ea typeface="Calibri"/>
          <a:cs typeface="Calibri"/>
        </a:defRPr>
      </a:pPr>
      <a:endParaRPr lang="de-DE"/>
    </a:p>
  </c:txPr>
  <c:printSettings>
    <c:headerFooter/>
    <c:pageMargins b="0.78740157499999996" l="0.70000000000000007" r="0.70000000000000007" t="0.78740157499999996" header="0.30000000000000004" footer="0.30000000000000004"/>
    <c:pageSetup paperSize="9" orientation="landscape" verticalDpi="0"/>
  </c:printSettings>
</c:chartSpace>
</file>

<file path=xl/ctrlProps/ctrlProp1.xml><?xml version="1.0" encoding="utf-8"?>
<formControlPr xmlns="http://schemas.microsoft.com/office/spreadsheetml/2009/9/main" objectType="Drop" dropLines="20" dropStyle="combo" dx="22" fmlaLink="Steuerung_Eckwerte!$C$4" fmlaRange="Steuerung_Eckwerte!$B$6:$B$428" noThreeD="1" sel="1" val="0"/>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_rels/drawing8.xml.rels><?xml version="1.0" encoding="UTF-8" standalone="yes"?>
<Relationships xmlns="http://schemas.openxmlformats.org/package/2006/relationships"><Relationship Id="rId1" Type="http://schemas.openxmlformats.org/officeDocument/2006/relationships/image" Target="../media/image3.emf"/></Relationships>
</file>

<file path=xl/drawings/_rels/drawing9.xml.rels><?xml version="1.0" encoding="UTF-8" standalone="yes"?>
<Relationships xmlns="http://schemas.openxmlformats.org/package/2006/relationships"><Relationship Id="rId1" Type="http://schemas.openxmlformats.org/officeDocument/2006/relationships/image" Target="../media/image3.emf"/></Relationships>
</file>

<file path=xl/drawings/_rels/drawing10.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3190394</xdr:colOff>
      <xdr:row>13</xdr:row>
      <xdr:rowOff>100569</xdr:rowOff>
    </xdr:to>
    <xdr:pic>
      <xdr:nvPicPr>
        <xdr:cNvPr id="3" name="Grafik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a:stretch>
          <a:fillRect/>
        </a:stretch>
      </xdr:blipFill>
      <xdr:spPr>
        <a:xfrm>
          <a:off x="0" y="0"/>
          <a:ext cx="6505094" cy="2329419"/>
        </a:xfrm>
        <a:prstGeom prst="rect">
          <a:avLst/>
        </a:prstGeom>
      </xdr:spPr>
    </xdr:pic>
    <xdr:clientData/>
  </xdr:twoCellAnchor>
  <xdr:twoCellAnchor>
    <xdr:from>
      <xdr:col>0</xdr:col>
      <xdr:colOff>508000</xdr:colOff>
      <xdr:row>2</xdr:row>
      <xdr:rowOff>85209</xdr:rowOff>
    </xdr:from>
    <xdr:to>
      <xdr:col>1</xdr:col>
      <xdr:colOff>2970257</xdr:colOff>
      <xdr:row>6</xdr:row>
      <xdr:rowOff>85209</xdr:rowOff>
    </xdr:to>
    <xdr:sp macro="" textlink="">
      <xdr:nvSpPr>
        <xdr:cNvPr id="4" name="Kopfbereich">
          <a:extLst>
            <a:ext uri="{FF2B5EF4-FFF2-40B4-BE49-F238E27FC236}">
              <a16:creationId xmlns:a16="http://schemas.microsoft.com/office/drawing/2014/main" id="{00000000-0008-0000-0000-000004000000}"/>
            </a:ext>
          </a:extLst>
        </xdr:cNvPr>
        <xdr:cNvSpPr txBox="1"/>
      </xdr:nvSpPr>
      <xdr:spPr>
        <a:xfrm>
          <a:off x="508000" y="428109"/>
          <a:ext cx="5776957"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508000</xdr:colOff>
      <xdr:row>5</xdr:row>
      <xdr:rowOff>24152</xdr:rowOff>
    </xdr:from>
    <xdr:to>
      <xdr:col>1</xdr:col>
      <xdr:colOff>2970257</xdr:colOff>
      <xdr:row>11</xdr:row>
      <xdr:rowOff>11452</xdr:rowOff>
    </xdr:to>
    <xdr:sp macro="" textlink="">
      <xdr:nvSpPr>
        <xdr:cNvPr id="5" name="Titel">
          <a:extLst>
            <a:ext uri="{FF2B5EF4-FFF2-40B4-BE49-F238E27FC236}">
              <a16:creationId xmlns:a16="http://schemas.microsoft.com/office/drawing/2014/main" id="{00000000-0008-0000-0000-000005000000}"/>
            </a:ext>
          </a:extLst>
        </xdr:cNvPr>
        <xdr:cNvSpPr txBox="1"/>
      </xdr:nvSpPr>
      <xdr:spPr>
        <a:xfrm>
          <a:off x="508000" y="881402"/>
          <a:ext cx="5776957" cy="1016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Ausgaben für aktive und passive Leistungen im SGB II (Jahreszahlen)</a:t>
          </a:r>
        </a:p>
      </xdr:txBody>
    </xdr:sp>
    <xdr:clientData/>
  </xdr:twoCellAnchor>
  <xdr:twoCellAnchor>
    <xdr:from>
      <xdr:col>0</xdr:col>
      <xdr:colOff>508000</xdr:colOff>
      <xdr:row>9</xdr:row>
      <xdr:rowOff>144205</xdr:rowOff>
    </xdr:from>
    <xdr:to>
      <xdr:col>1</xdr:col>
      <xdr:colOff>2970257</xdr:colOff>
      <xdr:row>13</xdr:row>
      <xdr:rowOff>144205</xdr:rowOff>
    </xdr:to>
    <xdr:sp macro="" textlink="">
      <xdr:nvSpPr>
        <xdr:cNvPr id="6" name="Region">
          <a:extLst>
            <a:ext uri="{FF2B5EF4-FFF2-40B4-BE49-F238E27FC236}">
              <a16:creationId xmlns:a16="http://schemas.microsoft.com/office/drawing/2014/main" id="{00000000-0008-0000-0000-000006000000}"/>
            </a:ext>
          </a:extLst>
        </xdr:cNvPr>
        <xdr:cNvSpPr txBox="1"/>
      </xdr:nvSpPr>
      <xdr:spPr>
        <a:xfrm>
          <a:off x="508000" y="1687255"/>
          <a:ext cx="5776957"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Deutschland, West/Ost, Länder und Jobcenter</a:t>
          </a:r>
        </a:p>
      </xdr:txBody>
    </xdr:sp>
    <xdr:clientData/>
  </xdr:twoCellAnchor>
  <xdr:twoCellAnchor>
    <xdr:from>
      <xdr:col>0</xdr:col>
      <xdr:colOff>508000</xdr:colOff>
      <xdr:row>11</xdr:row>
      <xdr:rowOff>40542</xdr:rowOff>
    </xdr:from>
    <xdr:to>
      <xdr:col>1</xdr:col>
      <xdr:colOff>2970257</xdr:colOff>
      <xdr:row>15</xdr:row>
      <xdr:rowOff>40542</xdr:rowOff>
    </xdr:to>
    <xdr:sp macro="" textlink="">
      <xdr:nvSpPr>
        <xdr:cNvPr id="7" name="Berichtsmonat">
          <a:extLst>
            <a:ext uri="{FF2B5EF4-FFF2-40B4-BE49-F238E27FC236}">
              <a16:creationId xmlns:a16="http://schemas.microsoft.com/office/drawing/2014/main" id="{00000000-0008-0000-0000-000007000000}"/>
            </a:ext>
          </a:extLst>
        </xdr:cNvPr>
        <xdr:cNvSpPr txBox="1"/>
      </xdr:nvSpPr>
      <xdr:spPr>
        <a:xfrm>
          <a:off x="508000" y="1926492"/>
          <a:ext cx="5776957"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2024</a:t>
          </a:r>
        </a:p>
      </xdr:txBody>
    </xdr:sp>
    <xdr:clientData/>
  </xdr:twoCellAnchor>
  <xdr:twoCellAnchor editAs="oneCell">
    <xdr:from>
      <xdr:col>0</xdr:col>
      <xdr:colOff>69850</xdr:colOff>
      <xdr:row>13</xdr:row>
      <xdr:rowOff>125752</xdr:rowOff>
    </xdr:from>
    <xdr:to>
      <xdr:col>1</xdr:col>
      <xdr:colOff>3194050</xdr:colOff>
      <xdr:row>52</xdr:row>
      <xdr:rowOff>805202</xdr:rowOff>
    </xdr:to>
    <xdr:pic>
      <xdr:nvPicPr>
        <xdr:cNvPr id="9" name="Grafik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2"/>
        <a:stretch>
          <a:fillRect/>
        </a:stretch>
      </xdr:blipFill>
      <xdr:spPr>
        <a:xfrm>
          <a:off x="69850" y="2354602"/>
          <a:ext cx="6438900" cy="7366000"/>
        </a:xfrm>
        <a:prstGeom prst="rect">
          <a:avLst/>
        </a:prstGeom>
      </xdr:spPr>
    </xdr:pic>
    <xdr:clientData/>
  </xdr:twoCellAnchor>
  <xdr:twoCellAnchor editAs="absolute">
    <xdr:from>
      <xdr:col>0</xdr:col>
      <xdr:colOff>69088</xdr:colOff>
      <xdr:row>52</xdr:row>
      <xdr:rowOff>905933</xdr:rowOff>
    </xdr:from>
    <xdr:to>
      <xdr:col>0</xdr:col>
      <xdr:colOff>2109218</xdr:colOff>
      <xdr:row>52</xdr:row>
      <xdr:rowOff>1348518</xdr:rowOff>
    </xdr:to>
    <xdr:pic>
      <xdr:nvPicPr>
        <xdr:cNvPr id="10" name="BA-Logo">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69088" y="9821333"/>
          <a:ext cx="2040130" cy="442585"/>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2</xdr:col>
      <xdr:colOff>590550</xdr:colOff>
      <xdr:row>0</xdr:row>
      <xdr:rowOff>409575</xdr:rowOff>
    </xdr:to>
    <xdr:pic>
      <xdr:nvPicPr>
        <xdr:cNvPr id="6" name="BA-Logo">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38100"/>
          <a:ext cx="18192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762000</xdr:colOff>
          <xdr:row>4</xdr:row>
          <xdr:rowOff>57150</xdr:rowOff>
        </xdr:from>
        <xdr:to>
          <xdr:col>8</xdr:col>
          <xdr:colOff>771525</xdr:colOff>
          <xdr:row>5</xdr:row>
          <xdr:rowOff>85725</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161925</xdr:colOff>
      <xdr:row>36</xdr:row>
      <xdr:rowOff>47625</xdr:rowOff>
    </xdr:from>
    <xdr:to>
      <xdr:col>8</xdr:col>
      <xdr:colOff>609600</xdr:colOff>
      <xdr:row>52</xdr:row>
      <xdr:rowOff>47625</xdr:rowOff>
    </xdr:to>
    <xdr:graphicFrame macro="">
      <xdr:nvGraphicFramePr>
        <xdr:cNvPr id="6" name="Diagramm 4">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xdr:colOff>
      <xdr:row>0</xdr:row>
      <xdr:rowOff>38100</xdr:rowOff>
    </xdr:from>
    <xdr:to>
      <xdr:col>1</xdr:col>
      <xdr:colOff>1609725</xdr:colOff>
      <xdr:row>0</xdr:row>
      <xdr:rowOff>409575</xdr:rowOff>
    </xdr:to>
    <xdr:pic>
      <xdr:nvPicPr>
        <xdr:cNvPr id="8" name="BA-Logo">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38100"/>
          <a:ext cx="18192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0</xdr:col>
      <xdr:colOff>1838325</xdr:colOff>
      <xdr:row>0</xdr:row>
      <xdr:rowOff>409575</xdr:rowOff>
    </xdr:to>
    <xdr:pic>
      <xdr:nvPicPr>
        <xdr:cNvPr id="7" name="BA-Logo">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38100"/>
          <a:ext cx="18192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19050</xdr:colOff>
      <xdr:row>0</xdr:row>
      <xdr:rowOff>38100</xdr:rowOff>
    </xdr:from>
    <xdr:ext cx="1819275" cy="371475"/>
    <xdr:pic>
      <xdr:nvPicPr>
        <xdr:cNvPr id="2" name="BA-Logo">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38100"/>
          <a:ext cx="18192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19050</xdr:colOff>
      <xdr:row>0</xdr:row>
      <xdr:rowOff>38100</xdr:rowOff>
    </xdr:from>
    <xdr:ext cx="1819275" cy="371475"/>
    <xdr:pic>
      <xdr:nvPicPr>
        <xdr:cNvPr id="2" name="BA-Logo">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38100"/>
          <a:ext cx="18192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19050</xdr:colOff>
      <xdr:row>0</xdr:row>
      <xdr:rowOff>38100</xdr:rowOff>
    </xdr:from>
    <xdr:ext cx="1822174" cy="371475"/>
    <xdr:pic>
      <xdr:nvPicPr>
        <xdr:cNvPr id="2" name="BA-Logo">
          <a:extLst>
            <a:ext uri="{FF2B5EF4-FFF2-40B4-BE49-F238E27FC236}">
              <a16:creationId xmlns:a16="http://schemas.microsoft.com/office/drawing/2014/main" id="{DBF17893-8BA5-478C-B1A8-BF941ED27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38100"/>
          <a:ext cx="1822174"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19050</xdr:colOff>
      <xdr:row>0</xdr:row>
      <xdr:rowOff>38100</xdr:rowOff>
    </xdr:from>
    <xdr:ext cx="1817688" cy="371475"/>
    <xdr:pic>
      <xdr:nvPicPr>
        <xdr:cNvPr id="2" name="BA-Logo">
          <a:extLst>
            <a:ext uri="{FF2B5EF4-FFF2-40B4-BE49-F238E27FC236}">
              <a16:creationId xmlns:a16="http://schemas.microsoft.com/office/drawing/2014/main" id="{4C1F25C7-C9AB-4CCF-8BB0-843F473ECF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38100"/>
          <a:ext cx="1817688"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0CAAF713-1234-40E7-BBFA-519475F5B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istik.arbeitsagentur.de/" TargetMode="External"/><Relationship Id="rId2" Type="http://schemas.openxmlformats.org/officeDocument/2006/relationships/hyperlink" Target="https://statistik.arbeitsagentur.de/DE/Home/Service/Impressum/impressum_node.html;jsessionid=9F101EB9A89794EB06678A9C714EA454" TargetMode="External"/><Relationship Id="rId1" Type="http://schemas.openxmlformats.org/officeDocument/2006/relationships/hyperlink" Target="https://statistik.arbeitsagentur.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Zentraler-Statistik-Service@arbeitsagentur.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statistik.arbeitsagentur.de/DE/Navigation/Grundlagen/Datenquellen/Datenstandard-XSozial/Datenstandard-XSozial-Nav.html" TargetMode="External"/><Relationship Id="rId2" Type="http://schemas.openxmlformats.org/officeDocument/2006/relationships/hyperlink" Target="http://statistik.arbeitsagentur.de/Navigation/Statistik/Grundlagen/Datenstandard-XSozial/Tech-Dok-Datenuebermittlung/Tech-Dok-Datenuebermittlung-Nav.html" TargetMode="External"/><Relationship Id="rId1" Type="http://schemas.openxmlformats.org/officeDocument/2006/relationships/hyperlink" Target="http://doku.iab.de/forschungsbericht/2013/fb1113.pdf" TargetMode="External"/><Relationship Id="rId5" Type="http://schemas.openxmlformats.org/officeDocument/2006/relationships/drawing" Target="../drawings/drawing8.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ntgelt/Entgelt-Nav.html?mtm_campaign=Bericht" TargetMode="External"/><Relationship Id="rId26" Type="http://schemas.openxmlformats.org/officeDocument/2006/relationships/hyperlink" Target="https://statistik.arbeitsagentur.de/DE/Navigation/Statistiken/Themen-im-Fokus/Wirtschaftszweige/Wirtschaftszweige-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rauen-und-Maenner/Frauen-und-Maenner-Nav.html?mtm_campaign=Bericht" TargetMode="External"/><Relationship Id="rId34" Type="http://schemas.openxmlformats.org/officeDocument/2006/relationships/drawing" Target="../drawings/drawing10.xm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ingliederungsbilanzen/Eingliederungsbilanzen-Nav.html?mtm_campaign=Bericht" TargetMode="External"/><Relationship Id="rId25" Type="http://schemas.openxmlformats.org/officeDocument/2006/relationships/hyperlink" Target="https://statistik.arbeitsagentur.de/DE/Navigation/Statistiken/Themen-im-Fokus/Regionale-Mobilitaet/Regionale-Mobilitaet-Nav.html?mtm_campaign=Bericht" TargetMode="External"/><Relationship Id="rId33" Type="http://schemas.openxmlformats.org/officeDocument/2006/relationships/printerSettings" Target="../printerSettings/printerSettings10.bin"/><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amilien-Kinder/Familien-und-Kinder-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igration/Migration-Nav.html?mtm_campaign=Bericht" TargetMode="External"/><Relationship Id="rId32" Type="http://schemas.openxmlformats.org/officeDocument/2006/relationships/hyperlink" Target="https://statistik.arbeitsagentur.de/DE/Navigation/Statistiken/Themen-im-Fokus/Transformation/Transformation-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enschen-mit-Behinderungen/Menschen-mit-Behinderunge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chkraeftebedarf/Fachkraeftebedarf-Nav.html?mtm_campaign=Bericht" TargetMode="External"/><Relationship Id="rId31" Type="http://schemas.openxmlformats.org/officeDocument/2006/relationships/hyperlink" Target="https://statistik.arbeitsagentur.de/DE/Navigation/Grundlagen/Methodik-Qualitaet/Methodische-Hinweise/Meth-Hinweise-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Langzeitarbeitslosigkeit/Langzeitarbeitslosigkeit-Nav.html?mtm_campaign=Bericht" TargetMode="External"/><Relationship Id="rId27" Type="http://schemas.openxmlformats.org/officeDocument/2006/relationships/hyperlink" Target="https://statistik.arbeitsagentur.de/DE/Navigation/Statistiken/Themen-im-Fokus/Zeitarbeit/Zeitarbeit-Nav.html?mtm_campaign=Bericht" TargetMode="External"/><Relationship Id="rId30" Type="http://schemas.openxmlformats.org/officeDocument/2006/relationships/hyperlink" Target="https://statistik.arbeitsagentur.de/DE/Navigation/Statistiken/Themen-im-Fokus/Ukraine-Krieg/Ukraine-Krieg-Nav.html?mtm_campaign=Bericht"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dimension ref="A1:A53"/>
  <sheetViews>
    <sheetView tabSelected="1" zoomScaleNormal="100" workbookViewId="0"/>
  </sheetViews>
  <sheetFormatPr baseColWidth="10" defaultColWidth="11.42578125" defaultRowHeight="15"/>
  <cols>
    <col min="1" max="2" width="49.7109375" style="58" customWidth="1"/>
    <col min="3" max="16384" width="11.42578125" style="58"/>
  </cols>
  <sheetData>
    <row r="1" ht="14.1" customHeight="1"/>
    <row r="2" ht="14.1" customHeight="1"/>
    <row r="3" ht="14.1" customHeight="1"/>
    <row r="4" ht="14.1" customHeight="1"/>
    <row r="5" ht="14.1" customHeight="1"/>
    <row r="6" ht="14.1" customHeight="1"/>
    <row r="7" ht="14.1" customHeight="1"/>
    <row r="8" ht="14.1" customHeight="1"/>
    <row r="9" ht="14.1" customHeight="1"/>
    <row r="10" ht="14.1" customHeight="1"/>
    <row r="11" ht="14.1" customHeight="1"/>
    <row r="12" ht="14.1" customHeight="1"/>
    <row r="13" ht="14.1" customHeight="1"/>
    <row r="14" ht="14.1" customHeight="1"/>
    <row r="15" ht="14.1" customHeight="1"/>
    <row r="16" ht="14.1" customHeight="1"/>
    <row r="17" ht="14.1" customHeight="1"/>
    <row r="18" ht="14.1" customHeight="1"/>
    <row r="19" ht="14.1" customHeight="1"/>
    <row r="20" ht="14.1" customHeight="1"/>
    <row r="21" ht="14.1" customHeight="1"/>
    <row r="22" ht="14.1" customHeight="1"/>
    <row r="23" ht="14.1" customHeight="1"/>
    <row r="24" ht="14.1" customHeight="1"/>
    <row r="25" ht="14.1" customHeight="1"/>
    <row r="26" ht="14.1" customHeight="1"/>
    <row r="27" ht="14.1" customHeight="1"/>
    <row r="28" ht="14.1" customHeight="1"/>
    <row r="29" ht="14.1" customHeight="1"/>
    <row r="30" ht="14.1" customHeight="1"/>
    <row r="31" ht="14.1" customHeight="1"/>
    <row r="32" ht="14.1" customHeight="1"/>
    <row r="33" ht="14.1" customHeight="1"/>
    <row r="34" ht="14.1" customHeight="1"/>
    <row r="35" ht="14.1" customHeight="1"/>
    <row r="36" ht="14.1" customHeight="1"/>
    <row r="37" ht="14.1" customHeight="1"/>
    <row r="38" ht="14.1" customHeight="1"/>
    <row r="39" ht="14.1" customHeight="1"/>
    <row r="40" ht="14.1" customHeight="1"/>
    <row r="41" ht="14.1" customHeight="1"/>
    <row r="42" ht="14.1" customHeight="1"/>
    <row r="43" ht="14.1" customHeight="1"/>
    <row r="44" ht="14.1" customHeight="1"/>
    <row r="45" ht="14.1" customHeight="1"/>
    <row r="46" ht="14.1" customHeight="1"/>
    <row r="47" ht="14.1" customHeight="1"/>
    <row r="48" ht="14.1" customHeight="1"/>
    <row r="49" ht="14.1" customHeight="1"/>
    <row r="50" ht="14.1" customHeight="1"/>
    <row r="51" ht="14.1" customHeight="1"/>
    <row r="52" ht="14.1" customHeight="1"/>
    <row r="53" ht="114.95" customHeight="1"/>
  </sheetData>
  <pageMargins left="0.29829396325459334" right="0" top="0" bottom="0" header="0" footer="0"/>
  <pageSetup paperSize="9" scale="9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67C3-DDD5-4223-9198-4D2562433B88}">
  <sheetPr codeName="Tabelle7">
    <pageSetUpPr fitToPage="1"/>
  </sheetPr>
  <dimension ref="A1:B40"/>
  <sheetViews>
    <sheetView showGridLines="0" zoomScaleNormal="100" workbookViewId="0"/>
  </sheetViews>
  <sheetFormatPr baseColWidth="10" defaultRowHeight="15" customHeight="1"/>
  <cols>
    <col min="1" max="1" width="31.7109375" style="158" customWidth="1"/>
    <col min="2" max="2" width="60.7109375" style="158" customWidth="1"/>
    <col min="3" max="16384" width="11.42578125" style="158"/>
  </cols>
  <sheetData>
    <row r="1" spans="1:2" ht="33" customHeight="1">
      <c r="A1" s="156"/>
      <c r="B1" s="157"/>
    </row>
    <row r="4" spans="1:2" ht="15" customHeight="1">
      <c r="A4" s="159" t="s">
        <v>696</v>
      </c>
    </row>
    <row r="6" spans="1:2" ht="15" customHeight="1">
      <c r="A6" s="160" t="s">
        <v>922</v>
      </c>
      <c r="B6" s="158" t="s">
        <v>919</v>
      </c>
    </row>
    <row r="7" spans="1:2" ht="9" customHeight="1"/>
    <row r="8" spans="1:2" ht="15" customHeight="1">
      <c r="A8" s="160" t="s">
        <v>1020</v>
      </c>
      <c r="B8" s="158">
        <v>729</v>
      </c>
    </row>
    <row r="9" spans="1:2" ht="9" customHeight="1"/>
    <row r="10" spans="1:2" ht="15" customHeight="1">
      <c r="A10" s="160" t="s">
        <v>697</v>
      </c>
      <c r="B10" s="158" t="s">
        <v>962</v>
      </c>
    </row>
    <row r="11" spans="1:2" ht="9" customHeight="1"/>
    <row r="12" spans="1:2" ht="24.75" customHeight="1">
      <c r="A12" s="160" t="s">
        <v>698</v>
      </c>
      <c r="B12" s="158" t="s">
        <v>1192</v>
      </c>
    </row>
    <row r="13" spans="1:2" ht="9" customHeight="1"/>
    <row r="14" spans="1:2" ht="15" customHeight="1">
      <c r="A14" s="160" t="s">
        <v>1021</v>
      </c>
      <c r="B14" s="161" t="s">
        <v>1193</v>
      </c>
    </row>
    <row r="15" spans="1:2" ht="9" customHeight="1"/>
    <row r="16" spans="1:2" ht="15" customHeight="1">
      <c r="A16" s="160" t="s">
        <v>699</v>
      </c>
      <c r="B16" s="287">
        <v>45978</v>
      </c>
    </row>
    <row r="17" spans="1:2" ht="9" customHeight="1"/>
    <row r="18" spans="1:2" ht="15" customHeight="1">
      <c r="A18" s="160" t="s">
        <v>923</v>
      </c>
      <c r="B18" s="158" t="s">
        <v>925</v>
      </c>
    </row>
    <row r="19" spans="1:2" ht="9" customHeight="1"/>
    <row r="20" spans="1:2" ht="15" customHeight="1">
      <c r="A20" s="160" t="s">
        <v>924</v>
      </c>
      <c r="B20" s="162">
        <v>46353</v>
      </c>
    </row>
    <row r="21" spans="1:2" ht="9" customHeight="1"/>
    <row r="22" spans="1:2" ht="39" customHeight="1">
      <c r="A22" s="160" t="s">
        <v>1022</v>
      </c>
      <c r="B22" s="158" t="s">
        <v>1000</v>
      </c>
    </row>
    <row r="23" spans="1:2" ht="9" customHeight="1"/>
    <row r="24" spans="1:2" ht="15" customHeight="1">
      <c r="A24" s="160" t="s">
        <v>920</v>
      </c>
      <c r="B24" s="158" t="s">
        <v>700</v>
      </c>
    </row>
    <row r="25" spans="1:2" ht="15" customHeight="1">
      <c r="B25" s="158" t="s">
        <v>701</v>
      </c>
    </row>
    <row r="26" spans="1:2" ht="15" customHeight="1">
      <c r="A26" s="160" t="s">
        <v>702</v>
      </c>
      <c r="B26" s="158" t="s">
        <v>914</v>
      </c>
    </row>
    <row r="27" spans="1:2" ht="15" customHeight="1">
      <c r="B27" s="158" t="s">
        <v>703</v>
      </c>
    </row>
    <row r="28" spans="1:2" ht="15" customHeight="1">
      <c r="B28" s="158" t="s">
        <v>704</v>
      </c>
    </row>
    <row r="29" spans="1:2" ht="15" customHeight="1">
      <c r="A29" s="158" t="s">
        <v>705</v>
      </c>
      <c r="B29" s="164" t="s">
        <v>915</v>
      </c>
    </row>
    <row r="30" spans="1:2" ht="15" customHeight="1">
      <c r="A30" s="158" t="s">
        <v>706</v>
      </c>
      <c r="B30" s="158" t="s">
        <v>921</v>
      </c>
    </row>
    <row r="32" spans="1:2" ht="9" customHeight="1"/>
    <row r="33" spans="1:2" ht="15" customHeight="1">
      <c r="A33" s="160" t="s">
        <v>707</v>
      </c>
      <c r="B33" s="163" t="s">
        <v>1023</v>
      </c>
    </row>
    <row r="34" spans="1:2" ht="9" customHeight="1"/>
    <row r="35" spans="1:2" ht="15" customHeight="1">
      <c r="A35" s="160" t="s">
        <v>708</v>
      </c>
      <c r="B35" s="158" t="s">
        <v>999</v>
      </c>
    </row>
    <row r="37" spans="1:2" ht="9" customHeight="1"/>
    <row r="38" spans="1:2" ht="15" customHeight="1">
      <c r="A38" s="160" t="s">
        <v>910</v>
      </c>
      <c r="B38" s="158" t="s">
        <v>0</v>
      </c>
    </row>
    <row r="39" spans="1:2" ht="15" customHeight="1">
      <c r="B39" s="163" t="s">
        <v>1024</v>
      </c>
    </row>
    <row r="40" spans="1:2" ht="105" customHeight="1">
      <c r="B40" s="163" t="s">
        <v>1025</v>
      </c>
    </row>
  </sheetData>
  <hyperlinks>
    <hyperlink ref="B33" r:id="rId1" xr:uid="{94D64256-9DF0-4C4E-B0DE-AB8FC3721231}"/>
    <hyperlink ref="B39" r:id="rId2" xr:uid="{1A50749A-2F4B-436F-960C-CE695D52818A}"/>
    <hyperlink ref="B40" r:id="rId3" display="https://statistik.arbeitsagentur.de/" xr:uid="{FB7E50E2-42B0-4D37-A628-7268180E3F75}"/>
    <hyperlink ref="B29" r:id="rId4" xr:uid="{C3ECEC83-8FEF-4B27-AE1A-8C7ACB062EB3}"/>
  </hyperlinks>
  <pageMargins left="0.70866141732283472" right="0.39370078740157483" top="0.39370078740157483" bottom="0.59055118110236227" header="0.51181102362204722" footer="0.51181102362204722"/>
  <pageSetup paperSize="9" scale="98"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10">
    <pageSetUpPr autoPageBreaks="0"/>
  </sheetPr>
  <dimension ref="A1:F20"/>
  <sheetViews>
    <sheetView showGridLines="0" zoomScaleNormal="100" workbookViewId="0"/>
  </sheetViews>
  <sheetFormatPr baseColWidth="10" defaultColWidth="9.85546875" defaultRowHeight="16.5" customHeight="1"/>
  <cols>
    <col min="1" max="1" width="3.5703125" style="24" customWidth="1"/>
    <col min="2" max="4" width="15.140625" style="24" customWidth="1"/>
    <col min="5" max="5" width="6.42578125" style="24" customWidth="1"/>
    <col min="6" max="6" width="20.7109375" style="24" customWidth="1"/>
    <col min="7" max="7" width="9.85546875" style="24" customWidth="1"/>
    <col min="8" max="16384" width="9.85546875" style="24"/>
  </cols>
  <sheetData>
    <row r="1" spans="1:6" s="1" customFormat="1" ht="33.75" customHeight="1">
      <c r="A1" s="79"/>
      <c r="B1" s="80"/>
      <c r="C1" s="80"/>
      <c r="D1" s="80"/>
      <c r="E1" s="80"/>
      <c r="F1" s="81" t="s">
        <v>678</v>
      </c>
    </row>
    <row r="2" spans="1:6" ht="15" customHeight="1"/>
    <row r="3" spans="1:6" ht="12.75" customHeight="1">
      <c r="A3" s="25"/>
      <c r="B3" s="26"/>
      <c r="C3" s="25"/>
      <c r="D3" s="25"/>
      <c r="E3" s="25"/>
      <c r="F3" s="25"/>
    </row>
    <row r="4" spans="1:6" ht="15" customHeight="1">
      <c r="A4" s="27" t="s">
        <v>743</v>
      </c>
      <c r="C4" s="27"/>
      <c r="D4" s="27"/>
      <c r="E4" s="27"/>
      <c r="F4" s="27"/>
    </row>
    <row r="5" spans="1:6" ht="12"/>
    <row r="6" spans="1:6" ht="12"/>
    <row r="7" spans="1:6" ht="15" customHeight="1">
      <c r="A7" s="28" t="s">
        <v>962</v>
      </c>
      <c r="C7" s="29"/>
      <c r="D7" s="29"/>
      <c r="E7" s="29"/>
      <c r="F7" s="29"/>
    </row>
    <row r="8" spans="1:6" ht="15" customHeight="1">
      <c r="A8" s="49" t="s">
        <v>1192</v>
      </c>
      <c r="C8" s="30"/>
      <c r="D8" s="30"/>
      <c r="E8" s="30"/>
      <c r="F8" s="30"/>
    </row>
    <row r="9" spans="1:6" ht="15" customHeight="1">
      <c r="A9" s="49" t="s">
        <v>1193</v>
      </c>
      <c r="C9" s="30"/>
      <c r="D9" s="30"/>
      <c r="E9" s="30"/>
      <c r="F9" s="30"/>
    </row>
    <row r="10" spans="1:6" ht="12"/>
    <row r="11" spans="1:6" ht="12.75">
      <c r="A11" s="31" t="s">
        <v>744</v>
      </c>
    </row>
    <row r="12" spans="1:6" s="32" customFormat="1" ht="18" customHeight="1">
      <c r="B12" s="33"/>
      <c r="C12" s="33"/>
      <c r="D12" s="33"/>
      <c r="E12" s="33"/>
      <c r="F12" s="33"/>
    </row>
    <row r="13" spans="1:6" s="32" customFormat="1" ht="18" customHeight="1">
      <c r="A13" s="35" t="s">
        <v>745</v>
      </c>
      <c r="B13" s="34" t="s">
        <v>3</v>
      </c>
      <c r="D13" s="34"/>
      <c r="E13" s="34"/>
      <c r="F13" s="34"/>
    </row>
    <row r="14" spans="1:6" s="32" customFormat="1" ht="18" customHeight="1">
      <c r="A14" s="35" t="s">
        <v>746</v>
      </c>
      <c r="B14" s="34" t="s">
        <v>679</v>
      </c>
      <c r="D14" s="34"/>
      <c r="E14" s="34"/>
      <c r="F14" s="34"/>
    </row>
    <row r="15" spans="1:6" s="32" customFormat="1" ht="18" customHeight="1">
      <c r="A15" s="35" t="s">
        <v>747</v>
      </c>
      <c r="B15" s="34" t="s">
        <v>741</v>
      </c>
      <c r="D15" s="34"/>
      <c r="E15" s="34"/>
      <c r="F15" s="34"/>
    </row>
    <row r="16" spans="1:6" s="32" customFormat="1" ht="18" customHeight="1">
      <c r="A16" s="35" t="s">
        <v>748</v>
      </c>
      <c r="B16" s="34" t="s">
        <v>916</v>
      </c>
      <c r="D16" s="34"/>
      <c r="E16" s="34"/>
      <c r="F16" s="34"/>
    </row>
    <row r="17" spans="1:6" s="32" customFormat="1" ht="18" customHeight="1">
      <c r="A17" s="35"/>
      <c r="B17" s="34"/>
      <c r="D17" s="34"/>
      <c r="E17" s="34"/>
      <c r="F17" s="34"/>
    </row>
    <row r="18" spans="1:6" s="32" customFormat="1" ht="18" customHeight="1">
      <c r="A18" s="386" t="s">
        <v>750</v>
      </c>
      <c r="B18" s="386"/>
      <c r="C18" s="386"/>
      <c r="D18" s="34"/>
      <c r="E18" s="34"/>
      <c r="F18" s="34"/>
    </row>
    <row r="19" spans="1:6" s="32" customFormat="1" ht="18" customHeight="1">
      <c r="A19" s="386" t="s">
        <v>932</v>
      </c>
      <c r="B19" s="386"/>
      <c r="C19" s="386"/>
      <c r="D19" s="34"/>
      <c r="E19" s="34"/>
      <c r="F19" s="34"/>
    </row>
    <row r="20" spans="1:6" s="32" customFormat="1" ht="18" customHeight="1">
      <c r="A20" s="386" t="s">
        <v>709</v>
      </c>
      <c r="B20" s="386"/>
      <c r="C20" s="386"/>
      <c r="D20" s="34"/>
      <c r="E20" s="34"/>
      <c r="F20" s="34"/>
    </row>
  </sheetData>
  <mergeCells count="3">
    <mergeCell ref="A18:C18"/>
    <mergeCell ref="A19:C19"/>
    <mergeCell ref="A20:C20"/>
  </mergeCells>
  <hyperlinks>
    <hyperlink ref="A13" location="'1'!A1" tooltip="Tabelle 1" display="1" xr:uid="{00000000-0004-0000-0200-000000000000}"/>
    <hyperlink ref="A14" location="'2'!A1" tooltip="Tabelle 2" display="2" xr:uid="{00000000-0004-0000-0200-000001000000}"/>
    <hyperlink ref="A15" location="'3'!A1" tooltip="Tabelle 3" display="3" xr:uid="{00000000-0004-0000-0200-000002000000}"/>
    <hyperlink ref="A16" location="'4'!A1" tooltip="Tabelle 4" display="4" xr:uid="{00000000-0004-0000-0200-000003000000}"/>
    <hyperlink ref="A18" location="'Methodische Hinweise'!A1" tooltip="Methodische Hinweise" display="Methodische Hinweise" xr:uid="{00000000-0004-0000-0200-000004000000}"/>
    <hyperlink ref="A20" location="'Statistik-Infoseite'!A1" tooltip="Statistik-Infoseite" display="Statistik-Infoseite" xr:uid="{00000000-0004-0000-0200-000005000000}"/>
    <hyperlink ref="A19" location="Glossar!A1" tooltip="Glossar" display="Glossar" xr:uid="{00000000-0004-0000-0200-000006000000}"/>
  </hyperlinks>
  <printOptions horizontalCentered="1"/>
  <pageMargins left="0.70866141732283472" right="0.39370078740157483" top="0.39370078740157483" bottom="0.39370078740157483" header="0.39370078740157483" footer="0.39370078740157483"/>
  <pageSetup paperSize="9" fitToHeight="0" orientation="portrait" r:id="rId1"/>
  <headerFooter alignWithMargins="0"/>
  <ignoredErrors>
    <ignoredError sqref="A13:A16" numberStoredAsText="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28"/>
  <dimension ref="A1:L36"/>
  <sheetViews>
    <sheetView showGridLines="0" zoomScaleNormal="100" workbookViewId="0"/>
  </sheetViews>
  <sheetFormatPr baseColWidth="10" defaultColWidth="11.42578125" defaultRowHeight="12.75"/>
  <cols>
    <col min="1" max="1" width="3.42578125" style="2" customWidth="1"/>
    <col min="2" max="2" width="39.85546875" style="2" customWidth="1"/>
    <col min="3" max="3" width="0.42578125" style="2" hidden="1" customWidth="1"/>
    <col min="4" max="4" width="11.5703125" style="2" customWidth="1"/>
    <col min="5" max="9" width="11.85546875" style="2" customWidth="1"/>
    <col min="10" max="10" width="11.42578125" style="2"/>
    <col min="11" max="11" width="14.28515625" style="2" bestFit="1" customWidth="1"/>
    <col min="12" max="16384" width="11.42578125" style="2"/>
  </cols>
  <sheetData>
    <row r="1" spans="1:12" s="1" customFormat="1" ht="33.75" customHeight="1">
      <c r="A1" s="79"/>
      <c r="B1" s="80"/>
      <c r="C1" s="80"/>
      <c r="D1" s="80"/>
      <c r="E1" s="80"/>
      <c r="F1" s="81"/>
      <c r="G1" s="81"/>
      <c r="H1" s="81"/>
      <c r="I1" s="81" t="s">
        <v>678</v>
      </c>
    </row>
    <row r="2" spans="1:12" s="60" customFormat="1" ht="11.25" customHeight="1">
      <c r="I2" s="3"/>
    </row>
    <row r="3" spans="1:12" s="63" customFormat="1" ht="15" customHeight="1">
      <c r="A3" s="61" t="s">
        <v>976</v>
      </c>
      <c r="B3" s="61"/>
      <c r="C3" s="61"/>
      <c r="D3" s="61"/>
      <c r="E3" s="61"/>
      <c r="F3" s="61"/>
      <c r="G3" s="62"/>
      <c r="H3" s="387" t="s">
        <v>950</v>
      </c>
      <c r="I3" s="387"/>
    </row>
    <row r="4" spans="1:12" s="62" customFormat="1" ht="11.25" customHeight="1">
      <c r="A4" s="78" t="str">
        <f>Steuerung_Eckwerte!C3</f>
        <v>Deutschland</v>
      </c>
      <c r="B4" s="73"/>
      <c r="C4" s="73"/>
    </row>
    <row r="5" spans="1:12" s="62" customFormat="1" ht="11.25" customHeight="1">
      <c r="A5" s="73" t="s">
        <v>1194</v>
      </c>
      <c r="B5" s="73"/>
      <c r="C5" s="73"/>
    </row>
    <row r="6" spans="1:12" s="62" customFormat="1" ht="11.25" customHeight="1">
      <c r="A6" s="73"/>
      <c r="B6" s="73"/>
      <c r="C6" s="73"/>
    </row>
    <row r="7" spans="1:12" s="62" customFormat="1" ht="11.25" customHeight="1">
      <c r="A7" s="73"/>
      <c r="B7" s="73"/>
      <c r="C7" s="73"/>
    </row>
    <row r="8" spans="1:12" s="63" customFormat="1" ht="11.25" customHeight="1">
      <c r="A8" s="389" t="s">
        <v>749</v>
      </c>
      <c r="B8" s="389"/>
      <c r="C8" s="389"/>
      <c r="D8" s="389"/>
      <c r="E8" s="389"/>
      <c r="F8" s="389"/>
      <c r="G8" s="389"/>
      <c r="H8" s="389"/>
      <c r="I8" s="389"/>
    </row>
    <row r="9" spans="1:12" s="63" customFormat="1" ht="35.25" customHeight="1">
      <c r="A9" s="388" t="str">
        <f>IF(Steuerung_Eckwerte!E3="H1",Steuerung_Eckwerte!I6,IF(Steuerung_Eckwerte!E3="H2",Steuerung_Eckwerte!I6," "))</f>
        <v>Mit Ausnahme der Ausgaben für Bildung und Teilhabe wurden die Informationen für Deutschland, Ost- und Westdeutschland sowie die Bundesländer um die unplausiblen bzw. nicht vorhandenen Daten einzelner Jobcenter hochgerechnet. Für unplausible bzw. unvollständige Datenlieferungen im Bereich Eingliederungsleistungen wird bereits auf Jobcenter-Ebene ein Schätzwert gebildet.</v>
      </c>
      <c r="B9" s="388"/>
      <c r="C9" s="388"/>
      <c r="D9" s="388"/>
      <c r="E9" s="388"/>
      <c r="F9" s="388"/>
      <c r="G9" s="388"/>
      <c r="H9" s="388"/>
      <c r="I9" s="388"/>
    </row>
    <row r="10" spans="1:12" s="63" customFormat="1" ht="22.5" customHeight="1">
      <c r="A10" s="388" t="str">
        <f>IF(Steuerung_Eckwerte!E3="H1",Steuerung_Eckwerte!I4,IF(Steuerung_Eckwerte!E3="H2",Steuerung_Eckwerte!I5," "))</f>
        <v>Die Daten für Deutschland insgesamt beinhalten die Buchungen der Jobcenter zuzüglich der Buchungen der Regionaldirektionen, der besonderen Dienststellen und SGB III-Dienststellen (BA) auf Finanzpositionen des SGB II.</v>
      </c>
      <c r="B10" s="388"/>
      <c r="C10" s="388"/>
      <c r="D10" s="388"/>
      <c r="E10" s="388"/>
      <c r="F10" s="388"/>
      <c r="G10" s="388"/>
      <c r="H10" s="388"/>
      <c r="I10" s="388"/>
    </row>
    <row r="11" spans="1:12" ht="11.25" customHeight="1">
      <c r="A11" s="11"/>
      <c r="B11" s="11"/>
      <c r="C11" s="11"/>
    </row>
    <row r="12" spans="1:12" ht="45" customHeight="1">
      <c r="A12" s="395"/>
      <c r="B12" s="76"/>
      <c r="C12" s="74"/>
      <c r="D12" s="391" t="s">
        <v>1212</v>
      </c>
      <c r="E12" s="392"/>
      <c r="F12" s="393" t="s">
        <v>1036</v>
      </c>
      <c r="G12" s="393"/>
      <c r="H12" s="397" t="s">
        <v>974</v>
      </c>
      <c r="I12" s="398"/>
    </row>
    <row r="13" spans="1:12" ht="45" customHeight="1">
      <c r="A13" s="396"/>
      <c r="B13" s="77"/>
      <c r="C13" s="75"/>
      <c r="D13" s="23" t="s">
        <v>677</v>
      </c>
      <c r="E13" s="12" t="s">
        <v>975</v>
      </c>
      <c r="F13" s="13" t="s">
        <v>677</v>
      </c>
      <c r="G13" s="12" t="s">
        <v>975</v>
      </c>
      <c r="H13" s="14" t="s">
        <v>1</v>
      </c>
      <c r="I13" s="14" t="s">
        <v>2</v>
      </c>
    </row>
    <row r="14" spans="1:12" ht="11.25" customHeight="1">
      <c r="A14" s="396"/>
      <c r="B14" s="77"/>
      <c r="C14" s="75"/>
      <c r="D14" s="18">
        <v>1</v>
      </c>
      <c r="E14" s="15">
        <v>2</v>
      </c>
      <c r="F14" s="16">
        <v>3</v>
      </c>
      <c r="G14" s="17">
        <v>4</v>
      </c>
      <c r="H14" s="18">
        <v>5</v>
      </c>
      <c r="I14" s="16">
        <v>6</v>
      </c>
    </row>
    <row r="15" spans="1:12" s="4" customFormat="1" ht="18" customHeight="1">
      <c r="A15" s="85" t="str">
        <f>IF(Steuerung_Eckwerte!E3= 1, "Insgesamt 2)", "Insgesamt")</f>
        <v>Insgesamt</v>
      </c>
      <c r="B15" s="86"/>
      <c r="C15" s="204" t="s">
        <v>870</v>
      </c>
      <c r="D15" s="136">
        <f>INDEX(Daten!$K$7:$R$430,MATCH(Steuerung_Eckwerte!B$3,Daten!$C$7:$C$430,0),MATCH(C15,Daten!$K$6:$R$6,0))</f>
        <v>57089920228.634064</v>
      </c>
      <c r="E15" s="137">
        <f t="shared" ref="E15:E21" si="0">IF(ISERROR(D15/D$15),"X",D15/D$15*100)</f>
        <v>100</v>
      </c>
      <c r="F15" s="136">
        <f>INDEX(Daten!$S$7:$Z$430,MATCH(Steuerung_Eckwerte!B$3,Daten!$C$7:$C$430,0),MATCH(C15,Daten!$S$6:$Z$6,0))</f>
        <v>52599182788.970215</v>
      </c>
      <c r="G15" s="137">
        <f t="shared" ref="G15:G21" si="1">IF(ISERROR(F15/F$15),"X",F15/F$15*100)</f>
        <v>100</v>
      </c>
      <c r="H15" s="136">
        <f>INDEX(Daten!$AA$7:$AH$429,MATCH(Steuerung_Eckwerte!B$3,Daten!$C$7:$C$429,0),MATCH(C15,Daten!$AA$6:$AH$6,0))</f>
        <v>4490737439.6638489</v>
      </c>
      <c r="I15" s="138">
        <f>IF(INDEX(Daten!$AI$7:$AP$429,MATCH(Steuerung_Eckwerte!B$3,Daten!$C$7:$C$429,0),MATCH(C15,Daten!$AI$6:$AP$6,0))="X","X",IF(OR(INDEX(Daten!$AI$7:$AP$429,MATCH(Steuerung_Eckwerte!B$3,Daten!$C$7:$C$429,0),MATCH(C15,Daten!$AI$6:$AP$6,0))&lt;(-250),INDEX(Daten!$AI$7:$AP$429,MATCH(Steuerung_Eckwerte!B$3,Daten!$C$7:$C$429,0),MATCH(C15,Daten!$AI$6:$AP$6,0))&gt;250),".X",INDEX(Daten!$AI$7:$AP$429,MATCH(Steuerung_Eckwerte!B$3,Daten!$C$7:$C$429,0),MATCH(C15,Daten!$AI$6:$AP$6,0))))</f>
        <v>8.5376562934082969</v>
      </c>
      <c r="K15" s="68"/>
      <c r="L15" s="69"/>
    </row>
    <row r="16" spans="1:12" s="72" customFormat="1" ht="15" customHeight="1">
      <c r="A16" s="87" t="s">
        <v>738</v>
      </c>
      <c r="B16" s="88" t="s">
        <v>1038</v>
      </c>
      <c r="C16" s="205" t="s">
        <v>1039</v>
      </c>
      <c r="D16" s="139">
        <f>INDEX(Daten!$K$7:$R$430,MATCH(Steuerung_Eckwerte!B$3,Daten!$C$7:$C$430,0),MATCH(C16,Daten!$K$6:$R$6,0))</f>
        <v>22057312989.938328</v>
      </c>
      <c r="E16" s="140">
        <f t="shared" si="0"/>
        <v>38.636090051629189</v>
      </c>
      <c r="F16" s="139">
        <f>INDEX(Daten!$S$7:$Z$430,MATCH(Steuerung_Eckwerte!B$3,Daten!$C$7:$C$430,0),MATCH(C16,Daten!$S$6:$Z$6,0))</f>
        <v>19138870316.010342</v>
      </c>
      <c r="G16" s="140">
        <f t="shared" si="1"/>
        <v>36.386250320268601</v>
      </c>
      <c r="H16" s="139">
        <f>INDEX(Daten!$AA$7:$AH$429,MATCH(Steuerung_Eckwerte!B$3,Daten!$C$7:$C$429,0),MATCH(C16,Daten!$AA$6:$AH$6,0))</f>
        <v>2918442673.9279861</v>
      </c>
      <c r="I16" s="141">
        <f>IF(INDEX(Daten!$AI$7:$AP$429,MATCH(Steuerung_Eckwerte!B$3,Daten!$C$7:$C$429,0),MATCH(C16,Daten!$AI$6:$AP$6,0))="X","X",IF(OR(INDEX(Daten!$AI$7:$AP$429,MATCH(Steuerung_Eckwerte!B$3,Daten!$C$7:$C$429,0),MATCH(C16,Daten!$AI$6:$AP$6,0))&lt;(-250),INDEX(Daten!$AI$7:$AP$429,MATCH(Steuerung_Eckwerte!B$3,Daten!$C$7:$C$429,0),MATCH(C16,Daten!$AI$6:$AP$6,0))&gt;250),".X",INDEX(Daten!$AI$7:$AP$429,MATCH(Steuerung_Eckwerte!B$3,Daten!$C$7:$C$429,0),MATCH(C16,Daten!$AI$6:$AP$6,0))))</f>
        <v>15.248771874934572</v>
      </c>
      <c r="K16" s="66"/>
      <c r="L16" s="67"/>
    </row>
    <row r="17" spans="1:12" s="19" customFormat="1" ht="15" customHeight="1">
      <c r="A17" s="89"/>
      <c r="B17" s="88" t="s">
        <v>954</v>
      </c>
      <c r="C17" s="206" t="s">
        <v>954</v>
      </c>
      <c r="D17" s="139">
        <f>INDEX(Daten!$K$7:$R$430,MATCH(Steuerung_Eckwerte!B$3,Daten!$C$7:$C$430,0),MATCH(C17,Daten!$K$6:$R$6,0))</f>
        <v>17474337168.650002</v>
      </c>
      <c r="E17" s="140">
        <f t="shared" si="0"/>
        <v>30.608445586661652</v>
      </c>
      <c r="F17" s="139">
        <f>INDEX(Daten!$S$7:$Z$430,MATCH(Steuerung_Eckwerte!B$3,Daten!$C$7:$C$430,0),MATCH(C17,Daten!$S$6:$Z$6,0))</f>
        <v>16520604220.820171</v>
      </c>
      <c r="G17" s="140">
        <f t="shared" si="1"/>
        <v>31.408480787812653</v>
      </c>
      <c r="H17" s="139">
        <f>INDEX(Daten!$AA$7:$AH$429,MATCH(Steuerung_Eckwerte!B$3,Daten!$C$7:$C$429,0),MATCH(C17,Daten!$AA$6:$AH$6,0))</f>
        <v>953732947.82983017</v>
      </c>
      <c r="I17" s="141">
        <f>IF(INDEX(Daten!$AI$7:$AP$429,MATCH(Steuerung_Eckwerte!B$3,Daten!$C$7:$C$429,0),MATCH(C17,Daten!$AI$6:$AP$6,0))="X","X",IF(OR(INDEX(Daten!$AI$7:$AP$429,MATCH(Steuerung_Eckwerte!B$3,Daten!$C$7:$C$429,0),MATCH(C17,Daten!$AI$6:$AP$6,0))&lt;(-250),INDEX(Daten!$AI$7:$AP$429,MATCH(Steuerung_Eckwerte!B$3,Daten!$C$7:$C$429,0),MATCH(C17,Daten!$AI$6:$AP$6,0))&gt;250),".X",INDEX(Daten!$AI$7:$AP$429,MATCH(Steuerung_Eckwerte!B$3,Daten!$C$7:$C$429,0),MATCH(C17,Daten!$AI$6:$AP$6,0))))</f>
        <v>5.7729907156052054</v>
      </c>
      <c r="K17" s="57"/>
      <c r="L17" s="55"/>
    </row>
    <row r="18" spans="1:12" ht="15" customHeight="1">
      <c r="A18" s="89"/>
      <c r="B18" s="88" t="s">
        <v>740</v>
      </c>
      <c r="C18" s="206" t="s">
        <v>740</v>
      </c>
      <c r="D18" s="139">
        <f>INDEX(Daten!$K$7:$R$430,MATCH(Steuerung_Eckwerte!B$3,Daten!$C$7:$C$430,0),MATCH(C18,Daten!$K$6:$R$6,0))</f>
        <v>7165247667.5187511</v>
      </c>
      <c r="E18" s="140">
        <f t="shared" si="0"/>
        <v>12.550810438731256</v>
      </c>
      <c r="F18" s="139">
        <f>INDEX(Daten!$S$7:$Z$430,MATCH(Steuerung_Eckwerte!B$3,Daten!$C$7:$C$430,0),MATCH(C18,Daten!$S$6:$Z$6,0))</f>
        <v>6686730956.4236202</v>
      </c>
      <c r="G18" s="140">
        <f t="shared" si="1"/>
        <v>12.712613774345169</v>
      </c>
      <c r="H18" s="139">
        <f>INDEX(Daten!$AA$7:$AH$429,MATCH(Steuerung_Eckwerte!B$3,Daten!$C$7:$C$429,0),MATCH(C18,Daten!$AA$6:$AH$6,0))</f>
        <v>478516711.09513092</v>
      </c>
      <c r="I18" s="141">
        <f>IF(INDEX(Daten!$AI$7:$AP$429,MATCH(Steuerung_Eckwerte!B$3,Daten!$C$7:$C$429,0),MATCH(C18,Daten!$AI$6:$AP$6,0))="X","X",IF(OR(INDEX(Daten!$AI$7:$AP$429,MATCH(Steuerung_Eckwerte!B$3,Daten!$C$7:$C$429,0),MATCH(C18,Daten!$AI$6:$AP$6,0))&lt;(-250),INDEX(Daten!$AI$7:$AP$429,MATCH(Steuerung_Eckwerte!B$3,Daten!$C$7:$C$429,0),MATCH(C18,Daten!$AI$6:$AP$6,0))&gt;250),".X",INDEX(Daten!$AI$7:$AP$429,MATCH(Steuerung_Eckwerte!B$3,Daten!$C$7:$C$429,0),MATCH(C18,Daten!$AI$6:$AP$6,0))))</f>
        <v>7.1562130166975377</v>
      </c>
      <c r="K18" s="57"/>
      <c r="L18" s="55"/>
    </row>
    <row r="19" spans="1:12" ht="15" customHeight="1">
      <c r="A19" s="89"/>
      <c r="B19" s="88" t="s">
        <v>956</v>
      </c>
      <c r="C19" s="206" t="s">
        <v>387</v>
      </c>
      <c r="D19" s="139">
        <f>INDEX(Daten!$K$7:$R$430,MATCH(Steuerung_Eckwerte!B$3,Daten!$C$7:$C$430,0),MATCH(C19,Daten!$K$6:$R$6,0))</f>
        <v>3683565207.0999999</v>
      </c>
      <c r="E19" s="140">
        <f t="shared" si="0"/>
        <v>6.4522164199004566</v>
      </c>
      <c r="F19" s="139">
        <f>INDEX(Daten!$S$7:$Z$430,MATCH(Steuerung_Eckwerte!B$3,Daten!$C$7:$C$430,0),MATCH(C19,Daten!$S$6:$Z$6,0))</f>
        <v>3813185765.2600007</v>
      </c>
      <c r="G19" s="140">
        <f t="shared" si="1"/>
        <v>7.2495152264221234</v>
      </c>
      <c r="H19" s="139">
        <f>INDEX(Daten!$AA$7:$AH$429,MATCH(Steuerung_Eckwerte!B$3,Daten!$C$7:$C$429,0),MATCH(C19,Daten!$AA$6:$AH$6,0))</f>
        <v>-129620558.1600008</v>
      </c>
      <c r="I19" s="141">
        <f>IF(INDEX(Daten!$AI$7:$AP$429,MATCH(Steuerung_Eckwerte!B$3,Daten!$C$7:$C$429,0),MATCH(C19,Daten!$AI$6:$AP$6,0))="X","X",IF(OR(INDEX(Daten!$AI$7:$AP$429,MATCH(Steuerung_Eckwerte!B$3,Daten!$C$7:$C$429,0),MATCH(C19,Daten!$AI$6:$AP$6,0))&lt;(-250),INDEX(Daten!$AI$7:$AP$429,MATCH(Steuerung_Eckwerte!B$3,Daten!$C$7:$C$429,0),MATCH(C19,Daten!$AI$6:$AP$6,0))&gt;250),".X",INDEX(Daten!$AI$7:$AP$429,MATCH(Steuerung_Eckwerte!B$3,Daten!$C$7:$C$429,0),MATCH(C19,Daten!$AI$6:$AP$6,0))))</f>
        <v>-3.3992720559514273</v>
      </c>
      <c r="K19" s="57"/>
      <c r="L19" s="55"/>
    </row>
    <row r="20" spans="1:12" ht="15" customHeight="1">
      <c r="A20" s="89"/>
      <c r="B20" s="88" t="s">
        <v>957</v>
      </c>
      <c r="C20" s="206" t="s">
        <v>737</v>
      </c>
      <c r="D20" s="139">
        <f>INDEX(Daten!$K$7:$R$430,MATCH(Steuerung_Eckwerte!B$3,Daten!$C$7:$C$430,0),MATCH(C20,Daten!$K$6:$R$6,0))</f>
        <v>6448299525.5069923</v>
      </c>
      <c r="E20" s="140">
        <f t="shared" si="0"/>
        <v>11.294987801143884</v>
      </c>
      <c r="F20" s="139">
        <f>INDEX(Daten!$S$7:$Z$430,MATCH(Steuerung_Eckwerte!B$3,Daten!$C$7:$C$430,0),MATCH(C20,Daten!$S$6:$Z$6,0))</f>
        <v>6139998991.7960815</v>
      </c>
      <c r="G20" s="140">
        <f t="shared" si="1"/>
        <v>11.673183243986841</v>
      </c>
      <c r="H20" s="139">
        <f>INDEX(Daten!$AA$7:$AH$429,MATCH(Steuerung_Eckwerte!B$3,Daten!$C$7:$C$429,0),MATCH(C20,Daten!$AA$6:$AH$6,0))</f>
        <v>308300533.7109108</v>
      </c>
      <c r="I20" s="141">
        <f>IF(INDEX(Daten!$AI$7:$AP$429,MATCH(Steuerung_Eckwerte!B$3,Daten!$C$7:$C$429,0),MATCH(C20,Daten!$AI$6:$AP$6,0))="X","X",IF(OR(INDEX(Daten!$AI$7:$AP$429,MATCH(Steuerung_Eckwerte!B$3,Daten!$C$7:$C$429,0),MATCH(C20,Daten!$AI$6:$AP$6,0))&lt;(-250),INDEX(Daten!$AI$7:$AP$429,MATCH(Steuerung_Eckwerte!B$3,Daten!$C$7:$C$429,0),MATCH(C20,Daten!$AI$6:$AP$6,0))&gt;250),".X",INDEX(Daten!$AI$7:$AP$429,MATCH(Steuerung_Eckwerte!B$3,Daten!$C$7:$C$429,0),MATCH(C20,Daten!$AI$6:$AP$6,0))))</f>
        <v>5.0211821552877209</v>
      </c>
      <c r="K20" s="57"/>
      <c r="L20" s="55"/>
    </row>
    <row r="21" spans="1:12" ht="15" customHeight="1">
      <c r="A21" s="89"/>
      <c r="B21" s="88" t="s">
        <v>735</v>
      </c>
      <c r="C21" s="206" t="s">
        <v>735</v>
      </c>
      <c r="D21" s="139">
        <f>INDEX(Daten!$K$7:$R$430,MATCH(Steuerung_Eckwerte!B$3,Daten!$C$7:$C$430,0),MATCH(C21,Daten!$K$6:$R$6,0))</f>
        <v>261157669.91999999</v>
      </c>
      <c r="E21" s="140">
        <f t="shared" si="0"/>
        <v>0.45744970193357104</v>
      </c>
      <c r="F21" s="139">
        <f>INDEX(Daten!$S$7:$Z$430,MATCH(Steuerung_Eckwerte!B$3,Daten!$C$7:$C$430,0),MATCH(C21,Daten!$S$6:$Z$6,0))</f>
        <v>299792538.65999997</v>
      </c>
      <c r="G21" s="140">
        <f t="shared" si="1"/>
        <v>0.56995664716461136</v>
      </c>
      <c r="H21" s="139">
        <f>INDEX(Daten!$AA$7:$AH$429,MATCH(Steuerung_Eckwerte!B$3,Daten!$C$7:$C$429,0),MATCH(C21,Daten!$AA$6:$AH$6,0))</f>
        <v>-38634868.73999998</v>
      </c>
      <c r="I21" s="141">
        <f>IF(INDEX(Daten!$AI$7:$AP$429,MATCH(Steuerung_Eckwerte!B$3,Daten!$C$7:$C$429,0),MATCH(C21,Daten!$AI$6:$AP$6,0))="X","X",IF(OR(INDEX(Daten!$AI$7:$AP$429,MATCH(Steuerung_Eckwerte!B$3,Daten!$C$7:$C$429,0),MATCH(C21,Daten!$AI$6:$AP$6,0))&lt;(-250),INDEX(Daten!$AI$7:$AP$429,MATCH(Steuerung_Eckwerte!B$3,Daten!$C$7:$C$429,0),MATCH(C21,Daten!$AI$6:$AP$6,0))&gt;250),".X",INDEX(Daten!$AI$7:$AP$429,MATCH(Steuerung_Eckwerte!B$3,Daten!$C$7:$C$429,0),MATCH(C21,Daten!$AI$6:$AP$6,0))))</f>
        <v>-12.887201567019806</v>
      </c>
      <c r="K21" s="57"/>
      <c r="L21" s="55"/>
    </row>
    <row r="22" spans="1:12" ht="18" customHeight="1">
      <c r="A22" s="90" t="s">
        <v>958</v>
      </c>
      <c r="B22" s="91"/>
      <c r="C22" s="207" t="s">
        <v>736</v>
      </c>
      <c r="D22" s="142" t="str">
        <f>INDEX(Daten!$K$7:$R$430,MATCH(Steuerung_Eckwerte!B$3,Daten!$C$7:$C$430,0),MATCH(C22,Daten!$K$6:$R$6,0))</f>
        <v>X</v>
      </c>
      <c r="E22" s="143" t="s">
        <v>985</v>
      </c>
      <c r="F22" s="142" t="str">
        <f>INDEX(Daten!$S$7:$Z$430,MATCH(Steuerung_Eckwerte!B$3,Daten!$C$7:$C$430,0),MATCH(C22,Daten!$S$6:$Z$6,0))</f>
        <v>X</v>
      </c>
      <c r="G22" s="143" t="s">
        <v>985</v>
      </c>
      <c r="H22" s="142" t="str">
        <f>INDEX(Daten!$AA$7:$AH$429,MATCH(Steuerung_Eckwerte!B$3,Daten!$C$7:$C$429,0),MATCH(C22,Daten!$AA$6:$AH$6,0))</f>
        <v>X</v>
      </c>
      <c r="I22" s="144" t="str">
        <f>IF(INDEX(Daten!$AI$7:$AP$429,MATCH(Steuerung_Eckwerte!B$3,Daten!$C$7:$C$429,0),MATCH(C22,Daten!$AI$6:$AP$6,0))="X","X",IF(OR(INDEX(Daten!$AI$7:$AP$429,MATCH(Steuerung_Eckwerte!B$3,Daten!$C$7:$C$429,0),MATCH(C22,Daten!$AI$6:$AP$6,0))&lt;(-250),INDEX(Daten!$AI$7:$AP$429,MATCH(Steuerung_Eckwerte!B$3,Daten!$C$7:$C$429,0),MATCH(C22,Daten!$AI$6:$AP$6,0))&gt;250),".X",INDEX(Daten!$AI$7:$AP$429,MATCH(Steuerung_Eckwerte!B$3,Daten!$C$7:$C$429,0),MATCH(C22,Daten!$AI$6:$AP$6,0))))</f>
        <v>X</v>
      </c>
      <c r="K22" s="57"/>
    </row>
    <row r="23" spans="1:12" ht="11.25" customHeight="1">
      <c r="A23" s="20"/>
      <c r="I23" s="10" t="s">
        <v>0</v>
      </c>
    </row>
    <row r="24" spans="1:12" s="62" customFormat="1" ht="11.25" customHeight="1"/>
    <row r="25" spans="1:12" s="62" customFormat="1" ht="37.5" customHeight="1">
      <c r="A25" s="388" t="str">
        <f>Steuerung_Eckwerte!I10</f>
        <v>¹ Umfasst alle Eingliederungsleistungen nach § 16 ff. SGB II (ohne kommunale Eingliederungsleistungen gem. § 16a SGB II), die durch den Bund erstattungsfähig sind. Die Kosten für die Eignungsfeststellung nach § 16 SGB II in Verbindung mit § 32 SGB III können sowohl über das Verwaltungsbudget als auch als Eingliederungsleistung abgerechnet werden.</v>
      </c>
      <c r="B25" s="388"/>
      <c r="C25" s="388"/>
      <c r="D25" s="388"/>
      <c r="E25" s="388"/>
      <c r="F25" s="388"/>
      <c r="G25" s="388"/>
      <c r="H25" s="388"/>
      <c r="I25" s="388"/>
    </row>
    <row r="26" spans="1:12" ht="22.5" customHeight="1">
      <c r="A26" s="388" t="str">
        <f>Steuerung_Eckwerte!I11</f>
        <v>² Die Ausgaben für überörtliche Verwaltungsaufgaben der BA sowie für sonstige überörtlich wahrzunehmende Aufgaben der BA (z.B. SGB II-Statistik) und Sonderbedarfe (z.B. für Organisationsänderungen gemäß § 6a Absatz 7 SGB II und für die Umsetzung der Bundesprogramme) sind nicht enthalten.</v>
      </c>
      <c r="B26" s="388"/>
      <c r="C26" s="388"/>
      <c r="D26" s="388"/>
      <c r="E26" s="388"/>
      <c r="F26" s="388"/>
      <c r="G26" s="388"/>
      <c r="H26" s="388"/>
      <c r="I26" s="388"/>
    </row>
    <row r="27" spans="1:12" ht="11.25" customHeight="1">
      <c r="A27" s="388" t="str">
        <f>Steuerung_Eckwerte!I12</f>
        <v>³ Die Verwaltungsausgaben beinhalten nicht den kommunalen Finanzierungsanteil.</v>
      </c>
      <c r="B27" s="388"/>
      <c r="C27" s="388"/>
      <c r="D27" s="388"/>
      <c r="E27" s="388"/>
      <c r="F27" s="388"/>
      <c r="G27" s="388"/>
      <c r="H27" s="388"/>
      <c r="I27" s="388"/>
    </row>
    <row r="28" spans="1:12" ht="33.75" customHeight="1">
      <c r="A28" s="388" t="str">
        <f>Steuerung_Eckwerte!I13</f>
        <v>⁴ Für die Leistungen für Bildung und Teilhabe nach § 28 SGB II besteht noch keine vollständige Datenübermittlung. Aus diesem Grund werden die Ausgaben für Bildung und Teilhabe nur nachrichtlich für die einzelnen Jobcenter berichtet und fließen daher auch nicht in die Insgesamtsumme ein. Es werden keine Summen für Deutschland, Westdeutschland, Ostdeutschland und für die Bundesländer gebildet. Ein Vorjahresvergleich ist nur eingeschränkt möglich.</v>
      </c>
      <c r="B28" s="388"/>
      <c r="C28" s="388"/>
      <c r="D28" s="388"/>
      <c r="E28" s="388"/>
      <c r="F28" s="388"/>
      <c r="G28" s="388"/>
      <c r="H28" s="388"/>
      <c r="I28" s="388"/>
    </row>
    <row r="29" spans="1:12">
      <c r="A29" s="388" t="str">
        <f>Steuerung_Eckwerte!I14</f>
        <v>⁵ Aufgrund von Änderungen in der Regionalzuordnung von Gemeinden zu Jobcentern ist ein Vergleich mit dem Vorjahr nur eingeschränkt möglich.</v>
      </c>
      <c r="B29" s="388"/>
      <c r="C29" s="388"/>
      <c r="D29" s="388"/>
      <c r="E29" s="388"/>
      <c r="F29" s="388"/>
      <c r="G29" s="388"/>
      <c r="H29" s="388"/>
      <c r="I29" s="388"/>
    </row>
    <row r="30" spans="1:12" ht="11.25" customHeight="1">
      <c r="A30" s="388"/>
      <c r="B30" s="388"/>
      <c r="C30" s="388"/>
      <c r="D30" s="388"/>
      <c r="E30" s="388"/>
      <c r="F30" s="388"/>
      <c r="G30" s="388"/>
      <c r="H30" s="388"/>
      <c r="I30" s="388"/>
    </row>
    <row r="31" spans="1:12" ht="11.25" customHeight="1">
      <c r="A31" s="394"/>
      <c r="B31" s="394"/>
      <c r="C31" s="394"/>
      <c r="D31" s="394"/>
      <c r="E31" s="394"/>
      <c r="F31" s="394"/>
      <c r="G31" s="394"/>
      <c r="H31" s="394"/>
      <c r="I31" s="394"/>
    </row>
    <row r="32" spans="1:12" ht="11.25" customHeight="1">
      <c r="A32" s="394" t="str">
        <f>Steuerung_Eckwerte!I23</f>
        <v>⁶ Trägerfusion: Die Daten beziehen sich auf den Gebietsstand zum Dezember 2022. Die Daten für das Jahr 2021 wurden auf den neuen Gebietsstand umgerechnet.</v>
      </c>
      <c r="B32" s="394"/>
      <c r="C32" s="394"/>
      <c r="D32" s="394"/>
      <c r="E32" s="394"/>
      <c r="F32" s="394"/>
      <c r="G32" s="394"/>
      <c r="H32" s="394"/>
      <c r="I32" s="394"/>
    </row>
    <row r="33" spans="1:3" ht="11.25" customHeight="1"/>
    <row r="34" spans="1:3" s="63" customFormat="1" ht="15" customHeight="1">
      <c r="A34" s="61" t="s">
        <v>1008</v>
      </c>
      <c r="B34" s="61"/>
      <c r="C34" s="61"/>
    </row>
    <row r="35" spans="1:3" ht="11.25" customHeight="1">
      <c r="A35" s="73" t="str">
        <f>Steuerung_Eckwerte!C3</f>
        <v>Deutschland</v>
      </c>
      <c r="B35" s="73"/>
      <c r="C35" s="73"/>
    </row>
    <row r="36" spans="1:3" ht="11.25" customHeight="1">
      <c r="A36" s="390" t="str">
        <f>A5</f>
        <v>Jahressumme 2024</v>
      </c>
      <c r="B36" s="390"/>
      <c r="C36" s="72"/>
    </row>
  </sheetData>
  <sheetProtection formatRows="0"/>
  <mergeCells count="17">
    <mergeCell ref="A25:I25"/>
    <mergeCell ref="H3:I3"/>
    <mergeCell ref="A9:I9"/>
    <mergeCell ref="A8:I8"/>
    <mergeCell ref="A10:I10"/>
    <mergeCell ref="A36:B36"/>
    <mergeCell ref="D12:E12"/>
    <mergeCell ref="F12:G12"/>
    <mergeCell ref="A27:I27"/>
    <mergeCell ref="A28:I28"/>
    <mergeCell ref="A31:I31"/>
    <mergeCell ref="A32:I32"/>
    <mergeCell ref="A30:I30"/>
    <mergeCell ref="A29:I29"/>
    <mergeCell ref="A12:A14"/>
    <mergeCell ref="H12:I12"/>
    <mergeCell ref="A26:I26"/>
  </mergeCells>
  <hyperlinks>
    <hyperlink ref="H3:I3" location="Inhaltsverzeichnis!A1" tooltip="zurück zum Inhalt" display="zurück zum Inhalt" xr:uid="{00000000-0004-0000-0300-000000000000}"/>
  </hyperlinks>
  <printOptions horizontalCentered="1"/>
  <pageMargins left="0.51181102362204722" right="0.31496062992125984" top="0.74803149606299213" bottom="0.74803149606299213" header="0.31496062992125984" footer="0.31496062992125984"/>
  <pageSetup paperSize="9" scale="80" orientation="portrait" r:id="rId1"/>
  <ignoredErrors>
    <ignoredError sqref="F15:F21" formula="1"/>
    <ignoredError sqref="D12:E12 F12:G12"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anchor moveWithCells="1">
                  <from>
                    <xdr:col>5</xdr:col>
                    <xdr:colOff>762000</xdr:colOff>
                    <xdr:row>4</xdr:row>
                    <xdr:rowOff>57150</xdr:rowOff>
                  </from>
                  <to>
                    <xdr:col>8</xdr:col>
                    <xdr:colOff>771525</xdr:colOff>
                    <xdr:row>5</xdr:row>
                    <xdr:rowOff>85725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8"/>
  <dimension ref="A1:L443"/>
  <sheetViews>
    <sheetView showGridLines="0" zoomScaleNormal="100" workbookViewId="0">
      <pane ySplit="13" topLeftCell="A14" activePane="bottomLeft" state="frozen"/>
      <selection activeCell="B1" sqref="B1:D1048576"/>
      <selection pane="bottomLeft"/>
    </sheetView>
  </sheetViews>
  <sheetFormatPr baseColWidth="10" defaultColWidth="11.42578125" defaultRowHeight="12.75"/>
  <cols>
    <col min="1" max="1" width="29.42578125" style="2" customWidth="1"/>
    <col min="2" max="4" width="6.42578125" style="2" customWidth="1"/>
    <col min="5" max="11" width="12.85546875" style="2" customWidth="1"/>
    <col min="12" max="12" width="12.85546875" style="19" customWidth="1"/>
    <col min="13" max="16384" width="11.42578125" style="2"/>
  </cols>
  <sheetData>
    <row r="1" spans="1:12" s="1" customFormat="1" ht="33.75" customHeight="1">
      <c r="A1" s="79"/>
      <c r="B1" s="80"/>
      <c r="C1" s="80"/>
      <c r="D1" s="80"/>
      <c r="E1" s="80"/>
      <c r="F1" s="80"/>
      <c r="G1" s="80"/>
      <c r="H1" s="81"/>
      <c r="I1" s="81"/>
      <c r="J1" s="81"/>
      <c r="K1" s="81"/>
      <c r="L1" s="81" t="s">
        <v>678</v>
      </c>
    </row>
    <row r="2" spans="1:12" s="60" customFormat="1" ht="11.25" customHeight="1">
      <c r="H2" s="3"/>
      <c r="I2" s="3"/>
      <c r="J2" s="3"/>
      <c r="K2" s="3"/>
      <c r="L2" s="46"/>
    </row>
    <row r="3" spans="1:12" s="5" customFormat="1" ht="15" customHeight="1">
      <c r="A3" s="64" t="s">
        <v>977</v>
      </c>
      <c r="B3" s="65"/>
      <c r="C3" s="65"/>
      <c r="D3" s="65"/>
      <c r="E3" s="65"/>
      <c r="F3" s="65"/>
      <c r="G3" s="65"/>
      <c r="K3" s="400" t="s">
        <v>950</v>
      </c>
      <c r="L3" s="400"/>
    </row>
    <row r="4" spans="1:12" s="5" customFormat="1" ht="11.25" customHeight="1">
      <c r="A4" s="39" t="s">
        <v>1192</v>
      </c>
      <c r="L4" s="47"/>
    </row>
    <row r="5" spans="1:12" s="5" customFormat="1" ht="11.25" customHeight="1">
      <c r="A5" s="22" t="s">
        <v>1194</v>
      </c>
      <c r="L5" s="47"/>
    </row>
    <row r="6" spans="1:12" ht="11.25" customHeight="1">
      <c r="A6" s="21"/>
      <c r="B6" s="4"/>
      <c r="C6" s="4"/>
      <c r="D6" s="4"/>
    </row>
    <row r="7" spans="1:12" s="63" customFormat="1" ht="22.5" customHeight="1">
      <c r="A7" s="388" t="str">
        <f>Steuerung_Eckwerte!I6</f>
        <v>Mit Ausnahme der Ausgaben für Bildung und Teilhabe wurden die Informationen für Deutschland, Ost- und Westdeutschland sowie die Bundesländer um die unplausiblen bzw. nicht vorhandenen Daten einzelner Jobcenter hochgerechnet. Für unplausible bzw. unvollständige Datenlieferungen im Bereich Eingliederungsleistungen wird bereits auf Jobcenter-Ebene ein Schätzwert gebildet.</v>
      </c>
      <c r="B7" s="388"/>
      <c r="C7" s="388"/>
      <c r="D7" s="388"/>
      <c r="E7" s="388"/>
      <c r="F7" s="388"/>
      <c r="G7" s="388"/>
      <c r="H7" s="388"/>
      <c r="I7" s="388"/>
      <c r="J7" s="388"/>
      <c r="K7" s="388"/>
      <c r="L7" s="388"/>
    </row>
    <row r="8" spans="1:12" ht="22.5" customHeight="1">
      <c r="A8" s="388" t="str">
        <f>Steuerung_Eckwerte!I4</f>
        <v>Die Daten für Deutschland insgesamt beinhalten die Buchungen der Jobcenter zuzüglich der Buchungen der Regionaldirektionen, der besonderen Dienststellen und SGB III-Dienststellen (BA) auf Finanzpositionen des SGB II.</v>
      </c>
      <c r="B8" s="388"/>
      <c r="C8" s="388"/>
      <c r="D8" s="388"/>
      <c r="E8" s="388"/>
      <c r="F8" s="388"/>
      <c r="G8" s="388"/>
      <c r="H8" s="388"/>
      <c r="I8" s="388"/>
      <c r="J8" s="388"/>
      <c r="K8" s="388"/>
      <c r="L8" s="388"/>
    </row>
    <row r="9" spans="1:12" ht="22.5" customHeight="1">
      <c r="A9" s="388" t="str">
        <f>Steuerung_Eckwerte!I5</f>
        <v>Die Daten für Ost- und Westdeutschland sowie der Bundesländer beinhalten die Buchungen der Jobcenter zuzüglich der Buchungen der SGB III-Dienststellen (BA) auf Finanzpositionen des SGB II. Buchungen der besonderen Dienststellen sowie der Regionaldirektionen sind nicht enthalten.</v>
      </c>
      <c r="B9" s="388"/>
      <c r="C9" s="388"/>
      <c r="D9" s="388"/>
      <c r="E9" s="388"/>
      <c r="F9" s="388"/>
      <c r="G9" s="388"/>
      <c r="H9" s="388"/>
      <c r="I9" s="388"/>
      <c r="J9" s="388"/>
      <c r="K9" s="388"/>
      <c r="L9" s="388"/>
    </row>
    <row r="10" spans="1:12" ht="11.25" customHeight="1">
      <c r="H10" s="5"/>
      <c r="I10" s="5"/>
      <c r="J10" s="5"/>
      <c r="K10" s="5"/>
      <c r="L10" s="47"/>
    </row>
    <row r="11" spans="1:12" s="62" customFormat="1" ht="14.25" customHeight="1">
      <c r="A11" s="154"/>
      <c r="B11" s="147"/>
      <c r="C11" s="147"/>
      <c r="D11" s="147"/>
      <c r="E11" s="401" t="s">
        <v>739</v>
      </c>
      <c r="F11" s="395" t="s">
        <v>971</v>
      </c>
      <c r="G11" s="403"/>
      <c r="H11" s="403"/>
      <c r="I11" s="403"/>
      <c r="J11" s="403"/>
      <c r="K11" s="404"/>
      <c r="L11" s="404" t="s">
        <v>934</v>
      </c>
    </row>
    <row r="12" spans="1:12" ht="56.25" customHeight="1">
      <c r="A12" s="155" t="s">
        <v>1017</v>
      </c>
      <c r="B12" s="148" t="s">
        <v>732</v>
      </c>
      <c r="C12" s="148" t="s">
        <v>1018</v>
      </c>
      <c r="D12" s="148" t="s">
        <v>1019</v>
      </c>
      <c r="E12" s="402"/>
      <c r="F12" s="41" t="s">
        <v>1038</v>
      </c>
      <c r="G12" s="41" t="s">
        <v>955</v>
      </c>
      <c r="H12" s="40" t="s">
        <v>972</v>
      </c>
      <c r="I12" s="41" t="s">
        <v>973</v>
      </c>
      <c r="J12" s="41" t="s">
        <v>933</v>
      </c>
      <c r="K12" s="40" t="s">
        <v>886</v>
      </c>
      <c r="L12" s="405"/>
    </row>
    <row r="13" spans="1:12" ht="11.25" customHeight="1">
      <c r="A13" s="288"/>
      <c r="B13" s="289"/>
      <c r="C13" s="289"/>
      <c r="D13" s="289"/>
      <c r="E13" s="149">
        <v>1</v>
      </c>
      <c r="F13" s="150">
        <v>2</v>
      </c>
      <c r="G13" s="15">
        <v>3</v>
      </c>
      <c r="H13" s="150">
        <v>4</v>
      </c>
      <c r="I13" s="150">
        <v>5</v>
      </c>
      <c r="J13" s="150">
        <v>6</v>
      </c>
      <c r="K13" s="150">
        <v>7</v>
      </c>
      <c r="L13" s="15">
        <v>8</v>
      </c>
    </row>
    <row r="14" spans="1:12" ht="15" customHeight="1">
      <c r="A14" s="165" t="str">
        <f>Daten!C7</f>
        <v>Deutschland</v>
      </c>
      <c r="B14" s="210" t="str">
        <f>Daten!A7</f>
        <v>D</v>
      </c>
      <c r="C14" s="210" t="str">
        <f>Daten!F7</f>
        <v>D</v>
      </c>
      <c r="D14" s="211"/>
      <c r="E14" s="284">
        <f>INDEX(Daten!$R$7:$R$429,MATCH('2'!B14,Daten!$A$7:$A$429,0))</f>
        <v>57089920228.634064</v>
      </c>
      <c r="F14" s="174">
        <f>INDEX(Daten!$M$7:$M$429,MATCH('2'!B14,Daten!$A$7:$A$429,0))</f>
        <v>22057312989.938328</v>
      </c>
      <c r="G14" s="152">
        <f>INDEX(Daten!$N$7:$N$429,MATCH('2'!B14,Daten!$A$7:$A$429,0))</f>
        <v>17474337168.650002</v>
      </c>
      <c r="H14" s="152">
        <f>INDEX(Daten!$P$7:$P$429,MATCH('2'!B14,Daten!$A$7:$A$429,0))</f>
        <v>7165247667.5187511</v>
      </c>
      <c r="I14" s="152">
        <f>INDEX(Daten!$L$7:$L$429,MATCH('2'!B14,Daten!$A$7:$A$429,0))</f>
        <v>3683565207.0999999</v>
      </c>
      <c r="J14" s="152">
        <f>INDEX(Daten!$K$7:$K$429,MATCH('2'!B14,Daten!$A$7:$A$429,0))</f>
        <v>6448299525.5069923</v>
      </c>
      <c r="K14" s="152">
        <f>INDEX(Daten!$O$7:$O$429,MATCH('2'!B14,Daten!$A$7:$A$429,0))</f>
        <v>261157669.91999999</v>
      </c>
      <c r="L14" s="153" t="str">
        <f>INDEX(Daten!$Q$7:$Q$429,MATCH('2'!B14,Daten!$A$7:$A$429,0))</f>
        <v>X</v>
      </c>
    </row>
    <row r="15" spans="1:12" ht="15" customHeight="1">
      <c r="A15" s="165" t="str">
        <f>Daten!C8</f>
        <v>Westdeutschland</v>
      </c>
      <c r="B15" s="210" t="str">
        <f>Daten!A8</f>
        <v>W</v>
      </c>
      <c r="C15" s="210" t="str">
        <f>Daten!F8</f>
        <v>W</v>
      </c>
      <c r="D15" s="211"/>
      <c r="E15" s="285">
        <f>INDEX(Daten!$R$7:$R$429,MATCH('2'!B15,Daten!$A$7:$A$429,0))</f>
        <v>43926039746.839523</v>
      </c>
      <c r="F15" s="175">
        <f>INDEX(Daten!$M$7:$M$429,MATCH('2'!B15,Daten!$A$7:$A$429,0))</f>
        <v>16936316420.748341</v>
      </c>
      <c r="G15" s="135">
        <f>INDEX(Daten!$N$7:$N$429,MATCH('2'!B15,Daten!$A$7:$A$429,0))</f>
        <v>13642555792.640001</v>
      </c>
      <c r="H15" s="135">
        <f>INDEX(Daten!$P$7:$P$429,MATCH('2'!B15,Daten!$A$7:$A$429,0))</f>
        <v>5504213726.4987526</v>
      </c>
      <c r="I15" s="135">
        <f>INDEX(Daten!$L$7:$L$429,MATCH('2'!B15,Daten!$A$7:$A$429,0))</f>
        <v>2796983776.73</v>
      </c>
      <c r="J15" s="135">
        <f>INDEX(Daten!$K$7:$K$429,MATCH('2'!B15,Daten!$A$7:$A$429,0))</f>
        <v>4851426940.842432</v>
      </c>
      <c r="K15" s="135">
        <f>INDEX(Daten!$O$7:$O$429,MATCH('2'!B15,Daten!$A$7:$A$429,0))</f>
        <v>194543089.38</v>
      </c>
      <c r="L15" s="151" t="str">
        <f>INDEX(Daten!$Q$7:$Q$429,MATCH('2'!B15,Daten!$A$7:$A$429,0))</f>
        <v>X</v>
      </c>
    </row>
    <row r="16" spans="1:12" ht="15" customHeight="1">
      <c r="A16" s="165" t="str">
        <f>Daten!C9</f>
        <v>Ostdeutschland</v>
      </c>
      <c r="B16" s="210" t="str">
        <f>Daten!A9</f>
        <v>O</v>
      </c>
      <c r="C16" s="210" t="str">
        <f>Daten!F9</f>
        <v>O</v>
      </c>
      <c r="D16" s="211"/>
      <c r="E16" s="285">
        <f>INDEX(Daten!$R$7:$R$429,MATCH('2'!B16,Daten!$A$7:$A$429,0))</f>
        <v>13163631409.704561</v>
      </c>
      <c r="F16" s="175">
        <f>INDEX(Daten!$M$7:$M$429,MATCH('2'!B16,Daten!$A$7:$A$429,0))</f>
        <v>5120997093.0999994</v>
      </c>
      <c r="G16" s="135">
        <f>INDEX(Daten!$N$7:$N$429,MATCH('2'!B16,Daten!$A$7:$A$429,0))</f>
        <v>3831781376.0100002</v>
      </c>
      <c r="H16" s="135">
        <f>INDEX(Daten!$P$7:$P$429,MATCH('2'!B16,Daten!$A$7:$A$429,0))</f>
        <v>1660784345.02</v>
      </c>
      <c r="I16" s="135">
        <f>INDEX(Daten!$L$7:$L$429,MATCH('2'!B16,Daten!$A$7:$A$429,0))</f>
        <v>886581430.36999989</v>
      </c>
      <c r="J16" s="135">
        <f>INDEX(Daten!$K$7:$K$429,MATCH('2'!B16,Daten!$A$7:$A$429,0))</f>
        <v>1596872584.664561</v>
      </c>
      <c r="K16" s="135">
        <f>INDEX(Daten!$O$7:$O$429,MATCH('2'!B16,Daten!$A$7:$A$429,0))</f>
        <v>66614580.539999999</v>
      </c>
      <c r="L16" s="151" t="str">
        <f>INDEX(Daten!$Q$7:$Q$429,MATCH('2'!B16,Daten!$A$7:$A$429,0))</f>
        <v>X</v>
      </c>
    </row>
    <row r="17" spans="1:12" ht="15" customHeight="1">
      <c r="A17" s="171" t="str">
        <f>Daten!C10</f>
        <v>Schleswig-Holstein</v>
      </c>
      <c r="B17" s="208" t="str">
        <f>Daten!A10</f>
        <v>01</v>
      </c>
      <c r="C17" s="168" t="str">
        <f>Daten!F10</f>
        <v>01</v>
      </c>
      <c r="D17" s="209"/>
      <c r="E17" s="284">
        <f>INDEX(Daten!$R$7:$R$429,MATCH('2'!B17,Daten!$A$7:$A$429,0))</f>
        <v>1992956957.0400002</v>
      </c>
      <c r="F17" s="174">
        <f>INDEX(Daten!$M$7:$M$429,MATCH('2'!B17,Daten!$A$7:$A$429,0))</f>
        <v>758166575.24000001</v>
      </c>
      <c r="G17" s="152">
        <f>INDEX(Daten!$N$7:$N$429,MATCH('2'!B17,Daten!$A$7:$A$429,0))</f>
        <v>616698034.2900002</v>
      </c>
      <c r="H17" s="152">
        <f>INDEX(Daten!$P$7:$P$429,MATCH('2'!B17,Daten!$A$7:$A$429,0))</f>
        <v>254032157.31999999</v>
      </c>
      <c r="I17" s="152">
        <f>INDEX(Daten!$L$7:$L$429,MATCH('2'!B17,Daten!$A$7:$A$429,0))</f>
        <v>123170519.88000001</v>
      </c>
      <c r="J17" s="152">
        <f>INDEX(Daten!$K$7:$K$429,MATCH('2'!B17,Daten!$A$7:$A$429,0))</f>
        <v>233185877.04999998</v>
      </c>
      <c r="K17" s="152">
        <f>INDEX(Daten!$O$7:$O$429,MATCH('2'!B17,Daten!$A$7:$A$429,0))</f>
        <v>7703793.2600000007</v>
      </c>
      <c r="L17" s="153" t="str">
        <f>INDEX(Daten!$Q$7:$Q$429,MATCH('2'!B17,Daten!$A$7:$A$429,0))</f>
        <v>X</v>
      </c>
    </row>
    <row r="18" spans="1:12" ht="15" customHeight="1">
      <c r="A18" s="172" t="str">
        <f>Daten!C11</f>
        <v>Hamburg</v>
      </c>
      <c r="B18" s="210" t="str">
        <f>Daten!A11</f>
        <v>02</v>
      </c>
      <c r="C18" s="8" t="str">
        <f>Daten!F11</f>
        <v>02</v>
      </c>
      <c r="D18" s="211"/>
      <c r="E18" s="285">
        <f>INDEX(Daten!$R$7:$R$429,MATCH('2'!B18,Daten!$A$7:$A$429,0))</f>
        <v>2219453634.71</v>
      </c>
      <c r="F18" s="175">
        <f>INDEX(Daten!$M$7:$M$429,MATCH('2'!B18,Daten!$A$7:$A$429,0))</f>
        <v>760290788.40999985</v>
      </c>
      <c r="G18" s="135">
        <f>INDEX(Daten!$N$7:$N$429,MATCH('2'!B18,Daten!$A$7:$A$429,0))</f>
        <v>853949045.69000018</v>
      </c>
      <c r="H18" s="135">
        <f>INDEX(Daten!$P$7:$P$429,MATCH('2'!B18,Daten!$A$7:$A$429,0))</f>
        <v>246859974.53999999</v>
      </c>
      <c r="I18" s="135">
        <f>INDEX(Daten!$L$7:$L$429,MATCH('2'!B18,Daten!$A$7:$A$429,0))</f>
        <v>151944146.05999997</v>
      </c>
      <c r="J18" s="135">
        <f>INDEX(Daten!$K$7:$K$429,MATCH('2'!B18,Daten!$A$7:$A$429,0))</f>
        <v>198238934.85999998</v>
      </c>
      <c r="K18" s="135">
        <f>INDEX(Daten!$O$7:$O$429,MATCH('2'!B18,Daten!$A$7:$A$429,0))</f>
        <v>8170745.1500000004</v>
      </c>
      <c r="L18" s="151" t="str">
        <f>INDEX(Daten!$Q$7:$Q$429,MATCH('2'!B18,Daten!$A$7:$A$429,0))</f>
        <v>X</v>
      </c>
    </row>
    <row r="19" spans="1:12" ht="15" customHeight="1">
      <c r="A19" s="172" t="str">
        <f>Daten!C12</f>
        <v>Niedersachsen</v>
      </c>
      <c r="B19" s="210" t="str">
        <f>Daten!A12</f>
        <v>03</v>
      </c>
      <c r="C19" s="8" t="str">
        <f>Daten!F12</f>
        <v>03</v>
      </c>
      <c r="D19" s="211"/>
      <c r="E19" s="285">
        <f>INDEX(Daten!$R$7:$R$429,MATCH('2'!B19,Daten!$A$7:$A$429,0))</f>
        <v>5419736162.3683395</v>
      </c>
      <c r="F19" s="175">
        <f>INDEX(Daten!$M$7:$M$429,MATCH('2'!B19,Daten!$A$7:$A$429,0))</f>
        <v>2103907011.4383395</v>
      </c>
      <c r="G19" s="135">
        <f>INDEX(Daten!$N$7:$N$429,MATCH('2'!B19,Daten!$A$7:$A$429,0))</f>
        <v>1631125599.0100005</v>
      </c>
      <c r="H19" s="135">
        <f>INDEX(Daten!$P$7:$P$429,MATCH('2'!B19,Daten!$A$7:$A$429,0))</f>
        <v>689585104.87999988</v>
      </c>
      <c r="I19" s="135">
        <f>INDEX(Daten!$L$7:$L$429,MATCH('2'!B19,Daten!$A$7:$A$429,0))</f>
        <v>337591375.89999998</v>
      </c>
      <c r="J19" s="135">
        <f>INDEX(Daten!$K$7:$K$429,MATCH('2'!B19,Daten!$A$7:$A$429,0))</f>
        <v>635244311.49999988</v>
      </c>
      <c r="K19" s="135">
        <f>INDEX(Daten!$O$7:$O$429,MATCH('2'!B19,Daten!$A$7:$A$429,0))</f>
        <v>22282759.640000004</v>
      </c>
      <c r="L19" s="151" t="str">
        <f>INDEX(Daten!$Q$7:$Q$429,MATCH('2'!B19,Daten!$A$7:$A$429,0))</f>
        <v>X</v>
      </c>
    </row>
    <row r="20" spans="1:12" ht="15" customHeight="1">
      <c r="A20" s="172" t="str">
        <f>Daten!C13</f>
        <v>Bremen</v>
      </c>
      <c r="B20" s="210" t="str">
        <f>Daten!A13</f>
        <v>04</v>
      </c>
      <c r="C20" s="8" t="str">
        <f>Daten!F13</f>
        <v>04</v>
      </c>
      <c r="D20" s="211"/>
      <c r="E20" s="285">
        <f>INDEX(Daten!$R$7:$R$429,MATCH('2'!B20,Daten!$A$7:$A$429,0))</f>
        <v>1001757592.89</v>
      </c>
      <c r="F20" s="175">
        <f>INDEX(Daten!$M$7:$M$429,MATCH('2'!B20,Daten!$A$7:$A$429,0))</f>
        <v>386747131.84999996</v>
      </c>
      <c r="G20" s="135">
        <f>INDEX(Daten!$N$7:$N$429,MATCH('2'!B20,Daten!$A$7:$A$429,0))</f>
        <v>303003536.46999997</v>
      </c>
      <c r="H20" s="135">
        <f>INDEX(Daten!$P$7:$P$429,MATCH('2'!B20,Daten!$A$7:$A$429,0))</f>
        <v>122492990.04000001</v>
      </c>
      <c r="I20" s="135">
        <f>INDEX(Daten!$L$7:$L$429,MATCH('2'!B20,Daten!$A$7:$A$429,0))</f>
        <v>80920806.040000021</v>
      </c>
      <c r="J20" s="135">
        <f>INDEX(Daten!$K$7:$K$429,MATCH('2'!B20,Daten!$A$7:$A$429,0))</f>
        <v>103232597.87</v>
      </c>
      <c r="K20" s="135">
        <f>INDEX(Daten!$O$7:$O$429,MATCH('2'!B20,Daten!$A$7:$A$429,0))</f>
        <v>5360530.62</v>
      </c>
      <c r="L20" s="151" t="str">
        <f>INDEX(Daten!$Q$7:$Q$429,MATCH('2'!B20,Daten!$A$7:$A$429,0))</f>
        <v>X</v>
      </c>
    </row>
    <row r="21" spans="1:12" ht="15" customHeight="1">
      <c r="A21" s="172" t="str">
        <f>Daten!C14</f>
        <v>Nordrhein-Westfalen</v>
      </c>
      <c r="B21" s="210" t="str">
        <f>Daten!A14</f>
        <v>05</v>
      </c>
      <c r="C21" s="8" t="str">
        <f>Daten!F14</f>
        <v>05</v>
      </c>
      <c r="D21" s="211"/>
      <c r="E21" s="285">
        <f>INDEX(Daten!$R$7:$R$429,MATCH('2'!B21,Daten!$A$7:$A$429,0))</f>
        <v>16301383072.710001</v>
      </c>
      <c r="F21" s="175">
        <f>INDEX(Daten!$M$7:$M$429,MATCH('2'!B21,Daten!$A$7:$A$429,0))</f>
        <v>6389290012.3899994</v>
      </c>
      <c r="G21" s="135">
        <f>INDEX(Daten!$N$7:$N$429,MATCH('2'!B21,Daten!$A$7:$A$429,0))</f>
        <v>4883996743.5400009</v>
      </c>
      <c r="H21" s="135">
        <f>INDEX(Daten!$P$7:$P$429,MATCH('2'!B21,Daten!$A$7:$A$429,0))</f>
        <v>2031891607.5300004</v>
      </c>
      <c r="I21" s="135">
        <f>INDEX(Daten!$L$7:$L$429,MATCH('2'!B21,Daten!$A$7:$A$429,0))</f>
        <v>1172739057.77</v>
      </c>
      <c r="J21" s="135">
        <f>INDEX(Daten!$K$7:$K$429,MATCH('2'!B21,Daten!$A$7:$A$429,0))</f>
        <v>1752762244.0100002</v>
      </c>
      <c r="K21" s="135">
        <f>INDEX(Daten!$O$7:$O$429,MATCH('2'!B21,Daten!$A$7:$A$429,0))</f>
        <v>70703407.470000014</v>
      </c>
      <c r="L21" s="151" t="str">
        <f>INDEX(Daten!$Q$7:$Q$429,MATCH('2'!B21,Daten!$A$7:$A$429,0))</f>
        <v>X</v>
      </c>
    </row>
    <row r="22" spans="1:12" ht="15" customHeight="1">
      <c r="A22" s="172" t="str">
        <f>Daten!C15</f>
        <v>Hessen</v>
      </c>
      <c r="B22" s="210" t="str">
        <f>Daten!A15</f>
        <v>06</v>
      </c>
      <c r="C22" s="8" t="str">
        <f>Daten!F15</f>
        <v>06</v>
      </c>
      <c r="D22" s="211"/>
      <c r="E22" s="285">
        <f>INDEX(Daten!$R$7:$R$429,MATCH('2'!B22,Daten!$A$7:$A$429,0))</f>
        <v>4275893442.4287519</v>
      </c>
      <c r="F22" s="175">
        <f>INDEX(Daten!$M$7:$M$429,MATCH('2'!B22,Daten!$A$7:$A$429,0))</f>
        <v>1602947815.79</v>
      </c>
      <c r="G22" s="135">
        <f>INDEX(Daten!$N$7:$N$429,MATCH('2'!B22,Daten!$A$7:$A$429,0))</f>
        <v>1419614048.1400001</v>
      </c>
      <c r="H22" s="135">
        <f>INDEX(Daten!$P$7:$P$429,MATCH('2'!B22,Daten!$A$7:$A$429,0))</f>
        <v>527699348.9087525</v>
      </c>
      <c r="I22" s="135">
        <f>INDEX(Daten!$L$7:$L$429,MATCH('2'!B22,Daten!$A$7:$A$429,0))</f>
        <v>221691368.12</v>
      </c>
      <c r="J22" s="135">
        <f>INDEX(Daten!$K$7:$K$429,MATCH('2'!B22,Daten!$A$7:$A$429,0))</f>
        <v>481542238.26999998</v>
      </c>
      <c r="K22" s="135">
        <f>INDEX(Daten!$O$7:$O$429,MATCH('2'!B22,Daten!$A$7:$A$429,0))</f>
        <v>22398623.199999999</v>
      </c>
      <c r="L22" s="151" t="str">
        <f>INDEX(Daten!$Q$7:$Q$429,MATCH('2'!B22,Daten!$A$7:$A$429,0))</f>
        <v>X</v>
      </c>
    </row>
    <row r="23" spans="1:12" ht="15" customHeight="1">
      <c r="A23" s="172" t="str">
        <f>Daten!C16</f>
        <v>Rheinland-Pfalz</v>
      </c>
      <c r="B23" s="210" t="str">
        <f>Daten!A16</f>
        <v>07</v>
      </c>
      <c r="C23" s="8" t="str">
        <f>Daten!F16</f>
        <v>07</v>
      </c>
      <c r="D23" s="211"/>
      <c r="E23" s="285">
        <f>INDEX(Daten!$R$7:$R$429,MATCH('2'!B23,Daten!$A$7:$A$429,0))</f>
        <v>2214667994.7799997</v>
      </c>
      <c r="F23" s="175">
        <f>INDEX(Daten!$M$7:$M$429,MATCH('2'!B23,Daten!$A$7:$A$429,0))</f>
        <v>886609227.51000011</v>
      </c>
      <c r="G23" s="135">
        <f>INDEX(Daten!$N$7:$N$429,MATCH('2'!B23,Daten!$A$7:$A$429,0))</f>
        <v>649720714.8299998</v>
      </c>
      <c r="H23" s="135">
        <f>INDEX(Daten!$P$7:$P$429,MATCH('2'!B23,Daten!$A$7:$A$429,0))</f>
        <v>290251443.28999996</v>
      </c>
      <c r="I23" s="135">
        <f>INDEX(Daten!$L$7:$L$429,MATCH('2'!B23,Daten!$A$7:$A$429,0))</f>
        <v>123406318.30999999</v>
      </c>
      <c r="J23" s="135">
        <f>INDEX(Daten!$K$7:$K$429,MATCH('2'!B23,Daten!$A$7:$A$429,0))</f>
        <v>256585374.49000001</v>
      </c>
      <c r="K23" s="135">
        <f>INDEX(Daten!$O$7:$O$429,MATCH('2'!B23,Daten!$A$7:$A$429,0))</f>
        <v>8094916.3499999996</v>
      </c>
      <c r="L23" s="151" t="str">
        <f>INDEX(Daten!$Q$7:$Q$429,MATCH('2'!B23,Daten!$A$7:$A$429,0))</f>
        <v>X</v>
      </c>
    </row>
    <row r="24" spans="1:12" ht="15" customHeight="1">
      <c r="A24" s="172" t="str">
        <f>Daten!C17</f>
        <v>Baden-Württemberg</v>
      </c>
      <c r="B24" s="210" t="str">
        <f>Daten!A17</f>
        <v>08</v>
      </c>
      <c r="C24" s="8" t="str">
        <f>Daten!F17</f>
        <v>08</v>
      </c>
      <c r="D24" s="211"/>
      <c r="E24" s="285">
        <f>INDEX(Daten!$R$7:$R$429,MATCH('2'!B24,Daten!$A$7:$A$429,0))</f>
        <v>5083553473.3900003</v>
      </c>
      <c r="F24" s="175">
        <f>INDEX(Daten!$M$7:$M$429,MATCH('2'!B24,Daten!$A$7:$A$429,0))</f>
        <v>1939107827.0899997</v>
      </c>
      <c r="G24" s="135">
        <f>INDEX(Daten!$N$7:$N$429,MATCH('2'!B24,Daten!$A$7:$A$429,0))</f>
        <v>1644757589.3399999</v>
      </c>
      <c r="H24" s="135">
        <f>INDEX(Daten!$P$7:$P$429,MATCH('2'!B24,Daten!$A$7:$A$429,0))</f>
        <v>639902678.53999996</v>
      </c>
      <c r="I24" s="135">
        <f>INDEX(Daten!$L$7:$L$429,MATCH('2'!B24,Daten!$A$7:$A$429,0))</f>
        <v>293856620.56</v>
      </c>
      <c r="J24" s="135">
        <f>INDEX(Daten!$K$7:$K$429,MATCH('2'!B24,Daten!$A$7:$A$429,0))</f>
        <v>544081242.35000014</v>
      </c>
      <c r="K24" s="135">
        <f>INDEX(Daten!$O$7:$O$429,MATCH('2'!B24,Daten!$A$7:$A$429,0))</f>
        <v>21847515.510000002</v>
      </c>
      <c r="L24" s="151" t="str">
        <f>INDEX(Daten!$Q$7:$Q$429,MATCH('2'!B24,Daten!$A$7:$A$429,0))</f>
        <v>X</v>
      </c>
    </row>
    <row r="25" spans="1:12" ht="15" customHeight="1">
      <c r="A25" s="172" t="str">
        <f>Daten!C18</f>
        <v>Bayern</v>
      </c>
      <c r="B25" s="210" t="str">
        <f>Daten!A18</f>
        <v>09</v>
      </c>
      <c r="C25" s="8" t="str">
        <f>Daten!F18</f>
        <v>09</v>
      </c>
      <c r="D25" s="211"/>
      <c r="E25" s="285">
        <f>INDEX(Daten!$R$7:$R$429,MATCH('2'!B25,Daten!$A$7:$A$429,0))</f>
        <v>4574463953.5124311</v>
      </c>
      <c r="F25" s="175">
        <f>INDEX(Daten!$M$7:$M$429,MATCH('2'!B25,Daten!$A$7:$A$429,0))</f>
        <v>1775339925.21</v>
      </c>
      <c r="G25" s="135">
        <f>INDEX(Daten!$N$7:$N$429,MATCH('2'!B25,Daten!$A$7:$A$429,0))</f>
        <v>1393552921.9000003</v>
      </c>
      <c r="H25" s="135">
        <f>INDEX(Daten!$P$7:$P$429,MATCH('2'!B25,Daten!$A$7:$A$429,0))</f>
        <v>595089658.01999998</v>
      </c>
      <c r="I25" s="135">
        <f>INDEX(Daten!$L$7:$L$429,MATCH('2'!B25,Daten!$A$7:$A$429,0))</f>
        <v>234126200.86000001</v>
      </c>
      <c r="J25" s="135">
        <f>INDEX(Daten!$K$7:$K$429,MATCH('2'!B25,Daten!$A$7:$A$429,0))</f>
        <v>552034334.43243074</v>
      </c>
      <c r="K25" s="135">
        <f>INDEX(Daten!$O$7:$O$429,MATCH('2'!B25,Daten!$A$7:$A$429,0))</f>
        <v>24320913.089999996</v>
      </c>
      <c r="L25" s="151" t="str">
        <f>INDEX(Daten!$Q$7:$Q$429,MATCH('2'!B25,Daten!$A$7:$A$429,0))</f>
        <v>X</v>
      </c>
    </row>
    <row r="26" spans="1:12" ht="15" customHeight="1">
      <c r="A26" s="172" t="str">
        <f>Daten!C19</f>
        <v>Saarland</v>
      </c>
      <c r="B26" s="210" t="str">
        <f>Daten!A19</f>
        <v>10</v>
      </c>
      <c r="C26" s="8" t="str">
        <f>Daten!F19</f>
        <v>10</v>
      </c>
      <c r="D26" s="211"/>
      <c r="E26" s="285">
        <f>INDEX(Daten!$R$7:$R$429,MATCH('2'!B26,Daten!$A$7:$A$429,0))</f>
        <v>842173463.00999999</v>
      </c>
      <c r="F26" s="175">
        <f>INDEX(Daten!$M$7:$M$429,MATCH('2'!B26,Daten!$A$7:$A$429,0))</f>
        <v>333910105.81999993</v>
      </c>
      <c r="G26" s="135">
        <f>INDEX(Daten!$N$7:$N$429,MATCH('2'!B26,Daten!$A$7:$A$429,0))</f>
        <v>246137559.42999998</v>
      </c>
      <c r="H26" s="135">
        <f>INDEX(Daten!$P$7:$P$429,MATCH('2'!B26,Daten!$A$7:$A$429,0))</f>
        <v>106408763.43000002</v>
      </c>
      <c r="I26" s="135">
        <f>INDEX(Daten!$L$7:$L$429,MATCH('2'!B26,Daten!$A$7:$A$429,0))</f>
        <v>57537363.229999997</v>
      </c>
      <c r="J26" s="135">
        <f>INDEX(Daten!$K$7:$K$429,MATCH('2'!B26,Daten!$A$7:$A$429,0))</f>
        <v>94519786.00999999</v>
      </c>
      <c r="K26" s="135">
        <f>INDEX(Daten!$O$7:$O$429,MATCH('2'!B26,Daten!$A$7:$A$429,0))</f>
        <v>3659885.09</v>
      </c>
      <c r="L26" s="151" t="str">
        <f>INDEX(Daten!$Q$7:$Q$429,MATCH('2'!B26,Daten!$A$7:$A$429,0))</f>
        <v>X</v>
      </c>
    </row>
    <row r="27" spans="1:12" ht="15" customHeight="1">
      <c r="A27" s="172" t="str">
        <f>Daten!C20</f>
        <v>Berlin</v>
      </c>
      <c r="B27" s="210" t="str">
        <f>Daten!A20</f>
        <v>11</v>
      </c>
      <c r="C27" s="8" t="str">
        <f>Daten!F20</f>
        <v>11</v>
      </c>
      <c r="D27" s="211"/>
      <c r="E27" s="285">
        <f>INDEX(Daten!$R$7:$R$429,MATCH('2'!B27,Daten!$A$7:$A$429,0))</f>
        <v>5020285173.5799999</v>
      </c>
      <c r="F27" s="175">
        <f>INDEX(Daten!$M$7:$M$429,MATCH('2'!B27,Daten!$A$7:$A$429,0))</f>
        <v>1805872898.7300003</v>
      </c>
      <c r="G27" s="135">
        <f>INDEX(Daten!$N$7:$N$429,MATCH('2'!B27,Daten!$A$7:$A$429,0))</f>
        <v>1719663531.3400002</v>
      </c>
      <c r="H27" s="135">
        <f>INDEX(Daten!$P$7:$P$429,MATCH('2'!B27,Daten!$A$7:$A$429,0))</f>
        <v>596772374.67999995</v>
      </c>
      <c r="I27" s="135">
        <f>INDEX(Daten!$L$7:$L$429,MATCH('2'!B27,Daten!$A$7:$A$429,0))</f>
        <v>364868366.13</v>
      </c>
      <c r="J27" s="135">
        <f>INDEX(Daten!$K$7:$K$429,MATCH('2'!B27,Daten!$A$7:$A$429,0))</f>
        <v>511705184.43999994</v>
      </c>
      <c r="K27" s="135">
        <f>INDEX(Daten!$O$7:$O$429,MATCH('2'!B27,Daten!$A$7:$A$429,0))</f>
        <v>21402818.260000002</v>
      </c>
      <c r="L27" s="151" t="str">
        <f>INDEX(Daten!$Q$7:$Q$429,MATCH('2'!B27,Daten!$A$7:$A$429,0))</f>
        <v>X</v>
      </c>
    </row>
    <row r="28" spans="1:12" ht="15" customHeight="1">
      <c r="A28" s="172" t="str">
        <f>Daten!C21</f>
        <v>Brandenburg</v>
      </c>
      <c r="B28" s="210" t="str">
        <f>Daten!A21</f>
        <v>12</v>
      </c>
      <c r="C28" s="8" t="str">
        <f>Daten!F21</f>
        <v>12</v>
      </c>
      <c r="D28" s="211"/>
      <c r="E28" s="285">
        <f>INDEX(Daten!$R$7:$R$429,MATCH('2'!B28,Daten!$A$7:$A$429,0))</f>
        <v>1530764075.1039982</v>
      </c>
      <c r="F28" s="175">
        <f>INDEX(Daten!$M$7:$M$429,MATCH('2'!B28,Daten!$A$7:$A$429,0))</f>
        <v>611870867.28999996</v>
      </c>
      <c r="G28" s="135">
        <f>INDEX(Daten!$N$7:$N$429,MATCH('2'!B28,Daten!$A$7:$A$429,0))</f>
        <v>413749729.23000002</v>
      </c>
      <c r="H28" s="135">
        <f>INDEX(Daten!$P$7:$P$429,MATCH('2'!B28,Daten!$A$7:$A$429,0))</f>
        <v>197646591.88999999</v>
      </c>
      <c r="I28" s="135">
        <f>INDEX(Daten!$L$7:$L$429,MATCH('2'!B28,Daten!$A$7:$A$429,0))</f>
        <v>86908637.689999998</v>
      </c>
      <c r="J28" s="135">
        <f>INDEX(Daten!$K$7:$K$429,MATCH('2'!B28,Daten!$A$7:$A$429,0))</f>
        <v>213269020.37399802</v>
      </c>
      <c r="K28" s="135">
        <f>INDEX(Daten!$O$7:$O$429,MATCH('2'!B28,Daten!$A$7:$A$429,0))</f>
        <v>7319228.6299999999</v>
      </c>
      <c r="L28" s="151" t="str">
        <f>INDEX(Daten!$Q$7:$Q$429,MATCH('2'!B28,Daten!$A$7:$A$429,0))</f>
        <v>X</v>
      </c>
    </row>
    <row r="29" spans="1:12" ht="15" customHeight="1">
      <c r="A29" s="172" t="str">
        <f>Daten!C22</f>
        <v>Mecklenburg-Vorpommern</v>
      </c>
      <c r="B29" s="210" t="str">
        <f>Daten!A22</f>
        <v>13</v>
      </c>
      <c r="C29" s="8" t="str">
        <f>Daten!F22</f>
        <v>13</v>
      </c>
      <c r="D29" s="211"/>
      <c r="E29" s="285">
        <f>INDEX(Daten!$R$7:$R$429,MATCH('2'!B29,Daten!$A$7:$A$429,0))</f>
        <v>1142405259.3405631</v>
      </c>
      <c r="F29" s="175">
        <f>INDEX(Daten!$M$7:$M$429,MATCH('2'!B29,Daten!$A$7:$A$429,0))</f>
        <v>461335569.79999989</v>
      </c>
      <c r="G29" s="135">
        <f>INDEX(Daten!$N$7:$N$429,MATCH('2'!B29,Daten!$A$7:$A$429,0))</f>
        <v>294221157.61000007</v>
      </c>
      <c r="H29" s="135">
        <f>INDEX(Daten!$P$7:$P$429,MATCH('2'!B29,Daten!$A$7:$A$429,0))</f>
        <v>149555087.50999999</v>
      </c>
      <c r="I29" s="135">
        <f>INDEX(Daten!$L$7:$L$429,MATCH('2'!B29,Daten!$A$7:$A$429,0))</f>
        <v>74156199.159999996</v>
      </c>
      <c r="J29" s="135">
        <f>INDEX(Daten!$K$7:$K$429,MATCH('2'!B29,Daten!$A$7:$A$429,0))</f>
        <v>156023440.72056323</v>
      </c>
      <c r="K29" s="135">
        <f>INDEX(Daten!$O$7:$O$429,MATCH('2'!B29,Daten!$A$7:$A$429,0))</f>
        <v>7113804.54</v>
      </c>
      <c r="L29" s="151" t="str">
        <f>INDEX(Daten!$Q$7:$Q$429,MATCH('2'!B29,Daten!$A$7:$A$429,0))</f>
        <v>X</v>
      </c>
    </row>
    <row r="30" spans="1:12" ht="15" customHeight="1">
      <c r="A30" s="172" t="str">
        <f>Daten!C23</f>
        <v>Sachsen</v>
      </c>
      <c r="B30" s="210" t="str">
        <f>Daten!A23</f>
        <v>14</v>
      </c>
      <c r="C30" s="8" t="str">
        <f>Daten!F23</f>
        <v>14</v>
      </c>
      <c r="D30" s="211"/>
      <c r="E30" s="285">
        <f>INDEX(Daten!$R$7:$R$429,MATCH('2'!B30,Daten!$A$7:$A$429,0))</f>
        <v>2561760728.5899997</v>
      </c>
      <c r="F30" s="175">
        <f>INDEX(Daten!$M$7:$M$429,MATCH('2'!B30,Daten!$A$7:$A$429,0))</f>
        <v>1042679699.7099998</v>
      </c>
      <c r="G30" s="135">
        <f>INDEX(Daten!$N$7:$N$429,MATCH('2'!B30,Daten!$A$7:$A$429,0))</f>
        <v>676612575.45999992</v>
      </c>
      <c r="H30" s="135">
        <f>INDEX(Daten!$P$7:$P$429,MATCH('2'!B30,Daten!$A$7:$A$429,0))</f>
        <v>332628579.64000005</v>
      </c>
      <c r="I30" s="135">
        <f>INDEX(Daten!$L$7:$L$429,MATCH('2'!B30,Daten!$A$7:$A$429,0))</f>
        <v>172689038.81</v>
      </c>
      <c r="J30" s="135">
        <f>INDEX(Daten!$K$7:$K$429,MATCH('2'!B30,Daten!$A$7:$A$429,0))</f>
        <v>321057718.38999999</v>
      </c>
      <c r="K30" s="135">
        <f>INDEX(Daten!$O$7:$O$429,MATCH('2'!B30,Daten!$A$7:$A$429,0))</f>
        <v>16093116.579999998</v>
      </c>
      <c r="L30" s="151" t="str">
        <f>INDEX(Daten!$Q$7:$Q$429,MATCH('2'!B30,Daten!$A$7:$A$429,0))</f>
        <v>X</v>
      </c>
    </row>
    <row r="31" spans="1:12" ht="15" customHeight="1">
      <c r="A31" s="172" t="str">
        <f>Daten!C24</f>
        <v>Sachsen-Anhalt</v>
      </c>
      <c r="B31" s="210" t="str">
        <f>Daten!A24</f>
        <v>15</v>
      </c>
      <c r="C31" s="8" t="str">
        <f>Daten!F24</f>
        <v>15</v>
      </c>
      <c r="D31" s="211"/>
      <c r="E31" s="285">
        <f>INDEX(Daten!$R$7:$R$429,MATCH('2'!B31,Daten!$A$7:$A$429,0))</f>
        <v>1734015702.1700001</v>
      </c>
      <c r="F31" s="175">
        <f>INDEX(Daten!$M$7:$M$429,MATCH('2'!B31,Daten!$A$7:$A$429,0))</f>
        <v>711525282.11000013</v>
      </c>
      <c r="G31" s="135">
        <f>INDEX(Daten!$N$7:$N$429,MATCH('2'!B31,Daten!$A$7:$A$429,0))</f>
        <v>431737778.85999995</v>
      </c>
      <c r="H31" s="135">
        <f>INDEX(Daten!$P$7:$P$429,MATCH('2'!B31,Daten!$A$7:$A$429,0))</f>
        <v>226736781.01000002</v>
      </c>
      <c r="I31" s="135">
        <f>INDEX(Daten!$L$7:$L$429,MATCH('2'!B31,Daten!$A$7:$A$429,0))</f>
        <v>123753552.89999999</v>
      </c>
      <c r="J31" s="135">
        <f>INDEX(Daten!$K$7:$K$429,MATCH('2'!B31,Daten!$A$7:$A$429,0))</f>
        <v>232455296.51000002</v>
      </c>
      <c r="K31" s="135">
        <f>INDEX(Daten!$O$7:$O$429,MATCH('2'!B31,Daten!$A$7:$A$429,0))</f>
        <v>7807010.7799999993</v>
      </c>
      <c r="L31" s="151" t="str">
        <f>INDEX(Daten!$Q$7:$Q$429,MATCH('2'!B31,Daten!$A$7:$A$429,0))</f>
        <v>X</v>
      </c>
    </row>
    <row r="32" spans="1:12" ht="15" customHeight="1">
      <c r="A32" s="173" t="str">
        <f>Daten!C25</f>
        <v>Thüringen</v>
      </c>
      <c r="B32" s="212" t="str">
        <f>Daten!A25</f>
        <v>16</v>
      </c>
      <c r="C32" s="169" t="str">
        <f>Daten!F25</f>
        <v>16</v>
      </c>
      <c r="D32" s="213"/>
      <c r="E32" s="286">
        <f>INDEX(Daten!$R$7:$R$429,MATCH('2'!B32,Daten!$A$7:$A$429,0))</f>
        <v>1174400470.9200001</v>
      </c>
      <c r="F32" s="176">
        <f>INDEX(Daten!$M$7:$M$429,MATCH('2'!B32,Daten!$A$7:$A$429,0))</f>
        <v>487712775.4600001</v>
      </c>
      <c r="G32" s="166">
        <f>INDEX(Daten!$N$7:$N$429,MATCH('2'!B32,Daten!$A$7:$A$429,0))</f>
        <v>295796603.50999999</v>
      </c>
      <c r="H32" s="166">
        <f>INDEX(Daten!$P$7:$P$429,MATCH('2'!B32,Daten!$A$7:$A$429,0))</f>
        <v>157444930.28999999</v>
      </c>
      <c r="I32" s="166">
        <f>INDEX(Daten!$L$7:$L$429,MATCH('2'!B32,Daten!$A$7:$A$429,0))</f>
        <v>64205635.68</v>
      </c>
      <c r="J32" s="166">
        <f>INDEX(Daten!$K$7:$K$429,MATCH('2'!B32,Daten!$A$7:$A$429,0))</f>
        <v>162361924.23000002</v>
      </c>
      <c r="K32" s="166">
        <f>INDEX(Daten!$O$7:$O$429,MATCH('2'!B32,Daten!$A$7:$A$429,0))</f>
        <v>6878601.75</v>
      </c>
      <c r="L32" s="167" t="str">
        <f>INDEX(Daten!$Q$7:$Q$429,MATCH('2'!B32,Daten!$A$7:$A$429,0))</f>
        <v>X</v>
      </c>
    </row>
    <row r="33" spans="1:12" ht="15" customHeight="1">
      <c r="A33" s="172" t="str">
        <f>Daten!C26</f>
        <v>JC Vorpommern-Greifswald</v>
      </c>
      <c r="B33" s="214" t="str">
        <f>Daten!A26</f>
        <v>03002</v>
      </c>
      <c r="C33" s="172" t="str">
        <f>Daten!F26</f>
        <v>13</v>
      </c>
      <c r="D33" s="145" t="str">
        <f>Daten!E26</f>
        <v>IIId</v>
      </c>
      <c r="E33" s="282">
        <f>INDEX(Daten!$R$7:$R$429,MATCH('2'!B33,Daten!$A$7:$A$429,0))</f>
        <v>181606849.05999997</v>
      </c>
      <c r="F33" s="175">
        <f>INDEX(Daten!$M$7:$M$429,MATCH('2'!B33,Daten!$A$7:$A$429,0))</f>
        <v>73434908.329999983</v>
      </c>
      <c r="G33" s="135">
        <f>INDEX(Daten!$N$7:$N$429,MATCH('2'!B33,Daten!$A$7:$A$429,0))</f>
        <v>45391276.32</v>
      </c>
      <c r="H33" s="135">
        <f>INDEX(Daten!$P$7:$P$429,MATCH('2'!B33,Daten!$A$7:$A$429,0))</f>
        <v>23870982.699999999</v>
      </c>
      <c r="I33" s="135">
        <f>INDEX(Daten!$L$7:$L$429,MATCH('2'!B33,Daten!$A$7:$A$429,0))</f>
        <v>12585732.960000003</v>
      </c>
      <c r="J33" s="135">
        <f>INDEX(Daten!$K$7:$K$429,MATCH('2'!B33,Daten!$A$7:$A$429,0))</f>
        <v>25300147.539999995</v>
      </c>
      <c r="K33" s="135">
        <f>INDEX(Daten!$O$7:$O$429,MATCH('2'!B33,Daten!$A$7:$A$429,0))</f>
        <v>1023801.2100000001</v>
      </c>
      <c r="L33" s="151">
        <f>INDEX(Daten!$Q$7:$Q$429,MATCH('2'!B33,Daten!$A$7:$A$429,0))</f>
        <v>2276910.62</v>
      </c>
    </row>
    <row r="34" spans="1:12" ht="15" customHeight="1">
      <c r="A34" s="172" t="str">
        <f>Daten!C27</f>
        <v>JC Mecklenburgische Seenplatte Süd</v>
      </c>
      <c r="B34" s="214" t="str">
        <f>Daten!A27</f>
        <v>03102</v>
      </c>
      <c r="C34" s="172" t="str">
        <f>Daten!F27</f>
        <v>13</v>
      </c>
      <c r="D34" s="145" t="str">
        <f>Daten!E27</f>
        <v>IIId</v>
      </c>
      <c r="E34" s="282">
        <f>INDEX(Daten!$R$7:$R$429,MATCH('2'!B34,Daten!$A$7:$A$429,0))</f>
        <v>123043909.38000001</v>
      </c>
      <c r="F34" s="175">
        <f>INDEX(Daten!$M$7:$M$429,MATCH('2'!B34,Daten!$A$7:$A$429,0))</f>
        <v>50412561.280000001</v>
      </c>
      <c r="G34" s="135">
        <f>INDEX(Daten!$N$7:$N$429,MATCH('2'!B34,Daten!$A$7:$A$429,0))</f>
        <v>31117423.220000006</v>
      </c>
      <c r="H34" s="135">
        <f>INDEX(Daten!$P$7:$P$429,MATCH('2'!B34,Daten!$A$7:$A$429,0))</f>
        <v>16241827.139999999</v>
      </c>
      <c r="I34" s="135">
        <f>INDEX(Daten!$L$7:$L$429,MATCH('2'!B34,Daten!$A$7:$A$429,0))</f>
        <v>7073905.6300000008</v>
      </c>
      <c r="J34" s="135">
        <f>INDEX(Daten!$K$7:$K$429,MATCH('2'!B34,Daten!$A$7:$A$429,0))</f>
        <v>17339874.829999998</v>
      </c>
      <c r="K34" s="135">
        <f>INDEX(Daten!$O$7:$O$429,MATCH('2'!B34,Daten!$A$7:$A$429,0))</f>
        <v>858317.28</v>
      </c>
      <c r="L34" s="151">
        <f>INDEX(Daten!$Q$7:$Q$429,MATCH('2'!B34,Daten!$A$7:$A$429,0))</f>
        <v>1775195.9400000004</v>
      </c>
    </row>
    <row r="35" spans="1:12" ht="15" customHeight="1">
      <c r="A35" s="172" t="str">
        <f>Daten!C28</f>
        <v>JC Mecklenburgische Seenplatte Nord</v>
      </c>
      <c r="B35" s="214" t="str">
        <f>Daten!A28</f>
        <v>03122</v>
      </c>
      <c r="C35" s="172" t="str">
        <f>Daten!F28</f>
        <v>13</v>
      </c>
      <c r="D35" s="145" t="str">
        <f>Daten!E28</f>
        <v>IIId</v>
      </c>
      <c r="E35" s="282">
        <f>INDEX(Daten!$R$7:$R$429,MATCH('2'!B35,Daten!$A$7:$A$429,0))</f>
        <v>79598043.909999996</v>
      </c>
      <c r="F35" s="175">
        <f>INDEX(Daten!$M$7:$M$429,MATCH('2'!B35,Daten!$A$7:$A$429,0))</f>
        <v>32101051.66</v>
      </c>
      <c r="G35" s="135">
        <f>INDEX(Daten!$N$7:$N$429,MATCH('2'!B35,Daten!$A$7:$A$429,0))</f>
        <v>19767627.720000003</v>
      </c>
      <c r="H35" s="135">
        <f>INDEX(Daten!$P$7:$P$429,MATCH('2'!B35,Daten!$A$7:$A$429,0))</f>
        <v>10390223.57</v>
      </c>
      <c r="I35" s="135">
        <f>INDEX(Daten!$L$7:$L$429,MATCH('2'!B35,Daten!$A$7:$A$429,0))</f>
        <v>4007726.9699999997</v>
      </c>
      <c r="J35" s="135">
        <f>INDEX(Daten!$K$7:$K$429,MATCH('2'!B35,Daten!$A$7:$A$429,0))</f>
        <v>12866846.909999998</v>
      </c>
      <c r="K35" s="135">
        <f>INDEX(Daten!$O$7:$O$429,MATCH('2'!B35,Daten!$A$7:$A$429,0))</f>
        <v>464567.07999999996</v>
      </c>
      <c r="L35" s="151">
        <f>INDEX(Daten!$Q$7:$Q$429,MATCH('2'!B35,Daten!$A$7:$A$429,0))</f>
        <v>932499.98</v>
      </c>
    </row>
    <row r="36" spans="1:12" ht="15" customHeight="1">
      <c r="A36" s="172" t="str">
        <f>Daten!C29</f>
        <v>JC Rostock, Hansestadt</v>
      </c>
      <c r="B36" s="214" t="str">
        <f>Daten!A29</f>
        <v>03202</v>
      </c>
      <c r="C36" s="172" t="str">
        <f>Daten!F29</f>
        <v>13</v>
      </c>
      <c r="D36" s="145" t="str">
        <f>Daten!E29</f>
        <v>IIIe</v>
      </c>
      <c r="E36" s="282">
        <f>INDEX(Daten!$R$7:$R$429,MATCH('2'!B36,Daten!$A$7:$A$429,0))</f>
        <v>164613018.51999995</v>
      </c>
      <c r="F36" s="175">
        <f>INDEX(Daten!$M$7:$M$429,MATCH('2'!B36,Daten!$A$7:$A$429,0))</f>
        <v>64311827.140000001</v>
      </c>
      <c r="G36" s="135">
        <f>INDEX(Daten!$N$7:$N$429,MATCH('2'!B36,Daten!$A$7:$A$429,0))</f>
        <v>45230145.079999991</v>
      </c>
      <c r="H36" s="135">
        <f>INDEX(Daten!$P$7:$P$429,MATCH('2'!B36,Daten!$A$7:$A$429,0))</f>
        <v>21574233.419999998</v>
      </c>
      <c r="I36" s="135">
        <f>INDEX(Daten!$L$7:$L$429,MATCH('2'!B36,Daten!$A$7:$A$429,0))</f>
        <v>9931609.629999999</v>
      </c>
      <c r="J36" s="135">
        <f>INDEX(Daten!$K$7:$K$429,MATCH('2'!B36,Daten!$A$7:$A$429,0))</f>
        <v>22567061.049999997</v>
      </c>
      <c r="K36" s="135">
        <f>INDEX(Daten!$O$7:$O$429,MATCH('2'!B36,Daten!$A$7:$A$429,0))</f>
        <v>998142.20000000007</v>
      </c>
      <c r="L36" s="151">
        <f>INDEX(Daten!$Q$7:$Q$429,MATCH('2'!B36,Daten!$A$7:$A$429,0))</f>
        <v>768130.97999999986</v>
      </c>
    </row>
    <row r="37" spans="1:12" ht="15" customHeight="1">
      <c r="A37" s="172" t="str">
        <f>Daten!C30</f>
        <v>JC Landkreis Rostock</v>
      </c>
      <c r="B37" s="214" t="str">
        <f>Daten!A30</f>
        <v>03208</v>
      </c>
      <c r="C37" s="172" t="str">
        <f>Daten!F30</f>
        <v>13</v>
      </c>
      <c r="D37" s="145" t="str">
        <f>Daten!E30</f>
        <v>IIIa</v>
      </c>
      <c r="E37" s="282">
        <f>INDEX(Daten!$R$7:$R$429,MATCH('2'!B37,Daten!$A$7:$A$429,0))</f>
        <v>118882995.23999999</v>
      </c>
      <c r="F37" s="175">
        <f>INDEX(Daten!$M$7:$M$429,MATCH('2'!B37,Daten!$A$7:$A$429,0))</f>
        <v>48224426.949999996</v>
      </c>
      <c r="G37" s="135">
        <f>INDEX(Daten!$N$7:$N$429,MATCH('2'!B37,Daten!$A$7:$A$429,0))</f>
        <v>31607848.849999994</v>
      </c>
      <c r="H37" s="135">
        <f>INDEX(Daten!$P$7:$P$429,MATCH('2'!B37,Daten!$A$7:$A$429,0))</f>
        <v>15334952.030000001</v>
      </c>
      <c r="I37" s="135">
        <f>INDEX(Daten!$L$7:$L$429,MATCH('2'!B37,Daten!$A$7:$A$429,0))</f>
        <v>8058731.3400000008</v>
      </c>
      <c r="J37" s="135">
        <f>INDEX(Daten!$K$7:$K$429,MATCH('2'!B37,Daten!$A$7:$A$429,0))</f>
        <v>15117537.32</v>
      </c>
      <c r="K37" s="135">
        <f>INDEX(Daten!$O$7:$O$429,MATCH('2'!B37,Daten!$A$7:$A$429,0))</f>
        <v>539498.75</v>
      </c>
      <c r="L37" s="151">
        <f>INDEX(Daten!$Q$7:$Q$429,MATCH('2'!B37,Daten!$A$7:$A$429,0))</f>
        <v>1581754</v>
      </c>
    </row>
    <row r="38" spans="1:12" ht="15" customHeight="1">
      <c r="A38" s="172" t="str">
        <f>Daten!C31</f>
        <v>JC Schwerin, Landeshauptstadt</v>
      </c>
      <c r="B38" s="214" t="str">
        <f>Daten!A31</f>
        <v>03302</v>
      </c>
      <c r="C38" s="172" t="str">
        <f>Daten!F31</f>
        <v>13</v>
      </c>
      <c r="D38" s="145" t="str">
        <f>Daten!E31</f>
        <v>IIIe</v>
      </c>
      <c r="E38" s="282">
        <f>INDEX(Daten!$R$7:$R$429,MATCH('2'!B38,Daten!$A$7:$A$429,0))</f>
        <v>109921990.76000001</v>
      </c>
      <c r="F38" s="175">
        <f>INDEX(Daten!$M$7:$M$429,MATCH('2'!B38,Daten!$A$7:$A$429,0))</f>
        <v>44877131.720000014</v>
      </c>
      <c r="G38" s="135">
        <f>INDEX(Daten!$N$7:$N$429,MATCH('2'!B38,Daten!$A$7:$A$429,0))</f>
        <v>28679217.590000004</v>
      </c>
      <c r="H38" s="135">
        <f>INDEX(Daten!$P$7:$P$429,MATCH('2'!B38,Daten!$A$7:$A$429,0))</f>
        <v>14314467.129999999</v>
      </c>
      <c r="I38" s="135">
        <f>INDEX(Daten!$L$7:$L$429,MATCH('2'!B38,Daten!$A$7:$A$429,0))</f>
        <v>7746878.9000000004</v>
      </c>
      <c r="J38" s="135">
        <f>INDEX(Daten!$K$7:$K$429,MATCH('2'!B38,Daten!$A$7:$A$429,0))</f>
        <v>13145603.899999999</v>
      </c>
      <c r="K38" s="135">
        <f>INDEX(Daten!$O$7:$O$429,MATCH('2'!B38,Daten!$A$7:$A$429,0))</f>
        <v>1158691.5199999998</v>
      </c>
      <c r="L38" s="151">
        <f>INDEX(Daten!$Q$7:$Q$429,MATCH('2'!B38,Daten!$A$7:$A$429,0))</f>
        <v>1989494.8199999998</v>
      </c>
    </row>
    <row r="39" spans="1:12" ht="15" customHeight="1">
      <c r="A39" s="172" t="str">
        <f>Daten!C32</f>
        <v>JC Nordwestmecklenburg</v>
      </c>
      <c r="B39" s="214" t="str">
        <f>Daten!A32</f>
        <v>03304</v>
      </c>
      <c r="C39" s="172" t="str">
        <f>Daten!F32</f>
        <v>13</v>
      </c>
      <c r="D39" s="145" t="str">
        <f>Daten!E32</f>
        <v>IIIa</v>
      </c>
      <c r="E39" s="282">
        <f>INDEX(Daten!$R$7:$R$429,MATCH('2'!B39,Daten!$A$7:$A$429,0))</f>
        <v>89966540.820000008</v>
      </c>
      <c r="F39" s="175">
        <f>INDEX(Daten!$M$7:$M$429,MATCH('2'!B39,Daten!$A$7:$A$429,0))</f>
        <v>36695688.180000022</v>
      </c>
      <c r="G39" s="135">
        <f>INDEX(Daten!$N$7:$N$429,MATCH('2'!B39,Daten!$A$7:$A$429,0))</f>
        <v>22717095.509999998</v>
      </c>
      <c r="H39" s="135">
        <f>INDEX(Daten!$P$7:$P$429,MATCH('2'!B39,Daten!$A$7:$A$429,0))</f>
        <v>11957198.160000002</v>
      </c>
      <c r="I39" s="135">
        <f>INDEX(Daten!$L$7:$L$429,MATCH('2'!B39,Daten!$A$7:$A$429,0))</f>
        <v>5892383.4000000004</v>
      </c>
      <c r="J39" s="135">
        <f>INDEX(Daten!$K$7:$K$429,MATCH('2'!B39,Daten!$A$7:$A$429,0))</f>
        <v>12398500.050000001</v>
      </c>
      <c r="K39" s="135">
        <f>INDEX(Daten!$O$7:$O$429,MATCH('2'!B39,Daten!$A$7:$A$429,0))</f>
        <v>305675.52000000002</v>
      </c>
      <c r="L39" s="151">
        <f>INDEX(Daten!$Q$7:$Q$429,MATCH('2'!B39,Daten!$A$7:$A$429,0))</f>
        <v>407111.45</v>
      </c>
    </row>
    <row r="40" spans="1:12" ht="15" customHeight="1">
      <c r="A40" s="172" t="str">
        <f>Daten!C33</f>
        <v>JC Ludwigslust-Parchim</v>
      </c>
      <c r="B40" s="214" t="str">
        <f>Daten!A33</f>
        <v>03324</v>
      </c>
      <c r="C40" s="172" t="str">
        <f>Daten!F33</f>
        <v>13</v>
      </c>
      <c r="D40" s="145" t="str">
        <f>Daten!E33</f>
        <v>IIId</v>
      </c>
      <c r="E40" s="282">
        <f>INDEX(Daten!$R$7:$R$429,MATCH('2'!B40,Daten!$A$7:$A$429,0))</f>
        <v>109940898.02999999</v>
      </c>
      <c r="F40" s="175">
        <f>INDEX(Daten!$M$7:$M$429,MATCH('2'!B40,Daten!$A$7:$A$429,0))</f>
        <v>46079780.759999983</v>
      </c>
      <c r="G40" s="135">
        <f>INDEX(Daten!$N$7:$N$429,MATCH('2'!B40,Daten!$A$7:$A$429,0))</f>
        <v>26435416.280000005</v>
      </c>
      <c r="H40" s="135">
        <f>INDEX(Daten!$P$7:$P$429,MATCH('2'!B40,Daten!$A$7:$A$429,0))</f>
        <v>14356149.360000001</v>
      </c>
      <c r="I40" s="135">
        <f>INDEX(Daten!$L$7:$L$429,MATCH('2'!B40,Daten!$A$7:$A$429,0))</f>
        <v>7394498.3300000001</v>
      </c>
      <c r="J40" s="135">
        <f>INDEX(Daten!$K$7:$K$429,MATCH('2'!B40,Daten!$A$7:$A$429,0))</f>
        <v>14990419.319999998</v>
      </c>
      <c r="K40" s="135">
        <f>INDEX(Daten!$O$7:$O$429,MATCH('2'!B40,Daten!$A$7:$A$429,0))</f>
        <v>684633.9800000001</v>
      </c>
      <c r="L40" s="151">
        <f>INDEX(Daten!$Q$7:$Q$429,MATCH('2'!B40,Daten!$A$7:$A$429,0))</f>
        <v>1553636.52</v>
      </c>
    </row>
    <row r="41" spans="1:12" ht="15" customHeight="1">
      <c r="A41" s="172" t="str">
        <f>Daten!C34</f>
        <v>JC Vorpommern-Rügen</v>
      </c>
      <c r="B41" s="214" t="str">
        <f>Daten!A34</f>
        <v>03444</v>
      </c>
      <c r="C41" s="172" t="str">
        <f>Daten!F34</f>
        <v>13</v>
      </c>
      <c r="D41" s="145" t="str">
        <f>Daten!E34</f>
        <v>IIId</v>
      </c>
      <c r="E41" s="282" t="str">
        <f>INDEX(Daten!$R$7:$R$429,MATCH('2'!B41,Daten!$A$7:$A$429,0))</f>
        <v>.</v>
      </c>
      <c r="F41" s="175">
        <f>INDEX(Daten!$M$7:$M$429,MATCH('2'!B41,Daten!$A$7:$A$429,0))</f>
        <v>65200239</v>
      </c>
      <c r="G41" s="135">
        <f>INDEX(Daten!$N$7:$N$429,MATCH('2'!B41,Daten!$A$7:$A$429,0))</f>
        <v>43275418</v>
      </c>
      <c r="H41" s="135">
        <f>INDEX(Daten!$P$7:$P$429,MATCH('2'!B41,Daten!$A$7:$A$429,0))</f>
        <v>21515054</v>
      </c>
      <c r="I41" s="135">
        <f>INDEX(Daten!$L$7:$L$429,MATCH('2'!B41,Daten!$A$7:$A$429,0))</f>
        <v>11464732</v>
      </c>
      <c r="J41" s="135" t="str">
        <f>INDEX(Daten!$K$7:$K$429,MATCH('2'!B41,Daten!$A$7:$A$429,0))</f>
        <v>.</v>
      </c>
      <c r="K41" s="135">
        <f>INDEX(Daten!$O$7:$O$429,MATCH('2'!B41,Daten!$A$7:$A$429,0))</f>
        <v>1080477</v>
      </c>
      <c r="L41" s="151">
        <f>INDEX(Daten!$Q$7:$Q$429,MATCH('2'!B41,Daten!$A$7:$A$429,0))</f>
        <v>453355</v>
      </c>
    </row>
    <row r="42" spans="1:12" ht="15" customHeight="1">
      <c r="A42" s="172" t="str">
        <f>Daten!C35</f>
        <v>JC Cottbus, Stadt</v>
      </c>
      <c r="B42" s="214" t="str">
        <f>Daten!A35</f>
        <v>03502</v>
      </c>
      <c r="C42" s="172" t="str">
        <f>Daten!F35</f>
        <v>12</v>
      </c>
      <c r="D42" s="145" t="str">
        <f>Daten!E35</f>
        <v>IIIe</v>
      </c>
      <c r="E42" s="282">
        <f>INDEX(Daten!$R$7:$R$429,MATCH('2'!B42,Daten!$A$7:$A$429,0))</f>
        <v>97580839.420000032</v>
      </c>
      <c r="F42" s="175">
        <f>INDEX(Daten!$M$7:$M$429,MATCH('2'!B42,Daten!$A$7:$A$429,0))</f>
        <v>39389676.310000032</v>
      </c>
      <c r="G42" s="135">
        <f>INDEX(Daten!$N$7:$N$429,MATCH('2'!B42,Daten!$A$7:$A$429,0))</f>
        <v>25056525.229999997</v>
      </c>
      <c r="H42" s="135">
        <f>INDEX(Daten!$P$7:$P$429,MATCH('2'!B42,Daten!$A$7:$A$429,0))</f>
        <v>12814033.549999997</v>
      </c>
      <c r="I42" s="135">
        <f>INDEX(Daten!$L$7:$L$429,MATCH('2'!B42,Daten!$A$7:$A$429,0))</f>
        <v>6904215.2500000009</v>
      </c>
      <c r="J42" s="135">
        <f>INDEX(Daten!$K$7:$K$429,MATCH('2'!B42,Daten!$A$7:$A$429,0))</f>
        <v>12788881.520000001</v>
      </c>
      <c r="K42" s="135">
        <f>INDEX(Daten!$O$7:$O$429,MATCH('2'!B42,Daten!$A$7:$A$429,0))</f>
        <v>627507.55999999994</v>
      </c>
      <c r="L42" s="151">
        <f>INDEX(Daten!$Q$7:$Q$429,MATCH('2'!B42,Daten!$A$7:$A$429,0))</f>
        <v>2041326.83</v>
      </c>
    </row>
    <row r="43" spans="1:12" ht="15" customHeight="1">
      <c r="A43" s="172" t="str">
        <f>Daten!C36</f>
        <v>JC Elbe-Elster</v>
      </c>
      <c r="B43" s="214" t="str">
        <f>Daten!A36</f>
        <v>03504</v>
      </c>
      <c r="C43" s="172" t="str">
        <f>Daten!F36</f>
        <v>12</v>
      </c>
      <c r="D43" s="145" t="str">
        <f>Daten!E36</f>
        <v>IIId</v>
      </c>
      <c r="E43" s="282">
        <f>INDEX(Daten!$R$7:$R$429,MATCH('2'!B43,Daten!$A$7:$A$429,0))</f>
        <v>61148194.690000013</v>
      </c>
      <c r="F43" s="175">
        <f>INDEX(Daten!$M$7:$M$429,MATCH('2'!B43,Daten!$A$7:$A$429,0))</f>
        <v>24732204.480000008</v>
      </c>
      <c r="G43" s="135">
        <f>INDEX(Daten!$N$7:$N$429,MATCH('2'!B43,Daten!$A$7:$A$429,0))</f>
        <v>15742993.490000002</v>
      </c>
      <c r="H43" s="135">
        <f>INDEX(Daten!$P$7:$P$429,MATCH('2'!B43,Daten!$A$7:$A$429,0))</f>
        <v>7964689.5900000008</v>
      </c>
      <c r="I43" s="135">
        <f>INDEX(Daten!$L$7:$L$429,MATCH('2'!B43,Daten!$A$7:$A$429,0))</f>
        <v>3608379.67</v>
      </c>
      <c r="J43" s="135">
        <f>INDEX(Daten!$K$7:$K$429,MATCH('2'!B43,Daten!$A$7:$A$429,0))</f>
        <v>8779904.6899999995</v>
      </c>
      <c r="K43" s="135">
        <f>INDEX(Daten!$O$7:$O$429,MATCH('2'!B43,Daten!$A$7:$A$429,0))</f>
        <v>320022.77</v>
      </c>
      <c r="L43" s="151">
        <f>INDEX(Daten!$Q$7:$Q$429,MATCH('2'!B43,Daten!$A$7:$A$429,0))</f>
        <v>560948.77</v>
      </c>
    </row>
    <row r="44" spans="1:12" ht="15" customHeight="1">
      <c r="A44" s="172" t="str">
        <f>Daten!C37</f>
        <v>JC Oberspreewald-Lausitz</v>
      </c>
      <c r="B44" s="214" t="str">
        <f>Daten!A37</f>
        <v>03506</v>
      </c>
      <c r="C44" s="172" t="str">
        <f>Daten!F37</f>
        <v>12</v>
      </c>
      <c r="D44" s="145" t="str">
        <f>Daten!E37</f>
        <v>IIId</v>
      </c>
      <c r="E44" s="282">
        <f>INDEX(Daten!$R$7:$R$429,MATCH('2'!B44,Daten!$A$7:$A$429,0))</f>
        <v>75843103.079999998</v>
      </c>
      <c r="F44" s="175">
        <f>INDEX(Daten!$M$7:$M$429,MATCH('2'!B44,Daten!$A$7:$A$429,0))</f>
        <v>30504896.180000003</v>
      </c>
      <c r="G44" s="135">
        <f>INDEX(Daten!$N$7:$N$429,MATCH('2'!B44,Daten!$A$7:$A$429,0))</f>
        <v>19540023.93</v>
      </c>
      <c r="H44" s="135">
        <f>INDEX(Daten!$P$7:$P$429,MATCH('2'!B44,Daten!$A$7:$A$429,0))</f>
        <v>9912761.160000002</v>
      </c>
      <c r="I44" s="135">
        <f>INDEX(Daten!$L$7:$L$429,MATCH('2'!B44,Daten!$A$7:$A$429,0))</f>
        <v>4200927.2300000004</v>
      </c>
      <c r="J44" s="135">
        <f>INDEX(Daten!$K$7:$K$429,MATCH('2'!B44,Daten!$A$7:$A$429,0))</f>
        <v>11431408.029999999</v>
      </c>
      <c r="K44" s="135">
        <f>INDEX(Daten!$O$7:$O$429,MATCH('2'!B44,Daten!$A$7:$A$429,0))</f>
        <v>253086.55000000002</v>
      </c>
      <c r="L44" s="151">
        <f>INDEX(Daten!$Q$7:$Q$429,MATCH('2'!B44,Daten!$A$7:$A$429,0))</f>
        <v>749214.95</v>
      </c>
    </row>
    <row r="45" spans="1:12" ht="15" customHeight="1">
      <c r="A45" s="172" t="str">
        <f>Daten!C38</f>
        <v>JC Dahme-Spreewald</v>
      </c>
      <c r="B45" s="214" t="str">
        <f>Daten!A38</f>
        <v>03510</v>
      </c>
      <c r="C45" s="172" t="str">
        <f>Daten!F38</f>
        <v>12</v>
      </c>
      <c r="D45" s="145" t="str">
        <f>Daten!E38</f>
        <v>IIIe</v>
      </c>
      <c r="E45" s="282">
        <f>INDEX(Daten!$R$7:$R$429,MATCH('2'!B45,Daten!$A$7:$A$429,0))</f>
        <v>73746213.340000004</v>
      </c>
      <c r="F45" s="175">
        <f>INDEX(Daten!$M$7:$M$429,MATCH('2'!B45,Daten!$A$7:$A$429,0))</f>
        <v>28496915.509999998</v>
      </c>
      <c r="G45" s="135">
        <f>INDEX(Daten!$N$7:$N$429,MATCH('2'!B45,Daten!$A$7:$A$429,0))</f>
        <v>21550453.84</v>
      </c>
      <c r="H45" s="135">
        <f>INDEX(Daten!$P$7:$P$429,MATCH('2'!B45,Daten!$A$7:$A$429,0))</f>
        <v>9445266.4100000001</v>
      </c>
      <c r="I45" s="135">
        <f>INDEX(Daten!$L$7:$L$429,MATCH('2'!B45,Daten!$A$7:$A$429,0))</f>
        <v>3851995.1300000008</v>
      </c>
      <c r="J45" s="135">
        <f>INDEX(Daten!$K$7:$K$429,MATCH('2'!B45,Daten!$A$7:$A$429,0))</f>
        <v>10049014.609999999</v>
      </c>
      <c r="K45" s="135">
        <f>INDEX(Daten!$O$7:$O$429,MATCH('2'!B45,Daten!$A$7:$A$429,0))</f>
        <v>352567.83999999997</v>
      </c>
      <c r="L45" s="151">
        <f>INDEX(Daten!$Q$7:$Q$429,MATCH('2'!B45,Daten!$A$7:$A$429,0))</f>
        <v>927830.63</v>
      </c>
    </row>
    <row r="46" spans="1:12" ht="15" customHeight="1">
      <c r="A46" s="172" t="str">
        <f>Daten!C39</f>
        <v>JC Spree-Neiße</v>
      </c>
      <c r="B46" s="214" t="str">
        <f>Daten!A39</f>
        <v>03538</v>
      </c>
      <c r="C46" s="172" t="str">
        <f>Daten!F39</f>
        <v>12</v>
      </c>
      <c r="D46" s="145" t="str">
        <f>Daten!E39</f>
        <v>IIIa</v>
      </c>
      <c r="E46" s="282">
        <f>INDEX(Daten!$R$7:$R$429,MATCH('2'!B46,Daten!$A$7:$A$429,0))</f>
        <v>66413296</v>
      </c>
      <c r="F46" s="175">
        <f>INDEX(Daten!$M$7:$M$429,MATCH('2'!B46,Daten!$A$7:$A$429,0))</f>
        <v>27233724</v>
      </c>
      <c r="G46" s="135">
        <f>INDEX(Daten!$N$7:$N$429,MATCH('2'!B46,Daten!$A$7:$A$429,0))</f>
        <v>16555343</v>
      </c>
      <c r="H46" s="135">
        <f>INDEX(Daten!$P$7:$P$429,MATCH('2'!B46,Daten!$A$7:$A$429,0))</f>
        <v>8443353</v>
      </c>
      <c r="I46" s="135">
        <f>INDEX(Daten!$L$7:$L$429,MATCH('2'!B46,Daten!$A$7:$A$429,0))</f>
        <v>3747302</v>
      </c>
      <c r="J46" s="135">
        <f>INDEX(Daten!$K$7:$K$429,MATCH('2'!B46,Daten!$A$7:$A$429,0))</f>
        <v>10239195</v>
      </c>
      <c r="K46" s="135">
        <f>INDEX(Daten!$O$7:$O$429,MATCH('2'!B46,Daten!$A$7:$A$429,0))</f>
        <v>194379</v>
      </c>
      <c r="L46" s="151">
        <f>INDEX(Daten!$Q$7:$Q$429,MATCH('2'!B46,Daten!$A$7:$A$429,0))</f>
        <v>1360261</v>
      </c>
    </row>
    <row r="47" spans="1:12" ht="15" customHeight="1">
      <c r="A47" s="172" t="str">
        <f>Daten!C40</f>
        <v>JC Barnim</v>
      </c>
      <c r="B47" s="214" t="str">
        <f>Daten!A40</f>
        <v>03602</v>
      </c>
      <c r="C47" s="172" t="str">
        <f>Daten!F40</f>
        <v>12</v>
      </c>
      <c r="D47" s="145" t="str">
        <f>Daten!E40</f>
        <v>IIIa</v>
      </c>
      <c r="E47" s="282">
        <f>INDEX(Daten!$R$7:$R$429,MATCH('2'!B47,Daten!$A$7:$A$429,0))</f>
        <v>96772264.169999987</v>
      </c>
      <c r="F47" s="175">
        <f>INDEX(Daten!$M$7:$M$429,MATCH('2'!B47,Daten!$A$7:$A$429,0))</f>
        <v>39032062.779999979</v>
      </c>
      <c r="G47" s="135">
        <f>INDEX(Daten!$N$7:$N$429,MATCH('2'!B47,Daten!$A$7:$A$429,0))</f>
        <v>25879496.509999994</v>
      </c>
      <c r="H47" s="135">
        <f>INDEX(Daten!$P$7:$P$429,MATCH('2'!B47,Daten!$A$7:$A$429,0))</f>
        <v>12710486.510000004</v>
      </c>
      <c r="I47" s="135">
        <f>INDEX(Daten!$L$7:$L$429,MATCH('2'!B47,Daten!$A$7:$A$429,0))</f>
        <v>5500206.1000000006</v>
      </c>
      <c r="J47" s="135">
        <f>INDEX(Daten!$K$7:$K$429,MATCH('2'!B47,Daten!$A$7:$A$429,0))</f>
        <v>13377554.34</v>
      </c>
      <c r="K47" s="135">
        <f>INDEX(Daten!$O$7:$O$429,MATCH('2'!B47,Daten!$A$7:$A$429,0))</f>
        <v>272457.93</v>
      </c>
      <c r="L47" s="151">
        <f>INDEX(Daten!$Q$7:$Q$429,MATCH('2'!B47,Daten!$A$7:$A$429,0))</f>
        <v>961819.4600000002</v>
      </c>
    </row>
    <row r="48" spans="1:12" ht="15" customHeight="1">
      <c r="A48" s="172" t="str">
        <f>Daten!C41</f>
        <v>JC Uckermark</v>
      </c>
      <c r="B48" s="214" t="str">
        <f>Daten!A41</f>
        <v>03604</v>
      </c>
      <c r="C48" s="172" t="str">
        <f>Daten!F41</f>
        <v>12</v>
      </c>
      <c r="D48" s="145" t="str">
        <f>Daten!E41</f>
        <v>IIId</v>
      </c>
      <c r="E48" s="282">
        <f>INDEX(Daten!$R$7:$R$429,MATCH('2'!B48,Daten!$A$7:$A$429,0))</f>
        <v>120193256</v>
      </c>
      <c r="F48" s="175">
        <f>INDEX(Daten!$M$7:$M$429,MATCH('2'!B48,Daten!$A$7:$A$429,0))</f>
        <v>48170046</v>
      </c>
      <c r="G48" s="135">
        <f>INDEX(Daten!$N$7:$N$429,MATCH('2'!B48,Daten!$A$7:$A$429,0))</f>
        <v>31331952</v>
      </c>
      <c r="H48" s="135">
        <f>INDEX(Daten!$P$7:$P$429,MATCH('2'!B48,Daten!$A$7:$A$429,0))</f>
        <v>15512338</v>
      </c>
      <c r="I48" s="135">
        <f>INDEX(Daten!$L$7:$L$429,MATCH('2'!B48,Daten!$A$7:$A$429,0))</f>
        <v>9342258</v>
      </c>
      <c r="J48" s="135">
        <f>INDEX(Daten!$K$7:$K$429,MATCH('2'!B48,Daten!$A$7:$A$429,0))</f>
        <v>15260617</v>
      </c>
      <c r="K48" s="135">
        <f>INDEX(Daten!$O$7:$O$429,MATCH('2'!B48,Daten!$A$7:$A$429,0))</f>
        <v>576045</v>
      </c>
      <c r="L48" s="151">
        <f>INDEX(Daten!$Q$7:$Q$429,MATCH('2'!B48,Daten!$A$7:$A$429,0))</f>
        <v>1388454</v>
      </c>
    </row>
    <row r="49" spans="1:12" ht="15" customHeight="1">
      <c r="A49" s="172" t="str">
        <f>Daten!C42</f>
        <v>JC Frankfurt (Oder), Stadt</v>
      </c>
      <c r="B49" s="214" t="str">
        <f>Daten!A42</f>
        <v>03702</v>
      </c>
      <c r="C49" s="172" t="str">
        <f>Daten!F42</f>
        <v>12</v>
      </c>
      <c r="D49" s="145" t="str">
        <f>Daten!E42</f>
        <v>IIIe</v>
      </c>
      <c r="E49" s="282">
        <f>INDEX(Daten!$R$7:$R$429,MATCH('2'!B49,Daten!$A$7:$A$429,0))</f>
        <v>58276184.329999991</v>
      </c>
      <c r="F49" s="175">
        <f>INDEX(Daten!$M$7:$M$429,MATCH('2'!B49,Daten!$A$7:$A$429,0))</f>
        <v>22583274.959999993</v>
      </c>
      <c r="G49" s="135">
        <f>INDEX(Daten!$N$7:$N$429,MATCH('2'!B49,Daten!$A$7:$A$429,0))</f>
        <v>16157496.400000002</v>
      </c>
      <c r="H49" s="135">
        <f>INDEX(Daten!$P$7:$P$429,MATCH('2'!B49,Daten!$A$7:$A$429,0))</f>
        <v>7397098.540000001</v>
      </c>
      <c r="I49" s="135">
        <f>INDEX(Daten!$L$7:$L$429,MATCH('2'!B49,Daten!$A$7:$A$429,0))</f>
        <v>2976471.5000000005</v>
      </c>
      <c r="J49" s="135">
        <f>INDEX(Daten!$K$7:$K$429,MATCH('2'!B49,Daten!$A$7:$A$429,0))</f>
        <v>8600673.8200000003</v>
      </c>
      <c r="K49" s="135">
        <f>INDEX(Daten!$O$7:$O$429,MATCH('2'!B49,Daten!$A$7:$A$429,0))</f>
        <v>561169.11</v>
      </c>
      <c r="L49" s="151">
        <f>INDEX(Daten!$Q$7:$Q$429,MATCH('2'!B49,Daten!$A$7:$A$429,0))</f>
        <v>850844.63</v>
      </c>
    </row>
    <row r="50" spans="1:12" ht="15" customHeight="1">
      <c r="A50" s="172" t="str">
        <f>Daten!C43</f>
        <v>JC Oder-Spree</v>
      </c>
      <c r="B50" s="214" t="str">
        <f>Daten!A43</f>
        <v>03706</v>
      </c>
      <c r="C50" s="172" t="str">
        <f>Daten!F43</f>
        <v>12</v>
      </c>
      <c r="D50" s="145" t="str">
        <f>Daten!E43</f>
        <v>IIIa</v>
      </c>
      <c r="E50" s="282">
        <f>INDEX(Daten!$R$7:$R$429,MATCH('2'!B50,Daten!$A$7:$A$429,0))</f>
        <v>113663182</v>
      </c>
      <c r="F50" s="175">
        <f>INDEX(Daten!$M$7:$M$429,MATCH('2'!B50,Daten!$A$7:$A$429,0))</f>
        <v>47576138</v>
      </c>
      <c r="G50" s="135">
        <f>INDEX(Daten!$N$7:$N$429,MATCH('2'!B50,Daten!$A$7:$A$429,0))</f>
        <v>30409567</v>
      </c>
      <c r="H50" s="135">
        <f>INDEX(Daten!$P$7:$P$429,MATCH('2'!B50,Daten!$A$7:$A$429,0))</f>
        <v>14421004</v>
      </c>
      <c r="I50" s="135">
        <f>INDEX(Daten!$L$7:$L$429,MATCH('2'!B50,Daten!$A$7:$A$429,0))</f>
        <v>5511167</v>
      </c>
      <c r="J50" s="135">
        <f>INDEX(Daten!$K$7:$K$429,MATCH('2'!B50,Daten!$A$7:$A$429,0))</f>
        <v>15333119</v>
      </c>
      <c r="K50" s="135">
        <f>INDEX(Daten!$O$7:$O$429,MATCH('2'!B50,Daten!$A$7:$A$429,0))</f>
        <v>412187</v>
      </c>
      <c r="L50" s="151">
        <f>INDEX(Daten!$Q$7:$Q$429,MATCH('2'!B50,Daten!$A$7:$A$429,0))</f>
        <v>1620931</v>
      </c>
    </row>
    <row r="51" spans="1:12" ht="15" customHeight="1">
      <c r="A51" s="172" t="str">
        <f>Daten!C44</f>
        <v>JC Märkisch-Oderland</v>
      </c>
      <c r="B51" s="214" t="str">
        <f>Daten!A44</f>
        <v>03708</v>
      </c>
      <c r="C51" s="172" t="str">
        <f>Daten!F44</f>
        <v>12</v>
      </c>
      <c r="D51" s="145" t="str">
        <f>Daten!E44</f>
        <v>IIIa</v>
      </c>
      <c r="E51" s="282">
        <f>INDEX(Daten!$R$7:$R$429,MATCH('2'!B51,Daten!$A$7:$A$429,0))</f>
        <v>98786318.75</v>
      </c>
      <c r="F51" s="175">
        <f>INDEX(Daten!$M$7:$M$429,MATCH('2'!B51,Daten!$A$7:$A$429,0))</f>
        <v>40562850.759999998</v>
      </c>
      <c r="G51" s="135">
        <f>INDEX(Daten!$N$7:$N$429,MATCH('2'!B51,Daten!$A$7:$A$429,0))</f>
        <v>24748942.020000007</v>
      </c>
      <c r="H51" s="135">
        <f>INDEX(Daten!$P$7:$P$429,MATCH('2'!B51,Daten!$A$7:$A$429,0))</f>
        <v>13029528.489999998</v>
      </c>
      <c r="I51" s="135">
        <f>INDEX(Daten!$L$7:$L$429,MATCH('2'!B51,Daten!$A$7:$A$429,0))</f>
        <v>5471924.8199999994</v>
      </c>
      <c r="J51" s="135">
        <f>INDEX(Daten!$K$7:$K$429,MATCH('2'!B51,Daten!$A$7:$A$429,0))</f>
        <v>14433021.390000001</v>
      </c>
      <c r="K51" s="135">
        <f>INDEX(Daten!$O$7:$O$429,MATCH('2'!B51,Daten!$A$7:$A$429,0))</f>
        <v>540051.27</v>
      </c>
      <c r="L51" s="151">
        <f>INDEX(Daten!$Q$7:$Q$429,MATCH('2'!B51,Daten!$A$7:$A$429,0))</f>
        <v>1536435.85</v>
      </c>
    </row>
    <row r="52" spans="1:12" ht="15" customHeight="1">
      <c r="A52" s="172" t="str">
        <f>Daten!C45</f>
        <v>JC Ostprignitz-Ruppin</v>
      </c>
      <c r="B52" s="214" t="str">
        <f>Daten!A45</f>
        <v>03802</v>
      </c>
      <c r="C52" s="172" t="str">
        <f>Daten!F45</f>
        <v>12</v>
      </c>
      <c r="D52" s="145" t="str">
        <f>Daten!E45</f>
        <v>IIId</v>
      </c>
      <c r="E52" s="282">
        <f>INDEX(Daten!$R$7:$R$429,MATCH('2'!B52,Daten!$A$7:$A$429,0))</f>
        <v>64922303</v>
      </c>
      <c r="F52" s="175">
        <f>INDEX(Daten!$M$7:$M$429,MATCH('2'!B52,Daten!$A$7:$A$429,0))</f>
        <v>25958257</v>
      </c>
      <c r="G52" s="135">
        <f>INDEX(Daten!$N$7:$N$429,MATCH('2'!B52,Daten!$A$7:$A$429,0))</f>
        <v>16574508</v>
      </c>
      <c r="H52" s="135">
        <f>INDEX(Daten!$P$7:$P$429,MATCH('2'!B52,Daten!$A$7:$A$429,0))</f>
        <v>8406900</v>
      </c>
      <c r="I52" s="135">
        <f>INDEX(Daten!$L$7:$L$429,MATCH('2'!B52,Daten!$A$7:$A$429,0))</f>
        <v>3241152</v>
      </c>
      <c r="J52" s="135">
        <f>INDEX(Daten!$K$7:$K$429,MATCH('2'!B52,Daten!$A$7:$A$429,0))</f>
        <v>10510741</v>
      </c>
      <c r="K52" s="135">
        <f>INDEX(Daten!$O$7:$O$429,MATCH('2'!B52,Daten!$A$7:$A$429,0))</f>
        <v>230745</v>
      </c>
      <c r="L52" s="151">
        <f>INDEX(Daten!$Q$7:$Q$429,MATCH('2'!B52,Daten!$A$7:$A$429,0))</f>
        <v>746749</v>
      </c>
    </row>
    <row r="53" spans="1:12" ht="15" customHeight="1">
      <c r="A53" s="172" t="str">
        <f>Daten!C46</f>
        <v>JC Prignitz</v>
      </c>
      <c r="B53" s="214" t="str">
        <f>Daten!A46</f>
        <v>03804</v>
      </c>
      <c r="C53" s="172" t="str">
        <f>Daten!F46</f>
        <v>12</v>
      </c>
      <c r="D53" s="145" t="str">
        <f>Daten!E46</f>
        <v>IIId</v>
      </c>
      <c r="E53" s="282">
        <f>INDEX(Daten!$R$7:$R$429,MATCH('2'!B53,Daten!$A$7:$A$429,0))</f>
        <v>57563835.5</v>
      </c>
      <c r="F53" s="175">
        <f>INDEX(Daten!$M$7:$M$429,MATCH('2'!B53,Daten!$A$7:$A$429,0))</f>
        <v>23956022.82</v>
      </c>
      <c r="G53" s="135">
        <f>INDEX(Daten!$N$7:$N$429,MATCH('2'!B53,Daten!$A$7:$A$429,0))</f>
        <v>14482765.860000001</v>
      </c>
      <c r="H53" s="135">
        <f>INDEX(Daten!$P$7:$P$429,MATCH('2'!B53,Daten!$A$7:$A$429,0))</f>
        <v>7505671.8600000003</v>
      </c>
      <c r="I53" s="135">
        <f>INDEX(Daten!$L$7:$L$429,MATCH('2'!B53,Daten!$A$7:$A$429,0))</f>
        <v>3307498.69</v>
      </c>
      <c r="J53" s="135">
        <f>INDEX(Daten!$K$7:$K$429,MATCH('2'!B53,Daten!$A$7:$A$429,0))</f>
        <v>7814044.3200000003</v>
      </c>
      <c r="K53" s="135">
        <f>INDEX(Daten!$O$7:$O$429,MATCH('2'!B53,Daten!$A$7:$A$429,0))</f>
        <v>497831.94999999995</v>
      </c>
      <c r="L53" s="151">
        <f>INDEX(Daten!$Q$7:$Q$429,MATCH('2'!B53,Daten!$A$7:$A$429,0))</f>
        <v>626717.06999999995</v>
      </c>
    </row>
    <row r="54" spans="1:12" ht="15" customHeight="1">
      <c r="A54" s="172" t="str">
        <f>Daten!C47</f>
        <v>JC Oberhavel</v>
      </c>
      <c r="B54" s="214" t="str">
        <f>Daten!A47</f>
        <v>03806</v>
      </c>
      <c r="C54" s="172" t="str">
        <f>Daten!F47</f>
        <v>12</v>
      </c>
      <c r="D54" s="145" t="str">
        <f>Daten!E47</f>
        <v>IIIa</v>
      </c>
      <c r="E54" s="282" t="str">
        <f>INDEX(Daten!$R$7:$R$429,MATCH('2'!B54,Daten!$A$7:$A$429,0))</f>
        <v>.</v>
      </c>
      <c r="F54" s="175">
        <f>INDEX(Daten!$M$7:$M$429,MATCH('2'!B54,Daten!$A$7:$A$429,0))</f>
        <v>40102971</v>
      </c>
      <c r="G54" s="135">
        <f>INDEX(Daten!$N$7:$N$429,MATCH('2'!B54,Daten!$A$7:$A$429,0))</f>
        <v>27712658</v>
      </c>
      <c r="H54" s="135">
        <f>INDEX(Daten!$P$7:$P$429,MATCH('2'!B54,Daten!$A$7:$A$429,0))</f>
        <v>13403410</v>
      </c>
      <c r="I54" s="135">
        <f>INDEX(Daten!$L$7:$L$429,MATCH('2'!B54,Daten!$A$7:$A$429,0))</f>
        <v>6918539</v>
      </c>
      <c r="J54" s="135" t="str">
        <f>INDEX(Daten!$K$7:$K$429,MATCH('2'!B54,Daten!$A$7:$A$429,0))</f>
        <v>.</v>
      </c>
      <c r="K54" s="135">
        <f>INDEX(Daten!$O$7:$O$429,MATCH('2'!B54,Daten!$A$7:$A$429,0))</f>
        <v>414529</v>
      </c>
      <c r="L54" s="151">
        <f>INDEX(Daten!$Q$7:$Q$429,MATCH('2'!B54,Daten!$A$7:$A$429,0))</f>
        <v>1066068</v>
      </c>
    </row>
    <row r="55" spans="1:12" ht="15" customHeight="1">
      <c r="A55" s="172" t="str">
        <f>Daten!C48</f>
        <v>JC Havelland</v>
      </c>
      <c r="B55" s="214" t="str">
        <f>Daten!A48</f>
        <v>03846</v>
      </c>
      <c r="C55" s="172" t="str">
        <f>Daten!F48</f>
        <v>12</v>
      </c>
      <c r="D55" s="145" t="str">
        <f>Daten!E48</f>
        <v>IIIa</v>
      </c>
      <c r="E55" s="282">
        <f>INDEX(Daten!$R$7:$R$429,MATCH('2'!B55,Daten!$A$7:$A$429,0))</f>
        <v>90160951</v>
      </c>
      <c r="F55" s="175">
        <f>INDEX(Daten!$M$7:$M$429,MATCH('2'!B55,Daten!$A$7:$A$429,0))</f>
        <v>36759117</v>
      </c>
      <c r="G55" s="135">
        <f>INDEX(Daten!$N$7:$N$429,MATCH('2'!B55,Daten!$A$7:$A$429,0))</f>
        <v>26006744</v>
      </c>
      <c r="H55" s="135">
        <f>INDEX(Daten!$P$7:$P$429,MATCH('2'!B55,Daten!$A$7:$A$429,0))</f>
        <v>10864997</v>
      </c>
      <c r="I55" s="135">
        <f>INDEX(Daten!$L$7:$L$429,MATCH('2'!B55,Daten!$A$7:$A$429,0))</f>
        <v>3252531</v>
      </c>
      <c r="J55" s="135">
        <f>INDEX(Daten!$K$7:$K$429,MATCH('2'!B55,Daten!$A$7:$A$429,0))</f>
        <v>12885874</v>
      </c>
      <c r="K55" s="135">
        <f>INDEX(Daten!$O$7:$O$429,MATCH('2'!B55,Daten!$A$7:$A$429,0))</f>
        <v>391688</v>
      </c>
      <c r="L55" s="151">
        <f>INDEX(Daten!$Q$7:$Q$429,MATCH('2'!B55,Daten!$A$7:$A$429,0))</f>
        <v>1176911</v>
      </c>
    </row>
    <row r="56" spans="1:12" ht="15" customHeight="1">
      <c r="A56" s="172" t="str">
        <f>Daten!C49</f>
        <v>JC Brandenburg an der Havel, Stadt</v>
      </c>
      <c r="B56" s="214" t="str">
        <f>Daten!A49</f>
        <v>03902</v>
      </c>
      <c r="C56" s="172" t="str">
        <f>Daten!F49</f>
        <v>12</v>
      </c>
      <c r="D56" s="145" t="str">
        <f>Daten!E49</f>
        <v>IIIe</v>
      </c>
      <c r="E56" s="282">
        <f>INDEX(Daten!$R$7:$R$429,MATCH('2'!B56,Daten!$A$7:$A$429,0))</f>
        <v>75421130.730000019</v>
      </c>
      <c r="F56" s="175">
        <f>INDEX(Daten!$M$7:$M$429,MATCH('2'!B56,Daten!$A$7:$A$429,0))</f>
        <v>29471602.400000002</v>
      </c>
      <c r="G56" s="135">
        <f>INDEX(Daten!$N$7:$N$429,MATCH('2'!B56,Daten!$A$7:$A$429,0))</f>
        <v>21276353.34</v>
      </c>
      <c r="H56" s="135">
        <f>INDEX(Daten!$P$7:$P$429,MATCH('2'!B56,Daten!$A$7:$A$429,0))</f>
        <v>9645183.5600000024</v>
      </c>
      <c r="I56" s="135">
        <f>INDEX(Daten!$L$7:$L$429,MATCH('2'!B56,Daten!$A$7:$A$429,0))</f>
        <v>3965072.1399999997</v>
      </c>
      <c r="J56" s="135">
        <f>INDEX(Daten!$K$7:$K$429,MATCH('2'!B56,Daten!$A$7:$A$429,0))</f>
        <v>10635574.75</v>
      </c>
      <c r="K56" s="135">
        <f>INDEX(Daten!$O$7:$O$429,MATCH('2'!B56,Daten!$A$7:$A$429,0))</f>
        <v>427344.54</v>
      </c>
      <c r="L56" s="151">
        <f>INDEX(Daten!$Q$7:$Q$429,MATCH('2'!B56,Daten!$A$7:$A$429,0))</f>
        <v>937423.46</v>
      </c>
    </row>
    <row r="57" spans="1:12" ht="15" customHeight="1">
      <c r="A57" s="172" t="str">
        <f>Daten!C50</f>
        <v>JC Potsdam, Stadt</v>
      </c>
      <c r="B57" s="214" t="str">
        <f>Daten!A50</f>
        <v>03904</v>
      </c>
      <c r="C57" s="172" t="str">
        <f>Daten!F50</f>
        <v>12</v>
      </c>
      <c r="D57" s="145" t="str">
        <f>Daten!E50</f>
        <v>IIIe</v>
      </c>
      <c r="E57" s="282">
        <f>INDEX(Daten!$R$7:$R$429,MATCH('2'!B57,Daten!$A$7:$A$429,0))</f>
        <v>126427809.74000002</v>
      </c>
      <c r="F57" s="175">
        <f>INDEX(Daten!$M$7:$M$429,MATCH('2'!B57,Daten!$A$7:$A$429,0))</f>
        <v>48718576.660000004</v>
      </c>
      <c r="G57" s="135">
        <f>INDEX(Daten!$N$7:$N$429,MATCH('2'!B57,Daten!$A$7:$A$429,0))</f>
        <v>37416995.009999998</v>
      </c>
      <c r="H57" s="135">
        <f>INDEX(Daten!$P$7:$P$429,MATCH('2'!B57,Daten!$A$7:$A$429,0))</f>
        <v>16157019.15</v>
      </c>
      <c r="I57" s="135">
        <f>INDEX(Daten!$L$7:$L$429,MATCH('2'!B57,Daten!$A$7:$A$429,0))</f>
        <v>8028251.3100000005</v>
      </c>
      <c r="J57" s="135">
        <f>INDEX(Daten!$K$7:$K$429,MATCH('2'!B57,Daten!$A$7:$A$429,0))</f>
        <v>15513270.569999998</v>
      </c>
      <c r="K57" s="135">
        <f>INDEX(Daten!$O$7:$O$429,MATCH('2'!B57,Daten!$A$7:$A$429,0))</f>
        <v>593697.03999999992</v>
      </c>
      <c r="L57" s="151">
        <f>INDEX(Daten!$Q$7:$Q$429,MATCH('2'!B57,Daten!$A$7:$A$429,0))</f>
        <v>1461806.09</v>
      </c>
    </row>
    <row r="58" spans="1:12" ht="15" customHeight="1">
      <c r="A58" s="172" t="str">
        <f>Daten!C51</f>
        <v>JC Teltow-Fläming</v>
      </c>
      <c r="B58" s="214" t="str">
        <f>Daten!A51</f>
        <v>03908</v>
      </c>
      <c r="C58" s="172" t="str">
        <f>Daten!F51</f>
        <v>12</v>
      </c>
      <c r="D58" s="145" t="str">
        <f>Daten!E51</f>
        <v>IIIa</v>
      </c>
      <c r="E58" s="282">
        <f>INDEX(Daten!$R$7:$R$429,MATCH('2'!B58,Daten!$A$7:$A$429,0))</f>
        <v>80690074.839999989</v>
      </c>
      <c r="F58" s="175">
        <f>INDEX(Daten!$M$7:$M$429,MATCH('2'!B58,Daten!$A$7:$A$429,0))</f>
        <v>31779221.91</v>
      </c>
      <c r="G58" s="135">
        <f>INDEX(Daten!$N$7:$N$429,MATCH('2'!B58,Daten!$A$7:$A$429,0))</f>
        <v>22878851.600000001</v>
      </c>
      <c r="H58" s="135">
        <f>INDEX(Daten!$P$7:$P$429,MATCH('2'!B58,Daten!$A$7:$A$429,0))</f>
        <v>10357958.909999998</v>
      </c>
      <c r="I58" s="135">
        <f>INDEX(Daten!$L$7:$L$429,MATCH('2'!B58,Daten!$A$7:$A$429,0))</f>
        <v>3887980.85</v>
      </c>
      <c r="J58" s="135">
        <f>INDEX(Daten!$K$7:$K$429,MATCH('2'!B58,Daten!$A$7:$A$429,0))</f>
        <v>11362768.5</v>
      </c>
      <c r="K58" s="135">
        <f>INDEX(Daten!$O$7:$O$429,MATCH('2'!B58,Daten!$A$7:$A$429,0))</f>
        <v>423293.07</v>
      </c>
      <c r="L58" s="151">
        <f>INDEX(Daten!$Q$7:$Q$429,MATCH('2'!B58,Daten!$A$7:$A$429,0))</f>
        <v>719759.13</v>
      </c>
    </row>
    <row r="59" spans="1:12" ht="15" customHeight="1">
      <c r="A59" s="172" t="str">
        <f>Daten!C52</f>
        <v>JC Potsdam-Mittelmark</v>
      </c>
      <c r="B59" s="214" t="str">
        <f>Daten!A52</f>
        <v>03942</v>
      </c>
      <c r="C59" s="172" t="str">
        <f>Daten!F52</f>
        <v>12</v>
      </c>
      <c r="D59" s="145" t="str">
        <f>Daten!E52</f>
        <v>IIIa</v>
      </c>
      <c r="E59" s="282">
        <f>INDEX(Daten!$R$7:$R$429,MATCH('2'!B59,Daten!$A$7:$A$429,0))</f>
        <v>70577388</v>
      </c>
      <c r="F59" s="175">
        <f>INDEX(Daten!$M$7:$M$429,MATCH('2'!B59,Daten!$A$7:$A$429,0))</f>
        <v>26847119</v>
      </c>
      <c r="G59" s="135">
        <f>INDEX(Daten!$N$7:$N$429,MATCH('2'!B59,Daten!$A$7:$A$429,0))</f>
        <v>20428060</v>
      </c>
      <c r="H59" s="135">
        <f>INDEX(Daten!$P$7:$P$429,MATCH('2'!B59,Daten!$A$7:$A$429,0))</f>
        <v>9654961</v>
      </c>
      <c r="I59" s="135">
        <f>INDEX(Daten!$L$7:$L$429,MATCH('2'!B59,Daten!$A$7:$A$429,0))</f>
        <v>3192766</v>
      </c>
      <c r="J59" s="135">
        <f>INDEX(Daten!$K$7:$K$429,MATCH('2'!B59,Daten!$A$7:$A$429,0))</f>
        <v>10223856</v>
      </c>
      <c r="K59" s="135">
        <f>INDEX(Daten!$O$7:$O$429,MATCH('2'!B59,Daten!$A$7:$A$429,0))</f>
        <v>230626</v>
      </c>
      <c r="L59" s="151">
        <f>INDEX(Daten!$Q$7:$Q$429,MATCH('2'!B59,Daten!$A$7:$A$429,0))</f>
        <v>815616</v>
      </c>
    </row>
    <row r="60" spans="1:12" ht="15" customHeight="1">
      <c r="A60" s="172" t="str">
        <f>Daten!C53</f>
        <v>JC Dessau-Roßlau</v>
      </c>
      <c r="B60" s="214" t="str">
        <f>Daten!A53</f>
        <v>04202</v>
      </c>
      <c r="C60" s="172" t="str">
        <f>Daten!F53</f>
        <v>15</v>
      </c>
      <c r="D60" s="145" t="str">
        <f>Daten!E53</f>
        <v>IIId</v>
      </c>
      <c r="E60" s="282">
        <f>INDEX(Daten!$R$7:$R$429,MATCH('2'!B60,Daten!$A$7:$A$429,0))</f>
        <v>74220143.790000007</v>
      </c>
      <c r="F60" s="175">
        <f>INDEX(Daten!$M$7:$M$429,MATCH('2'!B60,Daten!$A$7:$A$429,0))</f>
        <v>29814802.649999999</v>
      </c>
      <c r="G60" s="135">
        <f>INDEX(Daten!$N$7:$N$429,MATCH('2'!B60,Daten!$A$7:$A$429,0))</f>
        <v>19799967.880000006</v>
      </c>
      <c r="H60" s="135">
        <f>INDEX(Daten!$P$7:$P$429,MATCH('2'!B60,Daten!$A$7:$A$429,0))</f>
        <v>9500567.3599999994</v>
      </c>
      <c r="I60" s="135">
        <f>INDEX(Daten!$L$7:$L$429,MATCH('2'!B60,Daten!$A$7:$A$429,0))</f>
        <v>4942752.82</v>
      </c>
      <c r="J60" s="135">
        <f>INDEX(Daten!$K$7:$K$429,MATCH('2'!B60,Daten!$A$7:$A$429,0))</f>
        <v>9608696.8300000001</v>
      </c>
      <c r="K60" s="135">
        <f>INDEX(Daten!$O$7:$O$429,MATCH('2'!B60,Daten!$A$7:$A$429,0))</f>
        <v>553356.25</v>
      </c>
      <c r="L60" s="151">
        <f>INDEX(Daten!$Q$7:$Q$429,MATCH('2'!B60,Daten!$A$7:$A$429,0))</f>
        <v>995885.21000000008</v>
      </c>
    </row>
    <row r="61" spans="1:12" ht="15" customHeight="1">
      <c r="A61" s="172" t="str">
        <f>Daten!C54</f>
        <v>JC Anhalt-Bitterfeld</v>
      </c>
      <c r="B61" s="214" t="str">
        <f>Daten!A54</f>
        <v>04208</v>
      </c>
      <c r="C61" s="172" t="str">
        <f>Daten!F54</f>
        <v>15</v>
      </c>
      <c r="D61" s="145" t="str">
        <f>Daten!E54</f>
        <v>IIId</v>
      </c>
      <c r="E61" s="282">
        <f>INDEX(Daten!$R$7:$R$429,MATCH('2'!B61,Daten!$A$7:$A$429,0))</f>
        <v>117969835</v>
      </c>
      <c r="F61" s="175">
        <f>INDEX(Daten!$M$7:$M$429,MATCH('2'!B61,Daten!$A$7:$A$429,0))</f>
        <v>48122384</v>
      </c>
      <c r="G61" s="135">
        <f>INDEX(Daten!$N$7:$N$429,MATCH('2'!B61,Daten!$A$7:$A$429,0))</f>
        <v>28672016</v>
      </c>
      <c r="H61" s="135">
        <f>INDEX(Daten!$P$7:$P$429,MATCH('2'!B61,Daten!$A$7:$A$429,0))</f>
        <v>15354705</v>
      </c>
      <c r="I61" s="135">
        <f>INDEX(Daten!$L$7:$L$429,MATCH('2'!B61,Daten!$A$7:$A$429,0))</f>
        <v>9562556</v>
      </c>
      <c r="J61" s="135">
        <f>INDEX(Daten!$K$7:$K$429,MATCH('2'!B61,Daten!$A$7:$A$429,0))</f>
        <v>15951765</v>
      </c>
      <c r="K61" s="135">
        <f>INDEX(Daten!$O$7:$O$429,MATCH('2'!B61,Daten!$A$7:$A$429,0))</f>
        <v>306409</v>
      </c>
      <c r="L61" s="151">
        <f>INDEX(Daten!$Q$7:$Q$429,MATCH('2'!B61,Daten!$A$7:$A$429,0))</f>
        <v>1364938</v>
      </c>
    </row>
    <row r="62" spans="1:12" ht="15" customHeight="1">
      <c r="A62" s="172" t="str">
        <f>Daten!C55</f>
        <v>JC Wittenberg</v>
      </c>
      <c r="B62" s="214" t="str">
        <f>Daten!A55</f>
        <v>04214</v>
      </c>
      <c r="C62" s="172" t="str">
        <f>Daten!F55</f>
        <v>15</v>
      </c>
      <c r="D62" s="145" t="str">
        <f>Daten!E55</f>
        <v>IIId</v>
      </c>
      <c r="E62" s="282">
        <f>INDEX(Daten!$R$7:$R$429,MATCH('2'!B62,Daten!$A$7:$A$429,0))</f>
        <v>75923709.439999998</v>
      </c>
      <c r="F62" s="175">
        <f>INDEX(Daten!$M$7:$M$429,MATCH('2'!B62,Daten!$A$7:$A$429,0))</f>
        <v>31213982.569999993</v>
      </c>
      <c r="G62" s="135">
        <f>INDEX(Daten!$N$7:$N$429,MATCH('2'!B62,Daten!$A$7:$A$429,0))</f>
        <v>17895496.059999999</v>
      </c>
      <c r="H62" s="135">
        <f>INDEX(Daten!$P$7:$P$429,MATCH('2'!B62,Daten!$A$7:$A$429,0))</f>
        <v>10102771.049999999</v>
      </c>
      <c r="I62" s="135">
        <f>INDEX(Daten!$L$7:$L$429,MATCH('2'!B62,Daten!$A$7:$A$429,0))</f>
        <v>5059314.3500000006</v>
      </c>
      <c r="J62" s="135">
        <f>INDEX(Daten!$K$7:$K$429,MATCH('2'!B62,Daten!$A$7:$A$429,0))</f>
        <v>11198857.02</v>
      </c>
      <c r="K62" s="135">
        <f>INDEX(Daten!$O$7:$O$429,MATCH('2'!B62,Daten!$A$7:$A$429,0))</f>
        <v>453288.39</v>
      </c>
      <c r="L62" s="151">
        <f>INDEX(Daten!$Q$7:$Q$429,MATCH('2'!B62,Daten!$A$7:$A$429,0))</f>
        <v>857364.88</v>
      </c>
    </row>
    <row r="63" spans="1:12" ht="15" customHeight="1">
      <c r="A63" s="172" t="str">
        <f>Daten!C56</f>
        <v>JC Harz</v>
      </c>
      <c r="B63" s="214" t="str">
        <f>Daten!A56</f>
        <v>04306</v>
      </c>
      <c r="C63" s="172" t="str">
        <f>Daten!F56</f>
        <v>15</v>
      </c>
      <c r="D63" s="145" t="str">
        <f>Daten!E56</f>
        <v>IIId</v>
      </c>
      <c r="E63" s="282">
        <f>INDEX(Daten!$R$7:$R$429,MATCH('2'!B63,Daten!$A$7:$A$429,0))</f>
        <v>135556562</v>
      </c>
      <c r="F63" s="175">
        <f>INDEX(Daten!$M$7:$M$429,MATCH('2'!B63,Daten!$A$7:$A$429,0))</f>
        <v>55427315</v>
      </c>
      <c r="G63" s="135">
        <f>INDEX(Daten!$N$7:$N$429,MATCH('2'!B63,Daten!$A$7:$A$429,0))</f>
        <v>33162957</v>
      </c>
      <c r="H63" s="135">
        <f>INDEX(Daten!$P$7:$P$429,MATCH('2'!B63,Daten!$A$7:$A$429,0))</f>
        <v>17947208</v>
      </c>
      <c r="I63" s="135">
        <f>INDEX(Daten!$L$7:$L$429,MATCH('2'!B63,Daten!$A$7:$A$429,0))</f>
        <v>10504865</v>
      </c>
      <c r="J63" s="135">
        <f>INDEX(Daten!$K$7:$K$429,MATCH('2'!B63,Daten!$A$7:$A$429,0))</f>
        <v>18203358</v>
      </c>
      <c r="K63" s="135">
        <f>INDEX(Daten!$O$7:$O$429,MATCH('2'!B63,Daten!$A$7:$A$429,0))</f>
        <v>310859</v>
      </c>
      <c r="L63" s="151">
        <f>INDEX(Daten!$Q$7:$Q$429,MATCH('2'!B63,Daten!$A$7:$A$429,0))</f>
        <v>2649715</v>
      </c>
    </row>
    <row r="64" spans="1:12" ht="15" customHeight="1">
      <c r="A64" s="172" t="str">
        <f>Daten!C57</f>
        <v>JC Salzlandkreis</v>
      </c>
      <c r="B64" s="214" t="str">
        <f>Daten!A57</f>
        <v>04308</v>
      </c>
      <c r="C64" s="172" t="str">
        <f>Daten!F57</f>
        <v>15</v>
      </c>
      <c r="D64" s="145" t="str">
        <f>Daten!E57</f>
        <v>IIId</v>
      </c>
      <c r="E64" s="282">
        <f>INDEX(Daten!$R$7:$R$429,MATCH('2'!B64,Daten!$A$7:$A$429,0))</f>
        <v>165653430</v>
      </c>
      <c r="F64" s="175">
        <f>INDEX(Daten!$M$7:$M$429,MATCH('2'!B64,Daten!$A$7:$A$429,0))</f>
        <v>68300111</v>
      </c>
      <c r="G64" s="135">
        <f>INDEX(Daten!$N$7:$N$429,MATCH('2'!B64,Daten!$A$7:$A$429,0))</f>
        <v>39084229</v>
      </c>
      <c r="H64" s="135">
        <f>INDEX(Daten!$P$7:$P$429,MATCH('2'!B64,Daten!$A$7:$A$429,0))</f>
        <v>21513533</v>
      </c>
      <c r="I64" s="135">
        <f>INDEX(Daten!$L$7:$L$429,MATCH('2'!B64,Daten!$A$7:$A$429,0))</f>
        <v>13812298</v>
      </c>
      <c r="J64" s="135">
        <f>INDEX(Daten!$K$7:$K$429,MATCH('2'!B64,Daten!$A$7:$A$429,0))</f>
        <v>22108966</v>
      </c>
      <c r="K64" s="135">
        <f>INDEX(Daten!$O$7:$O$429,MATCH('2'!B64,Daten!$A$7:$A$429,0))</f>
        <v>834293</v>
      </c>
      <c r="L64" s="151">
        <f>INDEX(Daten!$Q$7:$Q$429,MATCH('2'!B64,Daten!$A$7:$A$429,0))</f>
        <v>3482414</v>
      </c>
    </row>
    <row r="65" spans="1:12" ht="15" customHeight="1">
      <c r="A65" s="172" t="str">
        <f>Daten!C58</f>
        <v>JC Halle (Saale), Stadt</v>
      </c>
      <c r="B65" s="214" t="str">
        <f>Daten!A58</f>
        <v>04402</v>
      </c>
      <c r="C65" s="172" t="str">
        <f>Daten!F58</f>
        <v>15</v>
      </c>
      <c r="D65" s="145" t="str">
        <f>Daten!E58</f>
        <v>IIIe</v>
      </c>
      <c r="E65" s="282">
        <f>INDEX(Daten!$R$7:$R$429,MATCH('2'!B65,Daten!$A$7:$A$429,0))</f>
        <v>262634587.63000003</v>
      </c>
      <c r="F65" s="175">
        <f>INDEX(Daten!$M$7:$M$429,MATCH('2'!B65,Daten!$A$7:$A$429,0))</f>
        <v>108174812.17000005</v>
      </c>
      <c r="G65" s="135">
        <f>INDEX(Daten!$N$7:$N$429,MATCH('2'!B65,Daten!$A$7:$A$429,0))</f>
        <v>66903480.159999996</v>
      </c>
      <c r="H65" s="135">
        <f>INDEX(Daten!$P$7:$P$429,MATCH('2'!B65,Daten!$A$7:$A$429,0))</f>
        <v>33900376.870000012</v>
      </c>
      <c r="I65" s="135">
        <f>INDEX(Daten!$L$7:$L$429,MATCH('2'!B65,Daten!$A$7:$A$429,0))</f>
        <v>18334185.98</v>
      </c>
      <c r="J65" s="135">
        <f>INDEX(Daten!$K$7:$K$429,MATCH('2'!B65,Daten!$A$7:$A$429,0))</f>
        <v>33944789.810000002</v>
      </c>
      <c r="K65" s="135">
        <f>INDEX(Daten!$O$7:$O$429,MATCH('2'!B65,Daten!$A$7:$A$429,0))</f>
        <v>1376942.64</v>
      </c>
      <c r="L65" s="151">
        <f>INDEX(Daten!$Q$7:$Q$429,MATCH('2'!B65,Daten!$A$7:$A$429,0))</f>
        <v>3277658.4699999997</v>
      </c>
    </row>
    <row r="66" spans="1:12" ht="15" customHeight="1">
      <c r="A66" s="172" t="str">
        <f>Daten!C59</f>
        <v>JC Saalekreis</v>
      </c>
      <c r="B66" s="214" t="str">
        <f>Daten!A59</f>
        <v>04412</v>
      </c>
      <c r="C66" s="172" t="str">
        <f>Daten!F59</f>
        <v>15</v>
      </c>
      <c r="D66" s="145" t="str">
        <f>Daten!E59</f>
        <v>IIId</v>
      </c>
      <c r="E66" s="282">
        <f>INDEX(Daten!$R$7:$R$429,MATCH('2'!B66,Daten!$A$7:$A$429,0))</f>
        <v>113278251</v>
      </c>
      <c r="F66" s="175">
        <f>INDEX(Daten!$M$7:$M$429,MATCH('2'!B66,Daten!$A$7:$A$429,0))</f>
        <v>46243453</v>
      </c>
      <c r="G66" s="135">
        <f>INDEX(Daten!$N$7:$N$429,MATCH('2'!B66,Daten!$A$7:$A$429,0))</f>
        <v>28595450</v>
      </c>
      <c r="H66" s="135">
        <f>INDEX(Daten!$P$7:$P$429,MATCH('2'!B66,Daten!$A$7:$A$429,0))</f>
        <v>15556488</v>
      </c>
      <c r="I66" s="135">
        <f>INDEX(Daten!$L$7:$L$429,MATCH('2'!B66,Daten!$A$7:$A$429,0))</f>
        <v>7372041</v>
      </c>
      <c r="J66" s="135">
        <f>INDEX(Daten!$K$7:$K$429,MATCH('2'!B66,Daten!$A$7:$A$429,0))</f>
        <v>14770442</v>
      </c>
      <c r="K66" s="135">
        <f>INDEX(Daten!$O$7:$O$429,MATCH('2'!B66,Daten!$A$7:$A$429,0))</f>
        <v>740377</v>
      </c>
      <c r="L66" s="151">
        <f>INDEX(Daten!$Q$7:$Q$429,MATCH('2'!B66,Daten!$A$7:$A$429,0))</f>
        <v>1594349</v>
      </c>
    </row>
    <row r="67" spans="1:12" ht="15" customHeight="1">
      <c r="A67" s="172" t="str">
        <f>Daten!C60</f>
        <v>JC Burgenlandkreis</v>
      </c>
      <c r="B67" s="214" t="str">
        <f>Daten!A60</f>
        <v>04418</v>
      </c>
      <c r="C67" s="172" t="str">
        <f>Daten!F60</f>
        <v>15</v>
      </c>
      <c r="D67" s="145" t="str">
        <f>Daten!E60</f>
        <v>IIId</v>
      </c>
      <c r="E67" s="282">
        <f>INDEX(Daten!$R$7:$R$429,MATCH('2'!B67,Daten!$A$7:$A$429,0))</f>
        <v>141273261</v>
      </c>
      <c r="F67" s="175">
        <f>INDEX(Daten!$M$7:$M$429,MATCH('2'!B67,Daten!$A$7:$A$429,0))</f>
        <v>58383458</v>
      </c>
      <c r="G67" s="135">
        <f>INDEX(Daten!$N$7:$N$429,MATCH('2'!B67,Daten!$A$7:$A$429,0))</f>
        <v>34472704</v>
      </c>
      <c r="H67" s="135">
        <f>INDEX(Daten!$P$7:$P$429,MATCH('2'!B67,Daten!$A$7:$A$429,0))</f>
        <v>19210695</v>
      </c>
      <c r="I67" s="135">
        <f>INDEX(Daten!$L$7:$L$429,MATCH('2'!B67,Daten!$A$7:$A$429,0))</f>
        <v>10221491</v>
      </c>
      <c r="J67" s="135">
        <f>INDEX(Daten!$K$7:$K$429,MATCH('2'!B67,Daten!$A$7:$A$429,0))</f>
        <v>18467746</v>
      </c>
      <c r="K67" s="135">
        <f>INDEX(Daten!$O$7:$O$429,MATCH('2'!B67,Daten!$A$7:$A$429,0))</f>
        <v>517167</v>
      </c>
      <c r="L67" s="151">
        <f>INDEX(Daten!$Q$7:$Q$429,MATCH('2'!B67,Daten!$A$7:$A$429,0))</f>
        <v>1782876</v>
      </c>
    </row>
    <row r="68" spans="1:12" ht="15" customHeight="1">
      <c r="A68" s="172" t="str">
        <f>Daten!C61</f>
        <v>JC Mansfeld-Südharz</v>
      </c>
      <c r="B68" s="214" t="str">
        <f>Daten!A61</f>
        <v>04448</v>
      </c>
      <c r="C68" s="172" t="str">
        <f>Daten!F61</f>
        <v>15</v>
      </c>
      <c r="D68" s="145" t="str">
        <f>Daten!E61</f>
        <v>IIId</v>
      </c>
      <c r="E68" s="282">
        <f>INDEX(Daten!$R$7:$R$429,MATCH('2'!B68,Daten!$A$7:$A$429,0))</f>
        <v>117553510.01000001</v>
      </c>
      <c r="F68" s="175">
        <f>INDEX(Daten!$M$7:$M$429,MATCH('2'!B68,Daten!$A$7:$A$429,0))</f>
        <v>47476541.339999996</v>
      </c>
      <c r="G68" s="135">
        <f>INDEX(Daten!$N$7:$N$429,MATCH('2'!B68,Daten!$A$7:$A$429,0))</f>
        <v>30469734.990000002</v>
      </c>
      <c r="H68" s="135">
        <f>INDEX(Daten!$P$7:$P$429,MATCH('2'!B68,Daten!$A$7:$A$429,0))</f>
        <v>14905918.990000004</v>
      </c>
      <c r="I68" s="135">
        <f>INDEX(Daten!$L$7:$L$429,MATCH('2'!B68,Daten!$A$7:$A$429,0))</f>
        <v>7034417.9900000002</v>
      </c>
      <c r="J68" s="135">
        <f>INDEX(Daten!$K$7:$K$429,MATCH('2'!B68,Daten!$A$7:$A$429,0))</f>
        <v>17026476.209999997</v>
      </c>
      <c r="K68" s="135">
        <f>INDEX(Daten!$O$7:$O$429,MATCH('2'!B68,Daten!$A$7:$A$429,0))</f>
        <v>640420.49</v>
      </c>
      <c r="L68" s="151">
        <f>INDEX(Daten!$Q$7:$Q$429,MATCH('2'!B68,Daten!$A$7:$A$429,0))</f>
        <v>1538427.71</v>
      </c>
    </row>
    <row r="69" spans="1:12" ht="15" customHeight="1">
      <c r="A69" s="172" t="str">
        <f>Daten!C62</f>
        <v>JC Magdeburg, Landeshauptstadt</v>
      </c>
      <c r="B69" s="214" t="str">
        <f>Daten!A62</f>
        <v>04502</v>
      </c>
      <c r="C69" s="172" t="str">
        <f>Daten!F62</f>
        <v>15</v>
      </c>
      <c r="D69" s="145" t="str">
        <f>Daten!E62</f>
        <v>IIIe</v>
      </c>
      <c r="E69" s="282">
        <f>INDEX(Daten!$R$7:$R$429,MATCH('2'!B69,Daten!$A$7:$A$429,0))</f>
        <v>238207133.48000002</v>
      </c>
      <c r="F69" s="175">
        <f>INDEX(Daten!$M$7:$M$429,MATCH('2'!B69,Daten!$A$7:$A$429,0))</f>
        <v>95518664.640000001</v>
      </c>
      <c r="G69" s="135">
        <f>INDEX(Daten!$N$7:$N$429,MATCH('2'!B69,Daten!$A$7:$A$429,0))</f>
        <v>62794932.809999987</v>
      </c>
      <c r="H69" s="135">
        <f>INDEX(Daten!$P$7:$P$429,MATCH('2'!B69,Daten!$A$7:$A$429,0))</f>
        <v>30403314.709999997</v>
      </c>
      <c r="I69" s="135">
        <f>INDEX(Daten!$L$7:$L$429,MATCH('2'!B69,Daten!$A$7:$A$429,0))</f>
        <v>17392556.679999996</v>
      </c>
      <c r="J69" s="135">
        <f>INDEX(Daten!$K$7:$K$429,MATCH('2'!B69,Daten!$A$7:$A$429,0))</f>
        <v>31204315.169999998</v>
      </c>
      <c r="K69" s="135">
        <f>INDEX(Daten!$O$7:$O$429,MATCH('2'!B69,Daten!$A$7:$A$429,0))</f>
        <v>893349.47000000009</v>
      </c>
      <c r="L69" s="151">
        <f>INDEX(Daten!$Q$7:$Q$429,MATCH('2'!B69,Daten!$A$7:$A$429,0))</f>
        <v>734348.6</v>
      </c>
    </row>
    <row r="70" spans="1:12" ht="15" customHeight="1">
      <c r="A70" s="172" t="str">
        <f>Daten!C63</f>
        <v>JC Jerichower Land</v>
      </c>
      <c r="B70" s="214" t="str">
        <f>Daten!A63</f>
        <v>04506</v>
      </c>
      <c r="C70" s="172" t="str">
        <f>Daten!F63</f>
        <v>15</v>
      </c>
      <c r="D70" s="145" t="str">
        <f>Daten!E63</f>
        <v>IIId</v>
      </c>
      <c r="E70" s="282">
        <f>INDEX(Daten!$R$7:$R$429,MATCH('2'!B70,Daten!$A$7:$A$429,0))</f>
        <v>55621450.089999996</v>
      </c>
      <c r="F70" s="175">
        <f>INDEX(Daten!$M$7:$M$429,MATCH('2'!B70,Daten!$A$7:$A$429,0))</f>
        <v>23215375.899999995</v>
      </c>
      <c r="G70" s="135">
        <f>INDEX(Daten!$N$7:$N$429,MATCH('2'!B70,Daten!$A$7:$A$429,0))</f>
        <v>13892102.5</v>
      </c>
      <c r="H70" s="135">
        <f>INDEX(Daten!$P$7:$P$429,MATCH('2'!B70,Daten!$A$7:$A$429,0))</f>
        <v>7152597.9299999988</v>
      </c>
      <c r="I70" s="135">
        <f>INDEX(Daten!$L$7:$L$429,MATCH('2'!B70,Daten!$A$7:$A$429,0))</f>
        <v>3120201.22</v>
      </c>
      <c r="J70" s="135">
        <f>INDEX(Daten!$K$7:$K$429,MATCH('2'!B70,Daten!$A$7:$A$429,0))</f>
        <v>8013218.0700000012</v>
      </c>
      <c r="K70" s="135">
        <f>INDEX(Daten!$O$7:$O$429,MATCH('2'!B70,Daten!$A$7:$A$429,0))</f>
        <v>227954.47</v>
      </c>
      <c r="L70" s="151">
        <f>INDEX(Daten!$Q$7:$Q$429,MATCH('2'!B70,Daten!$A$7:$A$429,0))</f>
        <v>638554.22</v>
      </c>
    </row>
    <row r="71" spans="1:12" ht="15" customHeight="1">
      <c r="A71" s="172" t="str">
        <f>Daten!C64</f>
        <v>JC Börde</v>
      </c>
      <c r="B71" s="214" t="str">
        <f>Daten!A64</f>
        <v>04514</v>
      </c>
      <c r="C71" s="172" t="str">
        <f>Daten!F64</f>
        <v>15</v>
      </c>
      <c r="D71" s="145" t="str">
        <f>Daten!E64</f>
        <v>IIId</v>
      </c>
      <c r="E71" s="282">
        <f>INDEX(Daten!$R$7:$R$429,MATCH('2'!B71,Daten!$A$7:$A$429,0))</f>
        <v>81989440.159999996</v>
      </c>
      <c r="F71" s="175">
        <f>INDEX(Daten!$M$7:$M$429,MATCH('2'!B71,Daten!$A$7:$A$429,0))</f>
        <v>33906138.979999997</v>
      </c>
      <c r="G71" s="135">
        <f>INDEX(Daten!$N$7:$N$429,MATCH('2'!B71,Daten!$A$7:$A$429,0))</f>
        <v>19739366.27</v>
      </c>
      <c r="H71" s="135">
        <f>INDEX(Daten!$P$7:$P$429,MATCH('2'!B71,Daten!$A$7:$A$429,0))</f>
        <v>10933878.939999999</v>
      </c>
      <c r="I71" s="135">
        <f>INDEX(Daten!$L$7:$L$429,MATCH('2'!B71,Daten!$A$7:$A$429,0))</f>
        <v>5409577.6099999994</v>
      </c>
      <c r="J71" s="135">
        <f>INDEX(Daten!$K$7:$K$429,MATCH('2'!B71,Daten!$A$7:$A$429,0))</f>
        <v>11625528.719999999</v>
      </c>
      <c r="K71" s="135">
        <f>INDEX(Daten!$O$7:$O$429,MATCH('2'!B71,Daten!$A$7:$A$429,0))</f>
        <v>374949.64</v>
      </c>
      <c r="L71" s="151">
        <f>INDEX(Daten!$Q$7:$Q$429,MATCH('2'!B71,Daten!$A$7:$A$429,0))</f>
        <v>763437.69000000006</v>
      </c>
    </row>
    <row r="72" spans="1:12" ht="15" customHeight="1">
      <c r="A72" s="172" t="str">
        <f>Daten!C65</f>
        <v>JC Stendal</v>
      </c>
      <c r="B72" s="214" t="str">
        <f>Daten!A65</f>
        <v>04518</v>
      </c>
      <c r="C72" s="172" t="str">
        <f>Daten!F65</f>
        <v>15</v>
      </c>
      <c r="D72" s="145" t="str">
        <f>Daten!E65</f>
        <v>IIId</v>
      </c>
      <c r="E72" s="282">
        <f>INDEX(Daten!$R$7:$R$429,MATCH('2'!B72,Daten!$A$7:$A$429,0))</f>
        <v>101480970.61999999</v>
      </c>
      <c r="F72" s="175">
        <f>INDEX(Daten!$M$7:$M$429,MATCH('2'!B72,Daten!$A$7:$A$429,0))</f>
        <v>42595315.409999989</v>
      </c>
      <c r="G72" s="135">
        <f>INDEX(Daten!$N$7:$N$429,MATCH('2'!B72,Daten!$A$7:$A$429,0))</f>
        <v>24248634.190000001</v>
      </c>
      <c r="H72" s="135">
        <f>INDEX(Daten!$P$7:$P$429,MATCH('2'!B72,Daten!$A$7:$A$429,0))</f>
        <v>13085186.659999998</v>
      </c>
      <c r="I72" s="135">
        <f>INDEX(Daten!$L$7:$L$429,MATCH('2'!B72,Daten!$A$7:$A$429,0))</f>
        <v>8573220.2499999981</v>
      </c>
      <c r="J72" s="135">
        <f>INDEX(Daten!$K$7:$K$429,MATCH('2'!B72,Daten!$A$7:$A$429,0))</f>
        <v>12593838.679999998</v>
      </c>
      <c r="K72" s="135">
        <f>INDEX(Daten!$O$7:$O$429,MATCH('2'!B72,Daten!$A$7:$A$429,0))</f>
        <v>384775.43</v>
      </c>
      <c r="L72" s="151">
        <f>INDEX(Daten!$Q$7:$Q$429,MATCH('2'!B72,Daten!$A$7:$A$429,0))</f>
        <v>1186070.4500000002</v>
      </c>
    </row>
    <row r="73" spans="1:12" ht="15" customHeight="1">
      <c r="A73" s="172" t="str">
        <f>Daten!C66</f>
        <v>JC Altmarkkreis Salzwedel</v>
      </c>
      <c r="B73" s="214" t="str">
        <f>Daten!A66</f>
        <v>04546</v>
      </c>
      <c r="C73" s="172" t="str">
        <f>Daten!F66</f>
        <v>15</v>
      </c>
      <c r="D73" s="145" t="str">
        <f>Daten!E66</f>
        <v>IIIa</v>
      </c>
      <c r="E73" s="282">
        <f>INDEX(Daten!$R$7:$R$429,MATCH('2'!B73,Daten!$A$7:$A$429,0))</f>
        <v>52666265</v>
      </c>
      <c r="F73" s="175">
        <f>INDEX(Daten!$M$7:$M$429,MATCH('2'!B73,Daten!$A$7:$A$429,0))</f>
        <v>23145681</v>
      </c>
      <c r="G73" s="135">
        <f>INDEX(Daten!$N$7:$N$429,MATCH('2'!B73,Daten!$A$7:$A$429,0))</f>
        <v>12006708</v>
      </c>
      <c r="H73" s="135">
        <f>INDEX(Daten!$P$7:$P$429,MATCH('2'!B73,Daten!$A$7:$A$429,0))</f>
        <v>7169633</v>
      </c>
      <c r="I73" s="135">
        <f>INDEX(Daten!$L$7:$L$429,MATCH('2'!B73,Daten!$A$7:$A$429,0))</f>
        <v>2414075</v>
      </c>
      <c r="J73" s="135">
        <f>INDEX(Daten!$K$7:$K$429,MATCH('2'!B73,Daten!$A$7:$A$429,0))</f>
        <v>7737299</v>
      </c>
      <c r="K73" s="135">
        <f>INDEX(Daten!$O$7:$O$429,MATCH('2'!B73,Daten!$A$7:$A$429,0))</f>
        <v>192869</v>
      </c>
      <c r="L73" s="151">
        <f>INDEX(Daten!$Q$7:$Q$429,MATCH('2'!B73,Daten!$A$7:$A$429,0))</f>
        <v>621443</v>
      </c>
    </row>
    <row r="74" spans="1:12" ht="15" customHeight="1">
      <c r="A74" s="172" t="str">
        <f>Daten!C67</f>
        <v>JC Erzgebirgskreis</v>
      </c>
      <c r="B74" s="214" t="str">
        <f>Daten!A67</f>
        <v>07146</v>
      </c>
      <c r="C74" s="172" t="str">
        <f>Daten!F67</f>
        <v>14</v>
      </c>
      <c r="D74" s="145" t="str">
        <f>Daten!E67</f>
        <v>IIIa</v>
      </c>
      <c r="E74" s="282">
        <f>INDEX(Daten!$R$7:$R$429,MATCH('2'!B74,Daten!$A$7:$A$429,0))</f>
        <v>132257501</v>
      </c>
      <c r="F74" s="175">
        <f>INDEX(Daten!$M$7:$M$429,MATCH('2'!B74,Daten!$A$7:$A$429,0))</f>
        <v>55656641</v>
      </c>
      <c r="G74" s="135">
        <f>INDEX(Daten!$N$7:$N$429,MATCH('2'!B74,Daten!$A$7:$A$429,0))</f>
        <v>32726431</v>
      </c>
      <c r="H74" s="135">
        <f>INDEX(Daten!$P$7:$P$429,MATCH('2'!B74,Daten!$A$7:$A$429,0))</f>
        <v>17880399</v>
      </c>
      <c r="I74" s="135">
        <f>INDEX(Daten!$L$7:$L$429,MATCH('2'!B74,Daten!$A$7:$A$429,0))</f>
        <v>5173064</v>
      </c>
      <c r="J74" s="135">
        <f>INDEX(Daten!$K$7:$K$429,MATCH('2'!B74,Daten!$A$7:$A$429,0))</f>
        <v>19740964</v>
      </c>
      <c r="K74" s="135">
        <f>INDEX(Daten!$O$7:$O$429,MATCH('2'!B74,Daten!$A$7:$A$429,0))</f>
        <v>1080002</v>
      </c>
      <c r="L74" s="151">
        <f>INDEX(Daten!$Q$7:$Q$429,MATCH('2'!B74,Daten!$A$7:$A$429,0))</f>
        <v>1604087</v>
      </c>
    </row>
    <row r="75" spans="1:12" ht="15" customHeight="1">
      <c r="A75" s="172" t="str">
        <f>Daten!C68</f>
        <v>JC Bautzen</v>
      </c>
      <c r="B75" s="214" t="str">
        <f>Daten!A68</f>
        <v>07202</v>
      </c>
      <c r="C75" s="172" t="str">
        <f>Daten!F68</f>
        <v>14</v>
      </c>
      <c r="D75" s="145" t="str">
        <f>Daten!E68</f>
        <v>IIId</v>
      </c>
      <c r="E75" s="282">
        <f>INDEX(Daten!$R$7:$R$429,MATCH('2'!B75,Daten!$A$7:$A$429,0))</f>
        <v>140271123</v>
      </c>
      <c r="F75" s="175">
        <f>INDEX(Daten!$M$7:$M$429,MATCH('2'!B75,Daten!$A$7:$A$429,0))</f>
        <v>59309924</v>
      </c>
      <c r="G75" s="135">
        <f>INDEX(Daten!$N$7:$N$429,MATCH('2'!B75,Daten!$A$7:$A$429,0))</f>
        <v>34743409</v>
      </c>
      <c r="H75" s="135">
        <f>INDEX(Daten!$P$7:$P$429,MATCH('2'!B75,Daten!$A$7:$A$429,0))</f>
        <v>16574692</v>
      </c>
      <c r="I75" s="135">
        <f>INDEX(Daten!$L$7:$L$429,MATCH('2'!B75,Daten!$A$7:$A$429,0))</f>
        <v>7637132</v>
      </c>
      <c r="J75" s="135">
        <f>INDEX(Daten!$K$7:$K$429,MATCH('2'!B75,Daten!$A$7:$A$429,0))</f>
        <v>21227204</v>
      </c>
      <c r="K75" s="135">
        <f>INDEX(Daten!$O$7:$O$429,MATCH('2'!B75,Daten!$A$7:$A$429,0))</f>
        <v>778762</v>
      </c>
      <c r="L75" s="151">
        <f>INDEX(Daten!$Q$7:$Q$429,MATCH('2'!B75,Daten!$A$7:$A$429,0))</f>
        <v>2319766</v>
      </c>
    </row>
    <row r="76" spans="1:12" ht="15" customHeight="1">
      <c r="A76" s="172" t="str">
        <f>Daten!C69</f>
        <v>JC Görlitz</v>
      </c>
      <c r="B76" s="214" t="str">
        <f>Daten!A69</f>
        <v>07208</v>
      </c>
      <c r="C76" s="172" t="str">
        <f>Daten!F69</f>
        <v>14</v>
      </c>
      <c r="D76" s="145" t="str">
        <f>Daten!E69</f>
        <v>IIId</v>
      </c>
      <c r="E76" s="282">
        <f>INDEX(Daten!$R$7:$R$429,MATCH('2'!B76,Daten!$A$7:$A$429,0))</f>
        <v>181254600</v>
      </c>
      <c r="F76" s="175">
        <f>INDEX(Daten!$M$7:$M$429,MATCH('2'!B76,Daten!$A$7:$A$429,0))</f>
        <v>76637433</v>
      </c>
      <c r="G76" s="135">
        <f>INDEX(Daten!$N$7:$N$429,MATCH('2'!B76,Daten!$A$7:$A$429,0))</f>
        <v>43571393</v>
      </c>
      <c r="H76" s="135">
        <f>INDEX(Daten!$P$7:$P$429,MATCH('2'!B76,Daten!$A$7:$A$429,0))</f>
        <v>24631232</v>
      </c>
      <c r="I76" s="135">
        <f>INDEX(Daten!$L$7:$L$429,MATCH('2'!B76,Daten!$A$7:$A$429,0))</f>
        <v>12995813</v>
      </c>
      <c r="J76" s="135">
        <f>INDEX(Daten!$K$7:$K$429,MATCH('2'!B76,Daten!$A$7:$A$429,0))</f>
        <v>22630143</v>
      </c>
      <c r="K76" s="135">
        <f>INDEX(Daten!$O$7:$O$429,MATCH('2'!B76,Daten!$A$7:$A$429,0))</f>
        <v>788586</v>
      </c>
      <c r="L76" s="151">
        <f>INDEX(Daten!$Q$7:$Q$429,MATCH('2'!B76,Daten!$A$7:$A$429,0))</f>
        <v>2221186</v>
      </c>
    </row>
    <row r="77" spans="1:12" ht="15" customHeight="1">
      <c r="A77" s="172" t="str">
        <f>Daten!C70</f>
        <v>JC Chemnitz, Stadt</v>
      </c>
      <c r="B77" s="214" t="str">
        <f>Daten!A70</f>
        <v>07302</v>
      </c>
      <c r="C77" s="172" t="str">
        <f>Daten!F70</f>
        <v>14</v>
      </c>
      <c r="D77" s="145" t="str">
        <f>Daten!E70</f>
        <v>IIIe</v>
      </c>
      <c r="E77" s="282">
        <f>INDEX(Daten!$R$7:$R$429,MATCH('2'!B77,Daten!$A$7:$A$429,0))</f>
        <v>221624466.08000001</v>
      </c>
      <c r="F77" s="175">
        <f>INDEX(Daten!$M$7:$M$429,MATCH('2'!B77,Daten!$A$7:$A$429,0))</f>
        <v>94706979.920000002</v>
      </c>
      <c r="G77" s="135">
        <f>INDEX(Daten!$N$7:$N$429,MATCH('2'!B77,Daten!$A$7:$A$429,0))</f>
        <v>56190409.500000007</v>
      </c>
      <c r="H77" s="135">
        <f>INDEX(Daten!$P$7:$P$429,MATCH('2'!B77,Daten!$A$7:$A$429,0))</f>
        <v>29616910.679999996</v>
      </c>
      <c r="I77" s="135">
        <f>INDEX(Daten!$L$7:$L$429,MATCH('2'!B77,Daten!$A$7:$A$429,0))</f>
        <v>13955609.960000001</v>
      </c>
      <c r="J77" s="135">
        <f>INDEX(Daten!$K$7:$K$429,MATCH('2'!B77,Daten!$A$7:$A$429,0))</f>
        <v>25604482.59</v>
      </c>
      <c r="K77" s="135">
        <f>INDEX(Daten!$O$7:$O$429,MATCH('2'!B77,Daten!$A$7:$A$429,0))</f>
        <v>1550073.43</v>
      </c>
      <c r="L77" s="151">
        <f>INDEX(Daten!$Q$7:$Q$429,MATCH('2'!B77,Daten!$A$7:$A$429,0))</f>
        <v>3356755.7800000003</v>
      </c>
    </row>
    <row r="78" spans="1:12" ht="15" customHeight="1">
      <c r="A78" s="172" t="str">
        <f>Daten!C71</f>
        <v>JC Dresden, Stadt</v>
      </c>
      <c r="B78" s="214" t="str">
        <f>Daten!A71</f>
        <v>07402</v>
      </c>
      <c r="C78" s="172" t="str">
        <f>Daten!F71</f>
        <v>14</v>
      </c>
      <c r="D78" s="145" t="str">
        <f>Daten!E71</f>
        <v>IIIe</v>
      </c>
      <c r="E78" s="282">
        <f>INDEX(Daten!$R$7:$R$429,MATCH('2'!B78,Daten!$A$7:$A$429,0))</f>
        <v>412373943.96999997</v>
      </c>
      <c r="F78" s="175">
        <f>INDEX(Daten!$M$7:$M$429,MATCH('2'!B78,Daten!$A$7:$A$429,0))</f>
        <v>154923491.04999995</v>
      </c>
      <c r="G78" s="135">
        <f>INDEX(Daten!$N$7:$N$429,MATCH('2'!B78,Daten!$A$7:$A$429,0))</f>
        <v>127419746.11</v>
      </c>
      <c r="H78" s="135">
        <f>INDEX(Daten!$P$7:$P$429,MATCH('2'!B78,Daten!$A$7:$A$429,0))</f>
        <v>51484185.269999981</v>
      </c>
      <c r="I78" s="135">
        <f>INDEX(Daten!$L$7:$L$429,MATCH('2'!B78,Daten!$A$7:$A$429,0))</f>
        <v>30421206.120000005</v>
      </c>
      <c r="J78" s="135">
        <f>INDEX(Daten!$K$7:$K$429,MATCH('2'!B78,Daten!$A$7:$A$429,0))</f>
        <v>45763593.980000004</v>
      </c>
      <c r="K78" s="135">
        <f>INDEX(Daten!$O$7:$O$429,MATCH('2'!B78,Daten!$A$7:$A$429,0))</f>
        <v>2361721.44</v>
      </c>
      <c r="L78" s="151">
        <f>INDEX(Daten!$Q$7:$Q$429,MATCH('2'!B78,Daten!$A$7:$A$429,0))</f>
        <v>10487935.09</v>
      </c>
    </row>
    <row r="79" spans="1:12" ht="15" customHeight="1">
      <c r="A79" s="172" t="str">
        <f>Daten!C72</f>
        <v>JC Leipzig, Stadt</v>
      </c>
      <c r="B79" s="214" t="str">
        <f>Daten!A72</f>
        <v>07502</v>
      </c>
      <c r="C79" s="172" t="str">
        <f>Daten!F72</f>
        <v>14</v>
      </c>
      <c r="D79" s="145" t="str">
        <f>Daten!E72</f>
        <v>IIIe</v>
      </c>
      <c r="E79" s="282">
        <f>INDEX(Daten!$R$7:$R$429,MATCH('2'!B79,Daten!$A$7:$A$429,0))</f>
        <v>555486786.83000004</v>
      </c>
      <c r="F79" s="175">
        <f>INDEX(Daten!$M$7:$M$429,MATCH('2'!B79,Daten!$A$7:$A$429,0))</f>
        <v>219978676.16000003</v>
      </c>
      <c r="G79" s="135">
        <f>INDEX(Daten!$N$7:$N$429,MATCH('2'!B79,Daten!$A$7:$A$429,0))</f>
        <v>150568419.66</v>
      </c>
      <c r="H79" s="135">
        <f>INDEX(Daten!$P$7:$P$429,MATCH('2'!B79,Daten!$A$7:$A$429,0))</f>
        <v>72625407.400000006</v>
      </c>
      <c r="I79" s="135">
        <f>INDEX(Daten!$L$7:$L$429,MATCH('2'!B79,Daten!$A$7:$A$429,0))</f>
        <v>44858985.379999995</v>
      </c>
      <c r="J79" s="135">
        <f>INDEX(Daten!$K$7:$K$429,MATCH('2'!B79,Daten!$A$7:$A$429,0))</f>
        <v>63498468.030000001</v>
      </c>
      <c r="K79" s="135">
        <f>INDEX(Daten!$O$7:$O$429,MATCH('2'!B79,Daten!$A$7:$A$429,0))</f>
        <v>3956830.1999999997</v>
      </c>
      <c r="L79" s="151">
        <f>INDEX(Daten!$Q$7:$Q$429,MATCH('2'!B79,Daten!$A$7:$A$429,0))</f>
        <v>5986129.5699999994</v>
      </c>
    </row>
    <row r="80" spans="1:12" ht="15" customHeight="1">
      <c r="A80" s="172" t="str">
        <f>Daten!C73</f>
        <v>JC Nordsachsen</v>
      </c>
      <c r="B80" s="214" t="str">
        <f>Daten!A73</f>
        <v>07602</v>
      </c>
      <c r="C80" s="172" t="str">
        <f>Daten!F73</f>
        <v>14</v>
      </c>
      <c r="D80" s="145" t="str">
        <f>Daten!E73</f>
        <v>IIId</v>
      </c>
      <c r="E80" s="282">
        <f>INDEX(Daten!$R$7:$R$429,MATCH('2'!B80,Daten!$A$7:$A$429,0))</f>
        <v>114498921.57999997</v>
      </c>
      <c r="F80" s="175">
        <f>INDEX(Daten!$M$7:$M$429,MATCH('2'!B80,Daten!$A$7:$A$429,0))</f>
        <v>46954220.959999986</v>
      </c>
      <c r="G80" s="135">
        <f>INDEX(Daten!$N$7:$N$429,MATCH('2'!B80,Daten!$A$7:$A$429,0))</f>
        <v>28188771.579999998</v>
      </c>
      <c r="H80" s="135">
        <f>INDEX(Daten!$P$7:$P$429,MATCH('2'!B80,Daten!$A$7:$A$429,0))</f>
        <v>15317254.649999995</v>
      </c>
      <c r="I80" s="135">
        <f>INDEX(Daten!$L$7:$L$429,MATCH('2'!B80,Daten!$A$7:$A$429,0))</f>
        <v>8337637.1400000006</v>
      </c>
      <c r="J80" s="135">
        <f>INDEX(Daten!$K$7:$K$429,MATCH('2'!B80,Daten!$A$7:$A$429,0))</f>
        <v>15192939.4</v>
      </c>
      <c r="K80" s="135">
        <f>INDEX(Daten!$O$7:$O$429,MATCH('2'!B80,Daten!$A$7:$A$429,0))</f>
        <v>508097.85000000003</v>
      </c>
      <c r="L80" s="151">
        <f>INDEX(Daten!$Q$7:$Q$429,MATCH('2'!B80,Daten!$A$7:$A$429,0))</f>
        <v>1293761.74</v>
      </c>
    </row>
    <row r="81" spans="1:12" ht="15" customHeight="1">
      <c r="A81" s="172" t="str">
        <f>Daten!C74</f>
        <v>JC Leipzig</v>
      </c>
      <c r="B81" s="214" t="str">
        <f>Daten!A74</f>
        <v>07610</v>
      </c>
      <c r="C81" s="172" t="str">
        <f>Daten!F74</f>
        <v>14</v>
      </c>
      <c r="D81" s="145" t="str">
        <f>Daten!E74</f>
        <v>IIIa</v>
      </c>
      <c r="E81" s="282">
        <f>INDEX(Daten!$R$7:$R$429,MATCH('2'!B81,Daten!$A$7:$A$429,0))</f>
        <v>144372111</v>
      </c>
      <c r="F81" s="175">
        <f>INDEX(Daten!$M$7:$M$429,MATCH('2'!B81,Daten!$A$7:$A$429,0))</f>
        <v>62035310</v>
      </c>
      <c r="G81" s="135">
        <f>INDEX(Daten!$N$7:$N$429,MATCH('2'!B81,Daten!$A$7:$A$429,0))</f>
        <v>37149880</v>
      </c>
      <c r="H81" s="135">
        <f>INDEX(Daten!$P$7:$P$429,MATCH('2'!B81,Daten!$A$7:$A$429,0))</f>
        <v>16529587</v>
      </c>
      <c r="I81" s="135">
        <f>INDEX(Daten!$L$7:$L$429,MATCH('2'!B81,Daten!$A$7:$A$429,0))</f>
        <v>9951440</v>
      </c>
      <c r="J81" s="135">
        <f>INDEX(Daten!$K$7:$K$429,MATCH('2'!B81,Daten!$A$7:$A$429,0))</f>
        <v>17986005</v>
      </c>
      <c r="K81" s="135">
        <f>INDEX(Daten!$O$7:$O$429,MATCH('2'!B81,Daten!$A$7:$A$429,0))</f>
        <v>719889</v>
      </c>
      <c r="L81" s="151">
        <f>INDEX(Daten!$Q$7:$Q$429,MATCH('2'!B81,Daten!$A$7:$A$429,0))</f>
        <v>2515213</v>
      </c>
    </row>
    <row r="82" spans="1:12" ht="15" customHeight="1">
      <c r="A82" s="172" t="str">
        <f>Daten!C75</f>
        <v>JC Sächsische Schweiz- Osterzgebirge</v>
      </c>
      <c r="B82" s="214" t="str">
        <f>Daten!A75</f>
        <v>07702</v>
      </c>
      <c r="C82" s="172" t="str">
        <f>Daten!F75</f>
        <v>14</v>
      </c>
      <c r="D82" s="145" t="str">
        <f>Daten!E75</f>
        <v>IIIa</v>
      </c>
      <c r="E82" s="282">
        <f>INDEX(Daten!$R$7:$R$429,MATCH('2'!B82,Daten!$A$7:$A$429,0))</f>
        <v>114013813.83999997</v>
      </c>
      <c r="F82" s="175">
        <f>INDEX(Daten!$M$7:$M$429,MATCH('2'!B82,Daten!$A$7:$A$429,0))</f>
        <v>46283569.849999979</v>
      </c>
      <c r="G82" s="135">
        <f>INDEX(Daten!$N$7:$N$429,MATCH('2'!B82,Daten!$A$7:$A$429,0))</f>
        <v>29513449.119999994</v>
      </c>
      <c r="H82" s="135">
        <f>INDEX(Daten!$P$7:$P$429,MATCH('2'!B82,Daten!$A$7:$A$429,0))</f>
        <v>15142845.869999997</v>
      </c>
      <c r="I82" s="135">
        <f>INDEX(Daten!$L$7:$L$429,MATCH('2'!B82,Daten!$A$7:$A$429,0))</f>
        <v>6538149.0200000005</v>
      </c>
      <c r="J82" s="135">
        <f>INDEX(Daten!$K$7:$K$429,MATCH('2'!B82,Daten!$A$7:$A$429,0))</f>
        <v>16004544.539999997</v>
      </c>
      <c r="K82" s="135">
        <f>INDEX(Daten!$O$7:$O$429,MATCH('2'!B82,Daten!$A$7:$A$429,0))</f>
        <v>531255.44000000006</v>
      </c>
      <c r="L82" s="151">
        <f>INDEX(Daten!$Q$7:$Q$429,MATCH('2'!B82,Daten!$A$7:$A$429,0))</f>
        <v>1687907.1299999997</v>
      </c>
    </row>
    <row r="83" spans="1:12" ht="15" customHeight="1">
      <c r="A83" s="172" t="str">
        <f>Daten!C76</f>
        <v>JC Vogtlandkreis</v>
      </c>
      <c r="B83" s="214" t="str">
        <f>Daten!A76</f>
        <v>07804</v>
      </c>
      <c r="C83" s="172" t="str">
        <f>Daten!F76</f>
        <v>14</v>
      </c>
      <c r="D83" s="145" t="str">
        <f>Daten!E76</f>
        <v>IIIa</v>
      </c>
      <c r="E83" s="282">
        <f>INDEX(Daten!$R$7:$R$429,MATCH('2'!B83,Daten!$A$7:$A$429,0))</f>
        <v>111699299.34999999</v>
      </c>
      <c r="F83" s="175">
        <f>INDEX(Daten!$M$7:$M$429,MATCH('2'!B83,Daten!$A$7:$A$429,0))</f>
        <v>48368449.520000003</v>
      </c>
      <c r="G83" s="135">
        <f>INDEX(Daten!$N$7:$N$429,MATCH('2'!B83,Daten!$A$7:$A$429,0))</f>
        <v>25551390.979999993</v>
      </c>
      <c r="H83" s="135">
        <f>INDEX(Daten!$P$7:$P$429,MATCH('2'!B83,Daten!$A$7:$A$429,0))</f>
        <v>15153637.149999999</v>
      </c>
      <c r="I83" s="135">
        <f>INDEX(Daten!$L$7:$L$429,MATCH('2'!B83,Daten!$A$7:$A$429,0))</f>
        <v>6760603.3800000008</v>
      </c>
      <c r="J83" s="135">
        <f>INDEX(Daten!$K$7:$K$429,MATCH('2'!B83,Daten!$A$7:$A$429,0))</f>
        <v>15158777.039999999</v>
      </c>
      <c r="K83" s="135">
        <f>INDEX(Daten!$O$7:$O$429,MATCH('2'!B83,Daten!$A$7:$A$429,0))</f>
        <v>706441.28000000014</v>
      </c>
      <c r="L83" s="151">
        <f>INDEX(Daten!$Q$7:$Q$429,MATCH('2'!B83,Daten!$A$7:$A$429,0))</f>
        <v>1284814.3700000001</v>
      </c>
    </row>
    <row r="84" spans="1:12" ht="15" customHeight="1">
      <c r="A84" s="172" t="str">
        <f>Daten!C77</f>
        <v>JC Meißen</v>
      </c>
      <c r="B84" s="214" t="str">
        <f>Daten!A77</f>
        <v>07904</v>
      </c>
      <c r="C84" s="172" t="str">
        <f>Daten!F77</f>
        <v>14</v>
      </c>
      <c r="D84" s="145" t="str">
        <f>Daten!E77</f>
        <v>IIIa</v>
      </c>
      <c r="E84" s="282">
        <f>INDEX(Daten!$R$7:$R$429,MATCH('2'!B84,Daten!$A$7:$A$429,0))</f>
        <v>123891740</v>
      </c>
      <c r="F84" s="175">
        <f>INDEX(Daten!$M$7:$M$429,MATCH('2'!B84,Daten!$A$7:$A$429,0))</f>
        <v>51369593</v>
      </c>
      <c r="G84" s="135">
        <f>INDEX(Daten!$N$7:$N$429,MATCH('2'!B84,Daten!$A$7:$A$429,0))</f>
        <v>30107608</v>
      </c>
      <c r="H84" s="135">
        <f>INDEX(Daten!$P$7:$P$429,MATCH('2'!B84,Daten!$A$7:$A$429,0))</f>
        <v>16683595</v>
      </c>
      <c r="I84" s="135">
        <f>INDEX(Daten!$L$7:$L$429,MATCH('2'!B84,Daten!$A$7:$A$429,0))</f>
        <v>7040468</v>
      </c>
      <c r="J84" s="135">
        <f>INDEX(Daten!$K$7:$K$429,MATCH('2'!B84,Daten!$A$7:$A$429,0))</f>
        <v>17884589</v>
      </c>
      <c r="K84" s="135">
        <f>INDEX(Daten!$O$7:$O$429,MATCH('2'!B84,Daten!$A$7:$A$429,0))</f>
        <v>805887</v>
      </c>
      <c r="L84" s="151">
        <f>INDEX(Daten!$Q$7:$Q$429,MATCH('2'!B84,Daten!$A$7:$A$429,0))</f>
        <v>2004715</v>
      </c>
    </row>
    <row r="85" spans="1:12" ht="15" customHeight="1">
      <c r="A85" s="172" t="str">
        <f>Daten!C78</f>
        <v>JC Mittelsachsen</v>
      </c>
      <c r="B85" s="214" t="str">
        <f>Daten!A78</f>
        <v>08002</v>
      </c>
      <c r="C85" s="172" t="str">
        <f>Daten!F78</f>
        <v>14</v>
      </c>
      <c r="D85" s="145" t="str">
        <f>Daten!E78</f>
        <v>IIIa</v>
      </c>
      <c r="E85" s="282">
        <f>INDEX(Daten!$R$7:$R$429,MATCH('2'!B85,Daten!$A$7:$A$429,0))</f>
        <v>146175667.34</v>
      </c>
      <c r="F85" s="175">
        <f>INDEX(Daten!$M$7:$M$429,MATCH('2'!B85,Daten!$A$7:$A$429,0))</f>
        <v>60354441.68</v>
      </c>
      <c r="G85" s="135">
        <f>INDEX(Daten!$N$7:$N$429,MATCH('2'!B85,Daten!$A$7:$A$429,0))</f>
        <v>37809400.07</v>
      </c>
      <c r="H85" s="135">
        <f>INDEX(Daten!$P$7:$P$429,MATCH('2'!B85,Daten!$A$7:$A$429,0))</f>
        <v>19297226.640000001</v>
      </c>
      <c r="I85" s="135">
        <f>INDEX(Daten!$L$7:$L$429,MATCH('2'!B85,Daten!$A$7:$A$429,0))</f>
        <v>9008477.4300000016</v>
      </c>
      <c r="J85" s="135">
        <f>INDEX(Daten!$K$7:$K$429,MATCH('2'!B85,Daten!$A$7:$A$429,0))</f>
        <v>18696959.379999999</v>
      </c>
      <c r="K85" s="135">
        <f>INDEX(Daten!$O$7:$O$429,MATCH('2'!B85,Daten!$A$7:$A$429,0))</f>
        <v>1009162.14</v>
      </c>
      <c r="L85" s="151">
        <f>INDEX(Daten!$Q$7:$Q$429,MATCH('2'!B85,Daten!$A$7:$A$429,0))</f>
        <v>1659311.2199999997</v>
      </c>
    </row>
    <row r="86" spans="1:12" ht="15" customHeight="1">
      <c r="A86" s="172" t="str">
        <f>Daten!C79</f>
        <v>JC Zwickau</v>
      </c>
      <c r="B86" s="214" t="str">
        <f>Daten!A79</f>
        <v>09202</v>
      </c>
      <c r="C86" s="172" t="str">
        <f>Daten!F79</f>
        <v>14</v>
      </c>
      <c r="D86" s="145" t="str">
        <f>Daten!E79</f>
        <v>IIIa</v>
      </c>
      <c r="E86" s="282">
        <f>INDEX(Daten!$R$7:$R$429,MATCH('2'!B86,Daten!$A$7:$A$429,0))</f>
        <v>163842979.97000003</v>
      </c>
      <c r="F86" s="175">
        <f>INDEX(Daten!$M$7:$M$429,MATCH('2'!B86,Daten!$A$7:$A$429,0))</f>
        <v>66103090.24000001</v>
      </c>
      <c r="G86" s="135">
        <f>INDEX(Daten!$N$7:$N$429,MATCH('2'!B86,Daten!$A$7:$A$429,0))</f>
        <v>43072372.140000008</v>
      </c>
      <c r="H86" s="135">
        <f>INDEX(Daten!$P$7:$P$429,MATCH('2'!B86,Daten!$A$7:$A$429,0))</f>
        <v>21691606.979999997</v>
      </c>
      <c r="I86" s="135">
        <f>INDEX(Daten!$L$7:$L$429,MATCH('2'!B86,Daten!$A$7:$A$429,0))</f>
        <v>10010453.380000001</v>
      </c>
      <c r="J86" s="135">
        <f>INDEX(Daten!$K$7:$K$429,MATCH('2'!B86,Daten!$A$7:$A$429,0))</f>
        <v>21669048.43</v>
      </c>
      <c r="K86" s="135">
        <f>INDEX(Daten!$O$7:$O$429,MATCH('2'!B86,Daten!$A$7:$A$429,0))</f>
        <v>1296408.8</v>
      </c>
      <c r="L86" s="151">
        <f>INDEX(Daten!$Q$7:$Q$429,MATCH('2'!B86,Daten!$A$7:$A$429,0))</f>
        <v>2156515.0700000003</v>
      </c>
    </row>
    <row r="87" spans="1:12" ht="15" customHeight="1">
      <c r="A87" s="172" t="str">
        <f>Daten!C80</f>
        <v>JC Erfurt, Stadt</v>
      </c>
      <c r="B87" s="214" t="str">
        <f>Daten!A80</f>
        <v>09302</v>
      </c>
      <c r="C87" s="172" t="str">
        <f>Daten!F80</f>
        <v>16</v>
      </c>
      <c r="D87" s="145" t="str">
        <f>Daten!E80</f>
        <v>IIIe</v>
      </c>
      <c r="E87" s="282">
        <f>INDEX(Daten!$R$7:$R$429,MATCH('2'!B87,Daten!$A$7:$A$429,0))</f>
        <v>145841031.91999999</v>
      </c>
      <c r="F87" s="175">
        <f>INDEX(Daten!$M$7:$M$429,MATCH('2'!B87,Daten!$A$7:$A$429,0))</f>
        <v>56235265.750000007</v>
      </c>
      <c r="G87" s="135">
        <f>INDEX(Daten!$N$7:$N$429,MATCH('2'!B87,Daten!$A$7:$A$429,0))</f>
        <v>41931257.749999993</v>
      </c>
      <c r="H87" s="135">
        <f>INDEX(Daten!$P$7:$P$429,MATCH('2'!B87,Daten!$A$7:$A$429,0))</f>
        <v>19078448.910000004</v>
      </c>
      <c r="I87" s="135">
        <f>INDEX(Daten!$L$7:$L$429,MATCH('2'!B87,Daten!$A$7:$A$429,0))</f>
        <v>8400112.4900000002</v>
      </c>
      <c r="J87" s="135">
        <f>INDEX(Daten!$K$7:$K$429,MATCH('2'!B87,Daten!$A$7:$A$429,0))</f>
        <v>19308817.830000002</v>
      </c>
      <c r="K87" s="135">
        <f>INDEX(Daten!$O$7:$O$429,MATCH('2'!B87,Daten!$A$7:$A$429,0))</f>
        <v>887129.19</v>
      </c>
      <c r="L87" s="151">
        <f>INDEX(Daten!$Q$7:$Q$429,MATCH('2'!B87,Daten!$A$7:$A$429,0))</f>
        <v>5186948</v>
      </c>
    </row>
    <row r="88" spans="1:12" ht="15" customHeight="1">
      <c r="A88" s="172" t="str">
        <f>Daten!C81</f>
        <v>JC Ilm-Kreis</v>
      </c>
      <c r="B88" s="214" t="str">
        <f>Daten!A81</f>
        <v>09304</v>
      </c>
      <c r="C88" s="172" t="str">
        <f>Daten!F81</f>
        <v>16</v>
      </c>
      <c r="D88" s="145" t="str">
        <f>Daten!E81</f>
        <v>IIIa</v>
      </c>
      <c r="E88" s="282">
        <f>INDEX(Daten!$R$7:$R$429,MATCH('2'!B88,Daten!$A$7:$A$429,0))</f>
        <v>61294023.689999998</v>
      </c>
      <c r="F88" s="175">
        <f>INDEX(Daten!$M$7:$M$429,MATCH('2'!B88,Daten!$A$7:$A$429,0))</f>
        <v>25160242.510000002</v>
      </c>
      <c r="G88" s="135">
        <f>INDEX(Daten!$N$7:$N$429,MATCH('2'!B88,Daten!$A$7:$A$429,0))</f>
        <v>15344287.440000001</v>
      </c>
      <c r="H88" s="135">
        <f>INDEX(Daten!$P$7:$P$429,MATCH('2'!B88,Daten!$A$7:$A$429,0))</f>
        <v>8144742.7699999986</v>
      </c>
      <c r="I88" s="135">
        <f>INDEX(Daten!$L$7:$L$429,MATCH('2'!B88,Daten!$A$7:$A$429,0))</f>
        <v>3738058.9299999997</v>
      </c>
      <c r="J88" s="135">
        <f>INDEX(Daten!$K$7:$K$429,MATCH('2'!B88,Daten!$A$7:$A$429,0))</f>
        <v>8398698.1300000008</v>
      </c>
      <c r="K88" s="135">
        <f>INDEX(Daten!$O$7:$O$429,MATCH('2'!B88,Daten!$A$7:$A$429,0))</f>
        <v>507993.91000000003</v>
      </c>
      <c r="L88" s="151">
        <f>INDEX(Daten!$Q$7:$Q$429,MATCH('2'!B88,Daten!$A$7:$A$429,0))</f>
        <v>768501.61</v>
      </c>
    </row>
    <row r="89" spans="1:12" ht="15" customHeight="1">
      <c r="A89" s="172" t="str">
        <f>Daten!C82</f>
        <v>JC Sömmerda</v>
      </c>
      <c r="B89" s="214" t="str">
        <f>Daten!A82</f>
        <v>09308</v>
      </c>
      <c r="C89" s="172" t="str">
        <f>Daten!F82</f>
        <v>16</v>
      </c>
      <c r="D89" s="145" t="str">
        <f>Daten!E82</f>
        <v>IIId</v>
      </c>
      <c r="E89" s="282">
        <f>INDEX(Daten!$R$7:$R$429,MATCH('2'!B89,Daten!$A$7:$A$429,0))</f>
        <v>35594128.640000001</v>
      </c>
      <c r="F89" s="175">
        <f>INDEX(Daten!$M$7:$M$429,MATCH('2'!B89,Daten!$A$7:$A$429,0))</f>
        <v>15275781.220000003</v>
      </c>
      <c r="G89" s="135">
        <f>INDEX(Daten!$N$7:$N$429,MATCH('2'!B89,Daten!$A$7:$A$429,0))</f>
        <v>8332217.2700000005</v>
      </c>
      <c r="H89" s="135">
        <f>INDEX(Daten!$P$7:$P$429,MATCH('2'!B89,Daten!$A$7:$A$429,0))</f>
        <v>4794295.1399999987</v>
      </c>
      <c r="I89" s="135">
        <f>INDEX(Daten!$L$7:$L$429,MATCH('2'!B89,Daten!$A$7:$A$429,0))</f>
        <v>1861391.54</v>
      </c>
      <c r="J89" s="135">
        <f>INDEX(Daten!$K$7:$K$429,MATCH('2'!B89,Daten!$A$7:$A$429,0))</f>
        <v>5157091.6400000006</v>
      </c>
      <c r="K89" s="135">
        <f>INDEX(Daten!$O$7:$O$429,MATCH('2'!B89,Daten!$A$7:$A$429,0))</f>
        <v>173351.83</v>
      </c>
      <c r="L89" s="151">
        <f>INDEX(Daten!$Q$7:$Q$429,MATCH('2'!B89,Daten!$A$7:$A$429,0))</f>
        <v>178255.78</v>
      </c>
    </row>
    <row r="90" spans="1:12" ht="15" customHeight="1">
      <c r="A90" s="172" t="str">
        <f>Daten!C83</f>
        <v>JC Weimar, Stadt</v>
      </c>
      <c r="B90" s="214" t="str">
        <f>Daten!A83</f>
        <v>09310</v>
      </c>
      <c r="C90" s="172" t="str">
        <f>Daten!F83</f>
        <v>16</v>
      </c>
      <c r="D90" s="145" t="str">
        <f>Daten!E83</f>
        <v>IIIe</v>
      </c>
      <c r="E90" s="282">
        <f>INDEX(Daten!$R$7:$R$429,MATCH('2'!B90,Daten!$A$7:$A$429,0))</f>
        <v>45469480.569999993</v>
      </c>
      <c r="F90" s="175">
        <f>INDEX(Daten!$M$7:$M$429,MATCH('2'!B90,Daten!$A$7:$A$429,0))</f>
        <v>17754659.119999997</v>
      </c>
      <c r="G90" s="135">
        <f>INDEX(Daten!$N$7:$N$429,MATCH('2'!B90,Daten!$A$7:$A$429,0))</f>
        <v>12339469.879999999</v>
      </c>
      <c r="H90" s="135">
        <f>INDEX(Daten!$P$7:$P$429,MATCH('2'!B90,Daten!$A$7:$A$429,0))</f>
        <v>5912264.71</v>
      </c>
      <c r="I90" s="135">
        <f>INDEX(Daten!$L$7:$L$429,MATCH('2'!B90,Daten!$A$7:$A$429,0))</f>
        <v>2578614.04</v>
      </c>
      <c r="J90" s="135">
        <f>INDEX(Daten!$K$7:$K$429,MATCH('2'!B90,Daten!$A$7:$A$429,0))</f>
        <v>6681322.129999999</v>
      </c>
      <c r="K90" s="135">
        <f>INDEX(Daten!$O$7:$O$429,MATCH('2'!B90,Daten!$A$7:$A$429,0))</f>
        <v>203150.69</v>
      </c>
      <c r="L90" s="151">
        <f>INDEX(Daten!$Q$7:$Q$429,MATCH('2'!B90,Daten!$A$7:$A$429,0))</f>
        <v>778372.69000000006</v>
      </c>
    </row>
    <row r="91" spans="1:12" ht="15" customHeight="1">
      <c r="A91" s="172" t="str">
        <f>Daten!C84</f>
        <v>JC Weimarer Land</v>
      </c>
      <c r="B91" s="214" t="str">
        <f>Daten!A84</f>
        <v>09312</v>
      </c>
      <c r="C91" s="172" t="str">
        <f>Daten!F84</f>
        <v>16</v>
      </c>
      <c r="D91" s="145" t="str">
        <f>Daten!E84</f>
        <v>IIIa</v>
      </c>
      <c r="E91" s="282">
        <f>INDEX(Daten!$R$7:$R$429,MATCH('2'!B91,Daten!$A$7:$A$429,0))</f>
        <v>37272143.760000005</v>
      </c>
      <c r="F91" s="175">
        <f>INDEX(Daten!$M$7:$M$429,MATCH('2'!B91,Daten!$A$7:$A$429,0))</f>
        <v>15334145.940000001</v>
      </c>
      <c r="G91" s="135">
        <f>INDEX(Daten!$N$7:$N$429,MATCH('2'!B91,Daten!$A$7:$A$429,0))</f>
        <v>9454393.5599999987</v>
      </c>
      <c r="H91" s="135">
        <f>INDEX(Daten!$P$7:$P$429,MATCH('2'!B91,Daten!$A$7:$A$429,0))</f>
        <v>4902792.68</v>
      </c>
      <c r="I91" s="135">
        <f>INDEX(Daten!$L$7:$L$429,MATCH('2'!B91,Daten!$A$7:$A$429,0))</f>
        <v>1685677.3299999998</v>
      </c>
      <c r="J91" s="135">
        <f>INDEX(Daten!$K$7:$K$429,MATCH('2'!B91,Daten!$A$7:$A$429,0))</f>
        <v>5792782.4900000002</v>
      </c>
      <c r="K91" s="135">
        <f>INDEX(Daten!$O$7:$O$429,MATCH('2'!B91,Daten!$A$7:$A$429,0))</f>
        <v>102351.76</v>
      </c>
      <c r="L91" s="151">
        <f>INDEX(Daten!$Q$7:$Q$429,MATCH('2'!B91,Daten!$A$7:$A$429,0))</f>
        <v>579676.66999999993</v>
      </c>
    </row>
    <row r="92" spans="1:12" ht="15" customHeight="1">
      <c r="A92" s="172" t="str">
        <f>Daten!C85</f>
        <v>JC Gotha</v>
      </c>
      <c r="B92" s="214" t="str">
        <f>Daten!A85</f>
        <v>09318</v>
      </c>
      <c r="C92" s="172" t="str">
        <f>Daten!F85</f>
        <v>16</v>
      </c>
      <c r="D92" s="145" t="str">
        <f>Daten!E85</f>
        <v>IIIa</v>
      </c>
      <c r="E92" s="282">
        <f>INDEX(Daten!$R$7:$R$429,MATCH('2'!B92,Daten!$A$7:$A$429,0))</f>
        <v>68039374.269999996</v>
      </c>
      <c r="F92" s="175">
        <f>INDEX(Daten!$M$7:$M$429,MATCH('2'!B92,Daten!$A$7:$A$429,0))</f>
        <v>29271961.989999998</v>
      </c>
      <c r="G92" s="135">
        <f>INDEX(Daten!$N$7:$N$429,MATCH('2'!B92,Daten!$A$7:$A$429,0))</f>
        <v>15947064.509999998</v>
      </c>
      <c r="H92" s="135">
        <f>INDEX(Daten!$P$7:$P$429,MATCH('2'!B92,Daten!$A$7:$A$429,0))</f>
        <v>9319501.620000001</v>
      </c>
      <c r="I92" s="135">
        <f>INDEX(Daten!$L$7:$L$429,MATCH('2'!B92,Daten!$A$7:$A$429,0))</f>
        <v>3680250.7900000005</v>
      </c>
      <c r="J92" s="135">
        <f>INDEX(Daten!$K$7:$K$429,MATCH('2'!B92,Daten!$A$7:$A$429,0))</f>
        <v>9392510.0899999999</v>
      </c>
      <c r="K92" s="135">
        <f>INDEX(Daten!$O$7:$O$429,MATCH('2'!B92,Daten!$A$7:$A$429,0))</f>
        <v>428085.27</v>
      </c>
      <c r="L92" s="151">
        <f>INDEX(Daten!$Q$7:$Q$429,MATCH('2'!B92,Daten!$A$7:$A$429,0))</f>
        <v>1048914.33</v>
      </c>
    </row>
    <row r="93" spans="1:12" ht="15" customHeight="1">
      <c r="A93" s="172" t="str">
        <f>Daten!C86</f>
        <v>JC Gera, Stadt</v>
      </c>
      <c r="B93" s="214" t="str">
        <f>Daten!A86</f>
        <v>09402</v>
      </c>
      <c r="C93" s="172" t="str">
        <f>Daten!F86</f>
        <v>16</v>
      </c>
      <c r="D93" s="145" t="str">
        <f>Daten!E86</f>
        <v>IIIe</v>
      </c>
      <c r="E93" s="282">
        <f>INDEX(Daten!$R$7:$R$429,MATCH('2'!B93,Daten!$A$7:$A$429,0))</f>
        <v>99921277.579999998</v>
      </c>
      <c r="F93" s="175">
        <f>INDEX(Daten!$M$7:$M$429,MATCH('2'!B93,Daten!$A$7:$A$429,0))</f>
        <v>43219131.289999992</v>
      </c>
      <c r="G93" s="135">
        <f>INDEX(Daten!$N$7:$N$429,MATCH('2'!B93,Daten!$A$7:$A$429,0))</f>
        <v>24900887.09</v>
      </c>
      <c r="H93" s="135">
        <f>INDEX(Daten!$P$7:$P$429,MATCH('2'!B93,Daten!$A$7:$A$429,0))</f>
        <v>13461786.01</v>
      </c>
      <c r="I93" s="135">
        <f>INDEX(Daten!$L$7:$L$429,MATCH('2'!B93,Daten!$A$7:$A$429,0))</f>
        <v>5924750.96</v>
      </c>
      <c r="J93" s="135">
        <f>INDEX(Daten!$K$7:$K$429,MATCH('2'!B93,Daten!$A$7:$A$429,0))</f>
        <v>11718728.49</v>
      </c>
      <c r="K93" s="135">
        <f>INDEX(Daten!$O$7:$O$429,MATCH('2'!B93,Daten!$A$7:$A$429,0))</f>
        <v>695993.74</v>
      </c>
      <c r="L93" s="151">
        <f>INDEX(Daten!$Q$7:$Q$429,MATCH('2'!B93,Daten!$A$7:$A$429,0))</f>
        <v>1741236.13</v>
      </c>
    </row>
    <row r="94" spans="1:12" ht="15" customHeight="1">
      <c r="A94" s="172" t="str">
        <f>Daten!C87</f>
        <v>JC Saale-Orla-Kreis</v>
      </c>
      <c r="B94" s="214" t="str">
        <f>Daten!A87</f>
        <v>09414</v>
      </c>
      <c r="C94" s="172" t="str">
        <f>Daten!F87</f>
        <v>16</v>
      </c>
      <c r="D94" s="145" t="str">
        <f>Daten!E87</f>
        <v>IIIa</v>
      </c>
      <c r="E94" s="282">
        <f>INDEX(Daten!$R$7:$R$429,MATCH('2'!B94,Daten!$A$7:$A$429,0))</f>
        <v>33321822.649999999</v>
      </c>
      <c r="F94" s="175">
        <f>INDEX(Daten!$M$7:$M$429,MATCH('2'!B94,Daten!$A$7:$A$429,0))</f>
        <v>14004697.649999999</v>
      </c>
      <c r="G94" s="135">
        <f>INDEX(Daten!$N$7:$N$429,MATCH('2'!B94,Daten!$A$7:$A$429,0))</f>
        <v>8266106.4699999988</v>
      </c>
      <c r="H94" s="135">
        <f>INDEX(Daten!$P$7:$P$429,MATCH('2'!B94,Daten!$A$7:$A$429,0))</f>
        <v>4490872.32</v>
      </c>
      <c r="I94" s="135">
        <f>INDEX(Daten!$L$7:$L$429,MATCH('2'!B94,Daten!$A$7:$A$429,0))</f>
        <v>1827022.5400000003</v>
      </c>
      <c r="J94" s="135">
        <f>INDEX(Daten!$K$7:$K$429,MATCH('2'!B94,Daten!$A$7:$A$429,0))</f>
        <v>4460558.1900000004</v>
      </c>
      <c r="K94" s="135">
        <f>INDEX(Daten!$O$7:$O$429,MATCH('2'!B94,Daten!$A$7:$A$429,0))</f>
        <v>272565.48</v>
      </c>
      <c r="L94" s="151">
        <f>INDEX(Daten!$Q$7:$Q$429,MATCH('2'!B94,Daten!$A$7:$A$429,0))</f>
        <v>618997.57000000007</v>
      </c>
    </row>
    <row r="95" spans="1:12" ht="15" customHeight="1">
      <c r="A95" s="172" t="str">
        <f>Daten!C88</f>
        <v>JC Altenburger Land</v>
      </c>
      <c r="B95" s="214" t="str">
        <f>Daten!A88</f>
        <v>09418</v>
      </c>
      <c r="C95" s="172" t="str">
        <f>Daten!F88</f>
        <v>16</v>
      </c>
      <c r="D95" s="145" t="str">
        <f>Daten!E88</f>
        <v>IIId</v>
      </c>
      <c r="E95" s="282">
        <f>INDEX(Daten!$R$7:$R$429,MATCH('2'!B95,Daten!$A$7:$A$429,0))</f>
        <v>73728880.159999996</v>
      </c>
      <c r="F95" s="175">
        <f>INDEX(Daten!$M$7:$M$429,MATCH('2'!B95,Daten!$A$7:$A$429,0))</f>
        <v>31693720.18</v>
      </c>
      <c r="G95" s="135">
        <f>INDEX(Daten!$N$7:$N$429,MATCH('2'!B95,Daten!$A$7:$A$429,0))</f>
        <v>18149326.079999994</v>
      </c>
      <c r="H95" s="135">
        <f>INDEX(Daten!$P$7:$P$429,MATCH('2'!B95,Daten!$A$7:$A$429,0))</f>
        <v>9866337.8799999971</v>
      </c>
      <c r="I95" s="135">
        <f>INDEX(Daten!$L$7:$L$429,MATCH('2'!B95,Daten!$A$7:$A$429,0))</f>
        <v>4457238.6500000004</v>
      </c>
      <c r="J95" s="135">
        <f>INDEX(Daten!$K$7:$K$429,MATCH('2'!B95,Daten!$A$7:$A$429,0))</f>
        <v>8917089.290000001</v>
      </c>
      <c r="K95" s="135">
        <f>INDEX(Daten!$O$7:$O$429,MATCH('2'!B95,Daten!$A$7:$A$429,0))</f>
        <v>645168.08000000007</v>
      </c>
      <c r="L95" s="151">
        <f>INDEX(Daten!$Q$7:$Q$429,MATCH('2'!B95,Daten!$A$7:$A$429,0))</f>
        <v>1126681.82</v>
      </c>
    </row>
    <row r="96" spans="1:12" ht="15" customHeight="1">
      <c r="A96" s="172" t="str">
        <f>Daten!C89</f>
        <v>JC Jena, Stadt</v>
      </c>
      <c r="B96" s="214" t="str">
        <f>Daten!A89</f>
        <v>09437</v>
      </c>
      <c r="C96" s="172" t="str">
        <f>Daten!F89</f>
        <v>16</v>
      </c>
      <c r="D96" s="145" t="str">
        <f>Daten!E89</f>
        <v>IIIe</v>
      </c>
      <c r="E96" s="282">
        <f>INDEX(Daten!$R$7:$R$429,MATCH('2'!B96,Daten!$A$7:$A$429,0))</f>
        <v>59889246</v>
      </c>
      <c r="F96" s="175">
        <f>INDEX(Daten!$M$7:$M$429,MATCH('2'!B96,Daten!$A$7:$A$429,0))</f>
        <v>22965804</v>
      </c>
      <c r="G96" s="135">
        <f>INDEX(Daten!$N$7:$N$429,MATCH('2'!B96,Daten!$A$7:$A$429,0))</f>
        <v>16157031</v>
      </c>
      <c r="H96" s="135">
        <f>INDEX(Daten!$P$7:$P$429,MATCH('2'!B96,Daten!$A$7:$A$429,0))</f>
        <v>7864565</v>
      </c>
      <c r="I96" s="135">
        <f>INDEX(Daten!$L$7:$L$429,MATCH('2'!B96,Daten!$A$7:$A$429,0))</f>
        <v>3803551</v>
      </c>
      <c r="J96" s="135">
        <f>INDEX(Daten!$K$7:$K$429,MATCH('2'!B96,Daten!$A$7:$A$429,0))</f>
        <v>8761034</v>
      </c>
      <c r="K96" s="135">
        <f>INDEX(Daten!$O$7:$O$429,MATCH('2'!B96,Daten!$A$7:$A$429,0))</f>
        <v>337261</v>
      </c>
      <c r="L96" s="151">
        <f>INDEX(Daten!$Q$7:$Q$429,MATCH('2'!B96,Daten!$A$7:$A$429,0))</f>
        <v>508083</v>
      </c>
    </row>
    <row r="97" spans="1:12" ht="15" customHeight="1">
      <c r="A97" s="172" t="str">
        <f>Daten!C90</f>
        <v>JC Saale-Holzland-Kreis</v>
      </c>
      <c r="B97" s="214" t="str">
        <f>Daten!A90</f>
        <v>09439</v>
      </c>
      <c r="C97" s="172" t="str">
        <f>Daten!F90</f>
        <v>16</v>
      </c>
      <c r="D97" s="145" t="str">
        <f>Daten!E90</f>
        <v>IIIa</v>
      </c>
      <c r="E97" s="282">
        <f>INDEX(Daten!$R$7:$R$429,MATCH('2'!B97,Daten!$A$7:$A$429,0))</f>
        <v>31087574.240000002</v>
      </c>
      <c r="F97" s="175">
        <f>INDEX(Daten!$M$7:$M$429,MATCH('2'!B97,Daten!$A$7:$A$429,0))</f>
        <v>12863811.68</v>
      </c>
      <c r="G97" s="135">
        <f>INDEX(Daten!$N$7:$N$429,MATCH('2'!B97,Daten!$A$7:$A$429,0))</f>
        <v>7471796.2999999989</v>
      </c>
      <c r="H97" s="135">
        <f>INDEX(Daten!$P$7:$P$429,MATCH('2'!B97,Daten!$A$7:$A$429,0))</f>
        <v>4276083.7600000016</v>
      </c>
      <c r="I97" s="135">
        <f>INDEX(Daten!$L$7:$L$429,MATCH('2'!B97,Daten!$A$7:$A$429,0))</f>
        <v>1260927.98</v>
      </c>
      <c r="J97" s="135">
        <f>INDEX(Daten!$K$7:$K$429,MATCH('2'!B97,Daten!$A$7:$A$429,0))</f>
        <v>5098789.5</v>
      </c>
      <c r="K97" s="135">
        <f>INDEX(Daten!$O$7:$O$429,MATCH('2'!B97,Daten!$A$7:$A$429,0))</f>
        <v>116165.02</v>
      </c>
      <c r="L97" s="151">
        <f>INDEX(Daten!$Q$7:$Q$429,MATCH('2'!B97,Daten!$A$7:$A$429,0))</f>
        <v>391703.35000000003</v>
      </c>
    </row>
    <row r="98" spans="1:12" ht="15" customHeight="1">
      <c r="A98" s="172" t="str">
        <f>Daten!C91</f>
        <v>JC Saalfeld-Rudolstadt</v>
      </c>
      <c r="B98" s="214" t="str">
        <f>Daten!A91</f>
        <v>09441</v>
      </c>
      <c r="C98" s="172" t="str">
        <f>Daten!F91</f>
        <v>16</v>
      </c>
      <c r="D98" s="145" t="str">
        <f>Daten!E91</f>
        <v>IIIa</v>
      </c>
      <c r="E98" s="282">
        <f>INDEX(Daten!$R$7:$R$429,MATCH('2'!B98,Daten!$A$7:$A$429,0))</f>
        <v>57149209.650000006</v>
      </c>
      <c r="F98" s="175">
        <f>INDEX(Daten!$M$7:$M$429,MATCH('2'!B98,Daten!$A$7:$A$429,0))</f>
        <v>23937001.890000001</v>
      </c>
      <c r="G98" s="135">
        <f>INDEX(Daten!$N$7:$N$429,MATCH('2'!B98,Daten!$A$7:$A$429,0))</f>
        <v>14694241.219999999</v>
      </c>
      <c r="H98" s="135">
        <f>INDEX(Daten!$P$7:$P$429,MATCH('2'!B98,Daten!$A$7:$A$429,0))</f>
        <v>7600403.4500000002</v>
      </c>
      <c r="I98" s="135">
        <f>INDEX(Daten!$L$7:$L$429,MATCH('2'!B98,Daten!$A$7:$A$429,0))</f>
        <v>2980832.4800000004</v>
      </c>
      <c r="J98" s="135">
        <f>INDEX(Daten!$K$7:$K$429,MATCH('2'!B98,Daten!$A$7:$A$429,0))</f>
        <v>7667995.5099999998</v>
      </c>
      <c r="K98" s="135">
        <f>INDEX(Daten!$O$7:$O$429,MATCH('2'!B98,Daten!$A$7:$A$429,0))</f>
        <v>268735.09999999998</v>
      </c>
      <c r="L98" s="151">
        <f>INDEX(Daten!$Q$7:$Q$429,MATCH('2'!B98,Daten!$A$7:$A$429,0))</f>
        <v>287856.00999999989</v>
      </c>
    </row>
    <row r="99" spans="1:12" ht="15" customHeight="1">
      <c r="A99" s="172" t="str">
        <f>Daten!C92</f>
        <v>JC Greiz</v>
      </c>
      <c r="B99" s="214" t="str">
        <f>Daten!A92</f>
        <v>09446</v>
      </c>
      <c r="C99" s="172" t="str">
        <f>Daten!F92</f>
        <v>16</v>
      </c>
      <c r="D99" s="145" t="str">
        <f>Daten!E92</f>
        <v>IIIa</v>
      </c>
      <c r="E99" s="282">
        <f>INDEX(Daten!$R$7:$R$429,MATCH('2'!B99,Daten!$A$7:$A$429,0))</f>
        <v>40309935</v>
      </c>
      <c r="F99" s="175">
        <f>INDEX(Daten!$M$7:$M$429,MATCH('2'!B99,Daten!$A$7:$A$429,0))</f>
        <v>17252131</v>
      </c>
      <c r="G99" s="135">
        <f>INDEX(Daten!$N$7:$N$429,MATCH('2'!B99,Daten!$A$7:$A$429,0))</f>
        <v>9588381</v>
      </c>
      <c r="H99" s="135">
        <f>INDEX(Daten!$P$7:$P$429,MATCH('2'!B99,Daten!$A$7:$A$429,0))</f>
        <v>5467159</v>
      </c>
      <c r="I99" s="135">
        <f>INDEX(Daten!$L$7:$L$429,MATCH('2'!B99,Daten!$A$7:$A$429,0))</f>
        <v>2131622</v>
      </c>
      <c r="J99" s="135">
        <f>INDEX(Daten!$K$7:$K$429,MATCH('2'!B99,Daten!$A$7:$A$429,0))</f>
        <v>5616793</v>
      </c>
      <c r="K99" s="135">
        <f>INDEX(Daten!$O$7:$O$429,MATCH('2'!B99,Daten!$A$7:$A$429,0))</f>
        <v>253849</v>
      </c>
      <c r="L99" s="151">
        <f>INDEX(Daten!$Q$7:$Q$429,MATCH('2'!B99,Daten!$A$7:$A$429,0))</f>
        <v>524128</v>
      </c>
    </row>
    <row r="100" spans="1:12" ht="15" customHeight="1">
      <c r="A100" s="172" t="str">
        <f>Daten!C93</f>
        <v>JC Nordhausen</v>
      </c>
      <c r="B100" s="214" t="str">
        <f>Daten!A93</f>
        <v>09702</v>
      </c>
      <c r="C100" s="172" t="str">
        <f>Daten!F93</f>
        <v>16</v>
      </c>
      <c r="D100" s="145" t="str">
        <f>Daten!E93</f>
        <v>IIId</v>
      </c>
      <c r="E100" s="282">
        <f>INDEX(Daten!$R$7:$R$429,MATCH('2'!B100,Daten!$A$7:$A$429,0))</f>
        <v>62071167.500000007</v>
      </c>
      <c r="F100" s="175">
        <f>INDEX(Daten!$M$7:$M$429,MATCH('2'!B100,Daten!$A$7:$A$429,0))</f>
        <v>26688125.34</v>
      </c>
      <c r="G100" s="135">
        <f>INDEX(Daten!$N$7:$N$429,MATCH('2'!B100,Daten!$A$7:$A$429,0))</f>
        <v>14471018.380000001</v>
      </c>
      <c r="H100" s="135">
        <f>INDEX(Daten!$P$7:$P$429,MATCH('2'!B100,Daten!$A$7:$A$429,0))</f>
        <v>8558523.2199999969</v>
      </c>
      <c r="I100" s="135">
        <f>INDEX(Daten!$L$7:$L$429,MATCH('2'!B100,Daten!$A$7:$A$429,0))</f>
        <v>3373429.83</v>
      </c>
      <c r="J100" s="135">
        <f>INDEX(Daten!$K$7:$K$429,MATCH('2'!B100,Daten!$A$7:$A$429,0))</f>
        <v>8842670.5299999993</v>
      </c>
      <c r="K100" s="135">
        <f>INDEX(Daten!$O$7:$O$429,MATCH('2'!B100,Daten!$A$7:$A$429,0))</f>
        <v>137400.19999999998</v>
      </c>
      <c r="L100" s="151">
        <f>INDEX(Daten!$Q$7:$Q$429,MATCH('2'!B100,Daten!$A$7:$A$429,0))</f>
        <v>1173934.6599999999</v>
      </c>
    </row>
    <row r="101" spans="1:12" ht="15" customHeight="1">
      <c r="A101" s="172" t="str">
        <f>Daten!C94</f>
        <v>JC Eichsfeld</v>
      </c>
      <c r="B101" s="214" t="str">
        <f>Daten!A94</f>
        <v>09704</v>
      </c>
      <c r="C101" s="172" t="str">
        <f>Daten!F94</f>
        <v>16</v>
      </c>
      <c r="D101" s="145" t="str">
        <f>Daten!E94</f>
        <v>Ie</v>
      </c>
      <c r="E101" s="282">
        <f>INDEX(Daten!$R$7:$R$429,MATCH('2'!B101,Daten!$A$7:$A$429,0))</f>
        <v>34598829</v>
      </c>
      <c r="F101" s="175">
        <f>INDEX(Daten!$M$7:$M$429,MATCH('2'!B101,Daten!$A$7:$A$429,0))</f>
        <v>14705121</v>
      </c>
      <c r="G101" s="135">
        <f>INDEX(Daten!$N$7:$N$429,MATCH('2'!B101,Daten!$A$7:$A$429,0))</f>
        <v>8819166</v>
      </c>
      <c r="H101" s="135">
        <f>INDEX(Daten!$P$7:$P$429,MATCH('2'!B101,Daten!$A$7:$A$429,0))</f>
        <v>4881591</v>
      </c>
      <c r="I101" s="135">
        <f>INDEX(Daten!$L$7:$L$429,MATCH('2'!B101,Daten!$A$7:$A$429,0))</f>
        <v>1932046</v>
      </c>
      <c r="J101" s="135">
        <f>INDEX(Daten!$K$7:$K$429,MATCH('2'!B101,Daten!$A$7:$A$429,0))</f>
        <v>4159387</v>
      </c>
      <c r="K101" s="135">
        <f>INDEX(Daten!$O$7:$O$429,MATCH('2'!B101,Daten!$A$7:$A$429,0))</f>
        <v>101518</v>
      </c>
      <c r="L101" s="151">
        <f>INDEX(Daten!$Q$7:$Q$429,MATCH('2'!B101,Daten!$A$7:$A$429,0))</f>
        <v>555086</v>
      </c>
    </row>
    <row r="102" spans="1:12" ht="15" customHeight="1">
      <c r="A102" s="172" t="str">
        <f>Daten!C95</f>
        <v>JC Kyffhäuserkreis</v>
      </c>
      <c r="B102" s="214" t="str">
        <f>Daten!A95</f>
        <v>09708</v>
      </c>
      <c r="C102" s="172" t="str">
        <f>Daten!F95</f>
        <v>16</v>
      </c>
      <c r="D102" s="145" t="str">
        <f>Daten!E95</f>
        <v>IIId</v>
      </c>
      <c r="E102" s="282">
        <f>INDEX(Daten!$R$7:$R$429,MATCH('2'!B102,Daten!$A$7:$A$429,0))</f>
        <v>53893393.450000003</v>
      </c>
      <c r="F102" s="175">
        <f>INDEX(Daten!$M$7:$M$429,MATCH('2'!B102,Daten!$A$7:$A$429,0))</f>
        <v>22503489.72000001</v>
      </c>
      <c r="G102" s="135">
        <f>INDEX(Daten!$N$7:$N$429,MATCH('2'!B102,Daten!$A$7:$A$429,0))</f>
        <v>12441422.02</v>
      </c>
      <c r="H102" s="135">
        <f>INDEX(Daten!$P$7:$P$429,MATCH('2'!B102,Daten!$A$7:$A$429,0))</f>
        <v>7188208.3999999994</v>
      </c>
      <c r="I102" s="135">
        <f>INDEX(Daten!$L$7:$L$429,MATCH('2'!B102,Daten!$A$7:$A$429,0))</f>
        <v>3158723.41</v>
      </c>
      <c r="J102" s="135">
        <f>INDEX(Daten!$K$7:$K$429,MATCH('2'!B102,Daten!$A$7:$A$429,0))</f>
        <v>8165490.1399999987</v>
      </c>
      <c r="K102" s="135">
        <f>INDEX(Daten!$O$7:$O$429,MATCH('2'!B102,Daten!$A$7:$A$429,0))</f>
        <v>436059.76</v>
      </c>
      <c r="L102" s="151">
        <f>INDEX(Daten!$Q$7:$Q$429,MATCH('2'!B102,Daten!$A$7:$A$429,0))</f>
        <v>170859.35</v>
      </c>
    </row>
    <row r="103" spans="1:12" ht="15" customHeight="1">
      <c r="A103" s="172" t="str">
        <f>Daten!C96</f>
        <v>JC Unstrut-Hainich-Kreis</v>
      </c>
      <c r="B103" s="214" t="str">
        <f>Daten!A96</f>
        <v>09740</v>
      </c>
      <c r="C103" s="172" t="str">
        <f>Daten!F96</f>
        <v>16</v>
      </c>
      <c r="D103" s="145" t="str">
        <f>Daten!E96</f>
        <v>IIId</v>
      </c>
      <c r="E103" s="282">
        <f>INDEX(Daten!$R$7:$R$429,MATCH('2'!B103,Daten!$A$7:$A$429,0))</f>
        <v>64009088.640000001</v>
      </c>
      <c r="F103" s="175">
        <f>INDEX(Daten!$M$7:$M$429,MATCH('2'!B103,Daten!$A$7:$A$429,0))</f>
        <v>26559007.080000002</v>
      </c>
      <c r="G103" s="135">
        <f>INDEX(Daten!$N$7:$N$429,MATCH('2'!B103,Daten!$A$7:$A$429,0))</f>
        <v>15597213.92</v>
      </c>
      <c r="H103" s="135">
        <f>INDEX(Daten!$P$7:$P$429,MATCH('2'!B103,Daten!$A$7:$A$429,0))</f>
        <v>8753271.6099999994</v>
      </c>
      <c r="I103" s="135">
        <f>INDEX(Daten!$L$7:$L$429,MATCH('2'!B103,Daten!$A$7:$A$429,0))</f>
        <v>3586545.2600000002</v>
      </c>
      <c r="J103" s="135">
        <f>INDEX(Daten!$K$7:$K$429,MATCH('2'!B103,Daten!$A$7:$A$429,0))</f>
        <v>9180937.6600000001</v>
      </c>
      <c r="K103" s="135">
        <f>INDEX(Daten!$O$7:$O$429,MATCH('2'!B103,Daten!$A$7:$A$429,0))</f>
        <v>332113.11</v>
      </c>
      <c r="L103" s="151">
        <f>INDEX(Daten!$Q$7:$Q$429,MATCH('2'!B103,Daten!$A$7:$A$429,0))</f>
        <v>1083353.5999999999</v>
      </c>
    </row>
    <row r="104" spans="1:12" ht="15" customHeight="1">
      <c r="A104" s="172" t="str">
        <f>Daten!C97</f>
        <v>JC Suhl, Stadt</v>
      </c>
      <c r="B104" s="214" t="str">
        <f>Daten!A97</f>
        <v>09802</v>
      </c>
      <c r="C104" s="172" t="str">
        <f>Daten!F97</f>
        <v>16</v>
      </c>
      <c r="D104" s="145" t="str">
        <f>Daten!E97</f>
        <v>IIIa</v>
      </c>
      <c r="E104" s="282">
        <f>INDEX(Daten!$R$7:$R$429,MATCH('2'!B104,Daten!$A$7:$A$429,0))</f>
        <v>17694909.380000003</v>
      </c>
      <c r="F104" s="175">
        <f>INDEX(Daten!$M$7:$M$429,MATCH('2'!B104,Daten!$A$7:$A$429,0))</f>
        <v>7422086.04</v>
      </c>
      <c r="G104" s="135">
        <f>INDEX(Daten!$N$7:$N$429,MATCH('2'!B104,Daten!$A$7:$A$429,0))</f>
        <v>4266541.6600000011</v>
      </c>
      <c r="H104" s="135">
        <f>INDEX(Daten!$P$7:$P$429,MATCH('2'!B104,Daten!$A$7:$A$429,0))</f>
        <v>2365370.36</v>
      </c>
      <c r="I104" s="135">
        <f>INDEX(Daten!$L$7:$L$429,MATCH('2'!B104,Daten!$A$7:$A$429,0))</f>
        <v>1023343.42</v>
      </c>
      <c r="J104" s="135">
        <f>INDEX(Daten!$K$7:$K$429,MATCH('2'!B104,Daten!$A$7:$A$429,0))</f>
        <v>2533372.62</v>
      </c>
      <c r="K104" s="135">
        <f>INDEX(Daten!$O$7:$O$429,MATCH('2'!B104,Daten!$A$7:$A$429,0))</f>
        <v>84195.280000000013</v>
      </c>
      <c r="L104" s="151">
        <f>INDEX(Daten!$Q$7:$Q$429,MATCH('2'!B104,Daten!$A$7:$A$429,0))</f>
        <v>231862.54</v>
      </c>
    </row>
    <row r="105" spans="1:12" ht="15" customHeight="1">
      <c r="A105" s="172" t="str">
        <f>Daten!C98</f>
        <v>JC Hildburghausen</v>
      </c>
      <c r="B105" s="214" t="str">
        <f>Daten!A98</f>
        <v>09804</v>
      </c>
      <c r="C105" s="172" t="str">
        <f>Daten!F98</f>
        <v>16</v>
      </c>
      <c r="D105" s="145" t="str">
        <f>Daten!E98</f>
        <v>Ie</v>
      </c>
      <c r="E105" s="282">
        <f>INDEX(Daten!$R$7:$R$429,MATCH('2'!B105,Daten!$A$7:$A$429,0))</f>
        <v>18601628.390000001</v>
      </c>
      <c r="F105" s="175">
        <f>INDEX(Daten!$M$7:$M$429,MATCH('2'!B105,Daten!$A$7:$A$429,0))</f>
        <v>8120321.129999999</v>
      </c>
      <c r="G105" s="135">
        <f>INDEX(Daten!$N$7:$N$429,MATCH('2'!B105,Daten!$A$7:$A$429,0))</f>
        <v>4178831.39</v>
      </c>
      <c r="H105" s="135">
        <f>INDEX(Daten!$P$7:$P$429,MATCH('2'!B105,Daten!$A$7:$A$429,0))</f>
        <v>2615574.29</v>
      </c>
      <c r="I105" s="135">
        <f>INDEX(Daten!$L$7:$L$429,MATCH('2'!B105,Daten!$A$7:$A$429,0))</f>
        <v>794465.09999999986</v>
      </c>
      <c r="J105" s="135">
        <f>INDEX(Daten!$K$7:$K$429,MATCH('2'!B105,Daten!$A$7:$A$429,0))</f>
        <v>2831644.08</v>
      </c>
      <c r="K105" s="135">
        <f>INDEX(Daten!$O$7:$O$429,MATCH('2'!B105,Daten!$A$7:$A$429,0))</f>
        <v>60792.4</v>
      </c>
      <c r="L105" s="151">
        <f>INDEX(Daten!$Q$7:$Q$429,MATCH('2'!B105,Daten!$A$7:$A$429,0))</f>
        <v>162757.18000000002</v>
      </c>
    </row>
    <row r="106" spans="1:12" ht="15" customHeight="1">
      <c r="A106" s="172" t="str">
        <f>Daten!C99</f>
        <v>JC Sonneberg</v>
      </c>
      <c r="B106" s="214" t="str">
        <f>Daten!A99</f>
        <v>09806</v>
      </c>
      <c r="C106" s="172" t="str">
        <f>Daten!F99</f>
        <v>16</v>
      </c>
      <c r="D106" s="145" t="str">
        <f>Daten!E99</f>
        <v>Ie</v>
      </c>
      <c r="E106" s="282">
        <f>INDEX(Daten!$R$7:$R$429,MATCH('2'!B106,Daten!$A$7:$A$429,0))</f>
        <v>19900788.469999999</v>
      </c>
      <c r="F106" s="175">
        <f>INDEX(Daten!$M$7:$M$429,MATCH('2'!B106,Daten!$A$7:$A$429,0))</f>
        <v>8185053.4300000006</v>
      </c>
      <c r="G106" s="135">
        <f>INDEX(Daten!$N$7:$N$429,MATCH('2'!B106,Daten!$A$7:$A$429,0))</f>
        <v>4842546.4100000011</v>
      </c>
      <c r="H106" s="135">
        <f>INDEX(Daten!$P$7:$P$429,MATCH('2'!B106,Daten!$A$7:$A$429,0))</f>
        <v>2725348.0000000005</v>
      </c>
      <c r="I106" s="135">
        <f>INDEX(Daten!$L$7:$L$429,MATCH('2'!B106,Daten!$A$7:$A$429,0))</f>
        <v>939409.61</v>
      </c>
      <c r="J106" s="135">
        <f>INDEX(Daten!$K$7:$K$429,MATCH('2'!B106,Daten!$A$7:$A$429,0))</f>
        <v>3139757.71</v>
      </c>
      <c r="K106" s="135">
        <f>INDEX(Daten!$O$7:$O$429,MATCH('2'!B106,Daten!$A$7:$A$429,0))</f>
        <v>68673.31</v>
      </c>
      <c r="L106" s="151">
        <f>INDEX(Daten!$Q$7:$Q$429,MATCH('2'!B106,Daten!$A$7:$A$429,0))</f>
        <v>0</v>
      </c>
    </row>
    <row r="107" spans="1:12" ht="15" customHeight="1">
      <c r="A107" s="172" t="str">
        <f>Daten!C100</f>
        <v>JC Wartburgkreis</v>
      </c>
      <c r="B107" s="214" t="str">
        <f>Daten!A100</f>
        <v>09810</v>
      </c>
      <c r="C107" s="172" t="str">
        <f>Daten!F100</f>
        <v>16</v>
      </c>
      <c r="D107" s="145" t="str">
        <f>Daten!E100</f>
        <v>Ie</v>
      </c>
      <c r="E107" s="282">
        <f>INDEX(Daten!$R$7:$R$429,MATCH('2'!B107,Daten!$A$7:$A$429,0))</f>
        <v>72750218.859999999</v>
      </c>
      <c r="F107" s="175">
        <f>INDEX(Daten!$M$7:$M$429,MATCH('2'!B107,Daten!$A$7:$A$429,0))</f>
        <v>30452268.400000006</v>
      </c>
      <c r="G107" s="135">
        <f>INDEX(Daten!$N$7:$N$429,MATCH('2'!B107,Daten!$A$7:$A$429,0))</f>
        <v>17758678.159999996</v>
      </c>
      <c r="H107" s="135">
        <f>INDEX(Daten!$P$7:$P$429,MATCH('2'!B107,Daten!$A$7:$A$429,0))</f>
        <v>9577551.1599999964</v>
      </c>
      <c r="I107" s="135">
        <f>INDEX(Daten!$L$7:$L$429,MATCH('2'!B107,Daten!$A$7:$A$429,0))</f>
        <v>3303039.3200000003</v>
      </c>
      <c r="J107" s="135">
        <f>INDEX(Daten!$K$7:$K$429,MATCH('2'!B107,Daten!$A$7:$A$429,0))</f>
        <v>11103476.200000001</v>
      </c>
      <c r="K107" s="135">
        <f>INDEX(Daten!$O$7:$O$429,MATCH('2'!B107,Daten!$A$7:$A$429,0))</f>
        <v>555205.62</v>
      </c>
      <c r="L107" s="151">
        <f>INDEX(Daten!$Q$7:$Q$429,MATCH('2'!B107,Daten!$A$7:$A$429,0))</f>
        <v>994687.44</v>
      </c>
    </row>
    <row r="108" spans="1:12" ht="15" customHeight="1">
      <c r="A108" s="172" t="str">
        <f>Daten!C101</f>
        <v>JC Schmalkalden-Meiningen</v>
      </c>
      <c r="B108" s="214" t="str">
        <f>Daten!A101</f>
        <v>09840</v>
      </c>
      <c r="C108" s="172" t="str">
        <f>Daten!F101</f>
        <v>16</v>
      </c>
      <c r="D108" s="145" t="str">
        <f>Daten!E101</f>
        <v>Ie</v>
      </c>
      <c r="E108" s="282">
        <f>INDEX(Daten!$R$7:$R$429,MATCH('2'!B108,Daten!$A$7:$A$429,0))</f>
        <v>41972075</v>
      </c>
      <c r="F108" s="175">
        <f>INDEX(Daten!$M$7:$M$429,MATCH('2'!B108,Daten!$A$7:$A$429,0))</f>
        <v>18118705</v>
      </c>
      <c r="G108" s="135">
        <f>INDEX(Daten!$N$7:$N$429,MATCH('2'!B108,Daten!$A$7:$A$429,0))</f>
        <v>10844726</v>
      </c>
      <c r="H108" s="135">
        <f>INDEX(Daten!$P$7:$P$429,MATCH('2'!B108,Daten!$A$7:$A$429,0))</f>
        <v>5600239</v>
      </c>
      <c r="I108" s="135">
        <f>INDEX(Daten!$L$7:$L$429,MATCH('2'!B108,Daten!$A$7:$A$429,0))</f>
        <v>1764583</v>
      </c>
      <c r="J108" s="135">
        <f>INDEX(Daten!$K$7:$K$429,MATCH('2'!B108,Daten!$A$7:$A$429,0))</f>
        <v>5432978</v>
      </c>
      <c r="K108" s="135">
        <f>INDEX(Daten!$O$7:$O$429,MATCH('2'!B108,Daten!$A$7:$A$429,0))</f>
        <v>210844</v>
      </c>
      <c r="L108" s="151">
        <f>INDEX(Daten!$Q$7:$Q$429,MATCH('2'!B108,Daten!$A$7:$A$429,0))</f>
        <v>505100</v>
      </c>
    </row>
    <row r="109" spans="1:12" ht="15" customHeight="1">
      <c r="A109" s="172" t="str">
        <f>Daten!C102</f>
        <v>JC Stormarn</v>
      </c>
      <c r="B109" s="214" t="str">
        <f>Daten!A102</f>
        <v>11102</v>
      </c>
      <c r="C109" s="172" t="str">
        <f>Daten!F102</f>
        <v>01</v>
      </c>
      <c r="D109" s="145" t="str">
        <f>Daten!E102</f>
        <v>IIc</v>
      </c>
      <c r="E109" s="282">
        <f>INDEX(Daten!$R$7:$R$429,MATCH('2'!B109,Daten!$A$7:$A$429,0))</f>
        <v>120076170.47000003</v>
      </c>
      <c r="F109" s="175">
        <f>INDEX(Daten!$M$7:$M$429,MATCH('2'!B109,Daten!$A$7:$A$429,0))</f>
        <v>44981653.350000016</v>
      </c>
      <c r="G109" s="135">
        <f>INDEX(Daten!$N$7:$N$429,MATCH('2'!B109,Daten!$A$7:$A$429,0))</f>
        <v>40126560.029999994</v>
      </c>
      <c r="H109" s="135">
        <f>INDEX(Daten!$P$7:$P$429,MATCH('2'!B109,Daten!$A$7:$A$429,0))</f>
        <v>15144983.200000001</v>
      </c>
      <c r="I109" s="135">
        <f>INDEX(Daten!$L$7:$L$429,MATCH('2'!B109,Daten!$A$7:$A$429,0))</f>
        <v>7050917.0000000009</v>
      </c>
      <c r="J109" s="135">
        <f>INDEX(Daten!$K$7:$K$429,MATCH('2'!B109,Daten!$A$7:$A$429,0))</f>
        <v>12092903.440000001</v>
      </c>
      <c r="K109" s="135">
        <f>INDEX(Daten!$O$7:$O$429,MATCH('2'!B109,Daten!$A$7:$A$429,0))</f>
        <v>679153.45000000007</v>
      </c>
      <c r="L109" s="151">
        <f>INDEX(Daten!$Q$7:$Q$429,MATCH('2'!B109,Daten!$A$7:$A$429,0))</f>
        <v>2182778.1799999997</v>
      </c>
    </row>
    <row r="110" spans="1:12" ht="15" customHeight="1">
      <c r="A110" s="172" t="str">
        <f>Daten!C103</f>
        <v>JC Herzogtum Lauenburg</v>
      </c>
      <c r="B110" s="214" t="str">
        <f>Daten!A103</f>
        <v>11116</v>
      </c>
      <c r="C110" s="172" t="str">
        <f>Daten!F103</f>
        <v>01</v>
      </c>
      <c r="D110" s="145" t="str">
        <f>Daten!E103</f>
        <v>IIc</v>
      </c>
      <c r="E110" s="282">
        <f>INDEX(Daten!$R$7:$R$429,MATCH('2'!B110,Daten!$A$7:$A$429,0))</f>
        <v>123124424.98</v>
      </c>
      <c r="F110" s="175">
        <f>INDEX(Daten!$M$7:$M$429,MATCH('2'!B110,Daten!$A$7:$A$429,0))</f>
        <v>47459393.719999991</v>
      </c>
      <c r="G110" s="135">
        <f>INDEX(Daten!$N$7:$N$429,MATCH('2'!B110,Daten!$A$7:$A$429,0))</f>
        <v>38291631.190000005</v>
      </c>
      <c r="H110" s="135">
        <f>INDEX(Daten!$P$7:$P$429,MATCH('2'!B110,Daten!$A$7:$A$429,0))</f>
        <v>15790557.860000001</v>
      </c>
      <c r="I110" s="135">
        <f>INDEX(Daten!$L$7:$L$429,MATCH('2'!B110,Daten!$A$7:$A$429,0))</f>
        <v>8040078.9400000004</v>
      </c>
      <c r="J110" s="135">
        <f>INDEX(Daten!$K$7:$K$429,MATCH('2'!B110,Daten!$A$7:$A$429,0))</f>
        <v>13153102.68</v>
      </c>
      <c r="K110" s="135">
        <f>INDEX(Daten!$O$7:$O$429,MATCH('2'!B110,Daten!$A$7:$A$429,0))</f>
        <v>389660.59</v>
      </c>
      <c r="L110" s="151">
        <f>INDEX(Daten!$Q$7:$Q$429,MATCH('2'!B110,Daten!$A$7:$A$429,0))</f>
        <v>1348786.3799999997</v>
      </c>
    </row>
    <row r="111" spans="1:12" ht="15" customHeight="1">
      <c r="A111" s="172" t="str">
        <f>Daten!C104</f>
        <v>JC Pinneberg</v>
      </c>
      <c r="B111" s="214" t="str">
        <f>Daten!A104</f>
        <v>11502</v>
      </c>
      <c r="C111" s="172" t="str">
        <f>Daten!F104</f>
        <v>01</v>
      </c>
      <c r="D111" s="145" t="str">
        <f>Daten!E104</f>
        <v>IIc</v>
      </c>
      <c r="E111" s="282">
        <f>INDEX(Daten!$R$7:$R$429,MATCH('2'!B111,Daten!$A$7:$A$429,0))</f>
        <v>225491791.22</v>
      </c>
      <c r="F111" s="175">
        <f>INDEX(Daten!$M$7:$M$429,MATCH('2'!B111,Daten!$A$7:$A$429,0))</f>
        <v>83218573.61999999</v>
      </c>
      <c r="G111" s="135">
        <f>INDEX(Daten!$N$7:$N$429,MATCH('2'!B111,Daten!$A$7:$A$429,0))</f>
        <v>78385518.069999993</v>
      </c>
      <c r="H111" s="135">
        <f>INDEX(Daten!$P$7:$P$429,MATCH('2'!B111,Daten!$A$7:$A$429,0))</f>
        <v>27998931.620000001</v>
      </c>
      <c r="I111" s="135">
        <f>INDEX(Daten!$L$7:$L$429,MATCH('2'!B111,Daten!$A$7:$A$429,0))</f>
        <v>11114293.960000001</v>
      </c>
      <c r="J111" s="135">
        <f>INDEX(Daten!$K$7:$K$429,MATCH('2'!B111,Daten!$A$7:$A$429,0))</f>
        <v>23983038.739999998</v>
      </c>
      <c r="K111" s="135">
        <f>INDEX(Daten!$O$7:$O$429,MATCH('2'!B111,Daten!$A$7:$A$429,0))</f>
        <v>791435.21</v>
      </c>
      <c r="L111" s="151">
        <f>INDEX(Daten!$Q$7:$Q$429,MATCH('2'!B111,Daten!$A$7:$A$429,0))</f>
        <v>1211957.98</v>
      </c>
    </row>
    <row r="112" spans="1:12" ht="15" customHeight="1">
      <c r="A112" s="172" t="str">
        <f>Daten!C105</f>
        <v>JC Segeberg</v>
      </c>
      <c r="B112" s="214" t="str">
        <f>Daten!A105</f>
        <v>11522</v>
      </c>
      <c r="C112" s="172" t="str">
        <f>Daten!F105</f>
        <v>01</v>
      </c>
      <c r="D112" s="145" t="str">
        <f>Daten!E105</f>
        <v>IIc</v>
      </c>
      <c r="E112" s="282">
        <f>INDEX(Daten!$R$7:$R$429,MATCH('2'!B112,Daten!$A$7:$A$429,0))</f>
        <v>157025615.82000002</v>
      </c>
      <c r="F112" s="175">
        <f>INDEX(Daten!$M$7:$M$429,MATCH('2'!B112,Daten!$A$7:$A$429,0))</f>
        <v>59084614.020000011</v>
      </c>
      <c r="G112" s="135">
        <f>INDEX(Daten!$N$7:$N$429,MATCH('2'!B112,Daten!$A$7:$A$429,0))</f>
        <v>52459227.130000003</v>
      </c>
      <c r="H112" s="135">
        <f>INDEX(Daten!$P$7:$P$429,MATCH('2'!B112,Daten!$A$7:$A$429,0))</f>
        <v>19894659.779999997</v>
      </c>
      <c r="I112" s="135">
        <f>INDEX(Daten!$L$7:$L$429,MATCH('2'!B112,Daten!$A$7:$A$429,0))</f>
        <v>8204418.2000000002</v>
      </c>
      <c r="J112" s="135">
        <f>INDEX(Daten!$K$7:$K$429,MATCH('2'!B112,Daten!$A$7:$A$429,0))</f>
        <v>16893287.41</v>
      </c>
      <c r="K112" s="135">
        <f>INDEX(Daten!$O$7:$O$429,MATCH('2'!B112,Daten!$A$7:$A$429,0))</f>
        <v>489409.27999999997</v>
      </c>
      <c r="L112" s="151">
        <f>INDEX(Daten!$Q$7:$Q$429,MATCH('2'!B112,Daten!$A$7:$A$429,0))</f>
        <v>2083612.46</v>
      </c>
    </row>
    <row r="113" spans="1:12" ht="15" customHeight="1">
      <c r="A113" s="172" t="str">
        <f>Daten!C106</f>
        <v>JC Flensburg, Stadt</v>
      </c>
      <c r="B113" s="214" t="str">
        <f>Daten!A106</f>
        <v>11902</v>
      </c>
      <c r="C113" s="172" t="str">
        <f>Daten!F106</f>
        <v>01</v>
      </c>
      <c r="D113" s="145" t="str">
        <f>Daten!E106</f>
        <v>IIIb</v>
      </c>
      <c r="E113" s="282">
        <f>INDEX(Daten!$R$7:$R$429,MATCH('2'!B113,Daten!$A$7:$A$429,0))</f>
        <v>101999378.05000001</v>
      </c>
      <c r="F113" s="175">
        <f>INDEX(Daten!$M$7:$M$429,MATCH('2'!B113,Daten!$A$7:$A$429,0))</f>
        <v>38787283.210000008</v>
      </c>
      <c r="G113" s="135">
        <f>INDEX(Daten!$N$7:$N$429,MATCH('2'!B113,Daten!$A$7:$A$429,0))</f>
        <v>29587802.649999999</v>
      </c>
      <c r="H113" s="135">
        <f>INDEX(Daten!$P$7:$P$429,MATCH('2'!B113,Daten!$A$7:$A$429,0))</f>
        <v>12863404.030000001</v>
      </c>
      <c r="I113" s="135">
        <f>INDEX(Daten!$L$7:$L$429,MATCH('2'!B113,Daten!$A$7:$A$429,0))</f>
        <v>5608882.7300000014</v>
      </c>
      <c r="J113" s="135">
        <f>INDEX(Daten!$K$7:$K$429,MATCH('2'!B113,Daten!$A$7:$A$429,0))</f>
        <v>14630251.68</v>
      </c>
      <c r="K113" s="135">
        <f>INDEX(Daten!$O$7:$O$429,MATCH('2'!B113,Daten!$A$7:$A$429,0))</f>
        <v>521753.75</v>
      </c>
      <c r="L113" s="151">
        <f>INDEX(Daten!$Q$7:$Q$429,MATCH('2'!B113,Daten!$A$7:$A$429,0))</f>
        <v>1560075.8099999998</v>
      </c>
    </row>
    <row r="114" spans="1:12" ht="15" customHeight="1">
      <c r="A114" s="172" t="str">
        <f>Daten!C107</f>
        <v>JC Schleswig-Flensburg</v>
      </c>
      <c r="B114" s="214" t="str">
        <f>Daten!A107</f>
        <v>11904</v>
      </c>
      <c r="C114" s="172" t="str">
        <f>Daten!F107</f>
        <v>01</v>
      </c>
      <c r="D114" s="145" t="str">
        <f>Daten!E107</f>
        <v>IIc</v>
      </c>
      <c r="E114" s="282">
        <f>INDEX(Daten!$R$7:$R$429,MATCH('2'!B114,Daten!$A$7:$A$429,0))</f>
        <v>104541679</v>
      </c>
      <c r="F114" s="175">
        <f>INDEX(Daten!$M$7:$M$429,MATCH('2'!B114,Daten!$A$7:$A$429,0))</f>
        <v>41054376</v>
      </c>
      <c r="G114" s="135">
        <f>INDEX(Daten!$N$7:$N$429,MATCH('2'!B114,Daten!$A$7:$A$429,0))</f>
        <v>31473727</v>
      </c>
      <c r="H114" s="135">
        <f>INDEX(Daten!$P$7:$P$429,MATCH('2'!B114,Daten!$A$7:$A$429,0))</f>
        <v>13327334</v>
      </c>
      <c r="I114" s="135">
        <f>INDEX(Daten!$L$7:$L$429,MATCH('2'!B114,Daten!$A$7:$A$429,0))</f>
        <v>5059856</v>
      </c>
      <c r="J114" s="135">
        <f>INDEX(Daten!$K$7:$K$429,MATCH('2'!B114,Daten!$A$7:$A$429,0))</f>
        <v>13213863</v>
      </c>
      <c r="K114" s="135">
        <f>INDEX(Daten!$O$7:$O$429,MATCH('2'!B114,Daten!$A$7:$A$429,0))</f>
        <v>412523</v>
      </c>
      <c r="L114" s="151">
        <f>INDEX(Daten!$Q$7:$Q$429,MATCH('2'!B114,Daten!$A$7:$A$429,0))</f>
        <v>2470203</v>
      </c>
    </row>
    <row r="115" spans="1:12" ht="15" customHeight="1">
      <c r="A115" s="172" t="str">
        <f>Daten!C108</f>
        <v>JC Nordfriesland</v>
      </c>
      <c r="B115" s="214" t="str">
        <f>Daten!A108</f>
        <v>11916</v>
      </c>
      <c r="C115" s="172" t="str">
        <f>Daten!F108</f>
        <v>01</v>
      </c>
      <c r="D115" s="145" t="str">
        <f>Daten!E108</f>
        <v>IIc</v>
      </c>
      <c r="E115" s="282">
        <f>INDEX(Daten!$R$7:$R$429,MATCH('2'!B115,Daten!$A$7:$A$429,0))</f>
        <v>87540663</v>
      </c>
      <c r="F115" s="175">
        <f>INDEX(Daten!$M$7:$M$429,MATCH('2'!B115,Daten!$A$7:$A$429,0))</f>
        <v>33473996</v>
      </c>
      <c r="G115" s="135">
        <f>INDEX(Daten!$N$7:$N$429,MATCH('2'!B115,Daten!$A$7:$A$429,0))</f>
        <v>27741323</v>
      </c>
      <c r="H115" s="135">
        <f>INDEX(Daten!$P$7:$P$429,MATCH('2'!B115,Daten!$A$7:$A$429,0))</f>
        <v>11033513</v>
      </c>
      <c r="I115" s="135">
        <f>INDEX(Daten!$L$7:$L$429,MATCH('2'!B115,Daten!$A$7:$A$429,0))</f>
        <v>3973422</v>
      </c>
      <c r="J115" s="135">
        <f>INDEX(Daten!$K$7:$K$429,MATCH('2'!B115,Daten!$A$7:$A$429,0))</f>
        <v>11117751</v>
      </c>
      <c r="K115" s="135">
        <f>INDEX(Daten!$O$7:$O$429,MATCH('2'!B115,Daten!$A$7:$A$429,0))</f>
        <v>200658</v>
      </c>
      <c r="L115" s="151">
        <f>INDEX(Daten!$Q$7:$Q$429,MATCH('2'!B115,Daten!$A$7:$A$429,0))</f>
        <v>1389138</v>
      </c>
    </row>
    <row r="116" spans="1:12" ht="15" customHeight="1">
      <c r="A116" s="172" t="str">
        <f>Daten!C109</f>
        <v>JC Hamburg, Freie und Hansestadt</v>
      </c>
      <c r="B116" s="214" t="str">
        <f>Daten!A109</f>
        <v>12302</v>
      </c>
      <c r="C116" s="172" t="str">
        <f>Daten!F109</f>
        <v>02</v>
      </c>
      <c r="D116" s="145" t="str">
        <f>Daten!E109</f>
        <v>IIIb</v>
      </c>
      <c r="E116" s="282">
        <f>INDEX(Daten!$R$7:$R$429,MATCH('2'!B116,Daten!$A$7:$A$429,0))</f>
        <v>2219453922.9099998</v>
      </c>
      <c r="F116" s="175">
        <f>INDEX(Daten!$M$7:$M$429,MATCH('2'!B116,Daten!$A$7:$A$429,0))</f>
        <v>760291076.6099999</v>
      </c>
      <c r="G116" s="135">
        <f>INDEX(Daten!$N$7:$N$429,MATCH('2'!B116,Daten!$A$7:$A$429,0))</f>
        <v>853949045.69000018</v>
      </c>
      <c r="H116" s="135">
        <f>INDEX(Daten!$P$7:$P$429,MATCH('2'!B116,Daten!$A$7:$A$429,0))</f>
        <v>246859974.53999999</v>
      </c>
      <c r="I116" s="135">
        <f>INDEX(Daten!$L$7:$L$429,MATCH('2'!B116,Daten!$A$7:$A$429,0))</f>
        <v>151944146.06</v>
      </c>
      <c r="J116" s="135">
        <f>INDEX(Daten!$K$7:$K$429,MATCH('2'!B116,Daten!$A$7:$A$429,0))</f>
        <v>198238934.85999998</v>
      </c>
      <c r="K116" s="135">
        <f>INDEX(Daten!$O$7:$O$429,MATCH('2'!B116,Daten!$A$7:$A$429,0))</f>
        <v>8170745.1500000004</v>
      </c>
      <c r="L116" s="151">
        <f>INDEX(Daten!$Q$7:$Q$429,MATCH('2'!B116,Daten!$A$7:$A$429,0))</f>
        <v>44568282.950000003</v>
      </c>
    </row>
    <row r="117" spans="1:12" ht="15" customHeight="1">
      <c r="A117" s="172" t="str">
        <f>Daten!C110</f>
        <v>JC Dithmarschen</v>
      </c>
      <c r="B117" s="214" t="str">
        <f>Daten!A110</f>
        <v>12702</v>
      </c>
      <c r="C117" s="172" t="str">
        <f>Daten!F110</f>
        <v>01</v>
      </c>
      <c r="D117" s="145" t="str">
        <f>Daten!E110</f>
        <v>IIc</v>
      </c>
      <c r="E117" s="282">
        <f>INDEX(Daten!$R$7:$R$429,MATCH('2'!B117,Daten!$A$7:$A$429,0))</f>
        <v>94143334.999999985</v>
      </c>
      <c r="F117" s="175">
        <f>INDEX(Daten!$M$7:$M$429,MATCH('2'!B117,Daten!$A$7:$A$429,0))</f>
        <v>37034034.109999992</v>
      </c>
      <c r="G117" s="135">
        <f>INDEX(Daten!$N$7:$N$429,MATCH('2'!B117,Daten!$A$7:$A$429,0))</f>
        <v>27138694.560000006</v>
      </c>
      <c r="H117" s="135">
        <f>INDEX(Daten!$P$7:$P$429,MATCH('2'!B117,Daten!$A$7:$A$429,0))</f>
        <v>12182695.830000004</v>
      </c>
      <c r="I117" s="135">
        <f>INDEX(Daten!$L$7:$L$429,MATCH('2'!B117,Daten!$A$7:$A$429,0))</f>
        <v>6226741.7699999996</v>
      </c>
      <c r="J117" s="135">
        <f>INDEX(Daten!$K$7:$K$429,MATCH('2'!B117,Daten!$A$7:$A$429,0))</f>
        <v>11180909.009999998</v>
      </c>
      <c r="K117" s="135">
        <f>INDEX(Daten!$O$7:$O$429,MATCH('2'!B117,Daten!$A$7:$A$429,0))</f>
        <v>380259.72</v>
      </c>
      <c r="L117" s="151">
        <f>INDEX(Daten!$Q$7:$Q$429,MATCH('2'!B117,Daten!$A$7:$A$429,0))</f>
        <v>1026504.8099999998</v>
      </c>
    </row>
    <row r="118" spans="1:12" ht="15" customHeight="1">
      <c r="A118" s="172" t="str">
        <f>Daten!C111</f>
        <v>JC Steinburg</v>
      </c>
      <c r="B118" s="214" t="str">
        <f>Daten!A111</f>
        <v>12712</v>
      </c>
      <c r="C118" s="172" t="str">
        <f>Daten!F111</f>
        <v>01</v>
      </c>
      <c r="D118" s="145" t="str">
        <f>Daten!E111</f>
        <v>IIc</v>
      </c>
      <c r="E118" s="282">
        <f>INDEX(Daten!$R$7:$R$429,MATCH('2'!B118,Daten!$A$7:$A$429,0))</f>
        <v>84362793.730000004</v>
      </c>
      <c r="F118" s="175">
        <f>INDEX(Daten!$M$7:$M$429,MATCH('2'!B118,Daten!$A$7:$A$429,0))</f>
        <v>33560681.630000003</v>
      </c>
      <c r="G118" s="135">
        <f>INDEX(Daten!$N$7:$N$429,MATCH('2'!B118,Daten!$A$7:$A$429,0))</f>
        <v>23974598.98</v>
      </c>
      <c r="H118" s="135">
        <f>INDEX(Daten!$P$7:$P$429,MATCH('2'!B118,Daten!$A$7:$A$429,0))</f>
        <v>11047868.359999999</v>
      </c>
      <c r="I118" s="135">
        <f>INDEX(Daten!$L$7:$L$429,MATCH('2'!B118,Daten!$A$7:$A$429,0))</f>
        <v>4980100.93</v>
      </c>
      <c r="J118" s="135">
        <f>INDEX(Daten!$K$7:$K$429,MATCH('2'!B118,Daten!$A$7:$A$429,0))</f>
        <v>10663540.170000002</v>
      </c>
      <c r="K118" s="135">
        <f>INDEX(Daten!$O$7:$O$429,MATCH('2'!B118,Daten!$A$7:$A$429,0))</f>
        <v>136003.65999999997</v>
      </c>
      <c r="L118" s="151">
        <f>INDEX(Daten!$Q$7:$Q$429,MATCH('2'!B118,Daten!$A$7:$A$429,0))</f>
        <v>855286.39</v>
      </c>
    </row>
    <row r="119" spans="1:12" ht="15" customHeight="1">
      <c r="A119" s="172" t="str">
        <f>Daten!C112</f>
        <v>JC Kiel, Landeshauptstadt</v>
      </c>
      <c r="B119" s="214" t="str">
        <f>Daten!A112</f>
        <v>13102</v>
      </c>
      <c r="C119" s="172" t="str">
        <f>Daten!F112</f>
        <v>01</v>
      </c>
      <c r="D119" s="145" t="str">
        <f>Daten!E112</f>
        <v>IIIb</v>
      </c>
      <c r="E119" s="282">
        <f>INDEX(Daten!$R$7:$R$429,MATCH('2'!B119,Daten!$A$7:$A$429,0))</f>
        <v>290617463.52999997</v>
      </c>
      <c r="F119" s="175">
        <f>INDEX(Daten!$M$7:$M$429,MATCH('2'!B119,Daten!$A$7:$A$429,0))</f>
        <v>109086127.64999998</v>
      </c>
      <c r="G119" s="135">
        <f>INDEX(Daten!$N$7:$N$429,MATCH('2'!B119,Daten!$A$7:$A$429,0))</f>
        <v>86667841.610000014</v>
      </c>
      <c r="H119" s="135">
        <f>INDEX(Daten!$P$7:$P$429,MATCH('2'!B119,Daten!$A$7:$A$429,0))</f>
        <v>36827552.269999988</v>
      </c>
      <c r="I119" s="135">
        <f>INDEX(Daten!$L$7:$L$429,MATCH('2'!B119,Daten!$A$7:$A$429,0))</f>
        <v>22874671.450000003</v>
      </c>
      <c r="J119" s="135">
        <f>INDEX(Daten!$K$7:$K$429,MATCH('2'!B119,Daten!$A$7:$A$429,0))</f>
        <v>33621850.950000003</v>
      </c>
      <c r="K119" s="135">
        <f>INDEX(Daten!$O$7:$O$429,MATCH('2'!B119,Daten!$A$7:$A$429,0))</f>
        <v>1539419.6</v>
      </c>
      <c r="L119" s="151">
        <f>INDEX(Daten!$Q$7:$Q$429,MATCH('2'!B119,Daten!$A$7:$A$429,0))</f>
        <v>1784031.0299999998</v>
      </c>
    </row>
    <row r="120" spans="1:12" ht="15" customHeight="1">
      <c r="A120" s="172" t="str">
        <f>Daten!C113</f>
        <v>JC Plön</v>
      </c>
      <c r="B120" s="214" t="str">
        <f>Daten!A113</f>
        <v>13106</v>
      </c>
      <c r="C120" s="172" t="str">
        <f>Daten!F113</f>
        <v>01</v>
      </c>
      <c r="D120" s="145" t="str">
        <f>Daten!E113</f>
        <v>IIc</v>
      </c>
      <c r="E120" s="282">
        <f>INDEX(Daten!$R$7:$R$429,MATCH('2'!B120,Daten!$A$7:$A$429,0))</f>
        <v>65056724.429999992</v>
      </c>
      <c r="F120" s="175">
        <f>INDEX(Daten!$M$7:$M$429,MATCH('2'!B120,Daten!$A$7:$A$429,0))</f>
        <v>24403545.879999995</v>
      </c>
      <c r="G120" s="135">
        <f>INDEX(Daten!$N$7:$N$429,MATCH('2'!B120,Daten!$A$7:$A$429,0))</f>
        <v>20425697.729999997</v>
      </c>
      <c r="H120" s="135">
        <f>INDEX(Daten!$P$7:$P$429,MATCH('2'!B120,Daten!$A$7:$A$429,0))</f>
        <v>8509218.3100000005</v>
      </c>
      <c r="I120" s="135">
        <f>INDEX(Daten!$L$7:$L$429,MATCH('2'!B120,Daten!$A$7:$A$429,0))</f>
        <v>4155842.95</v>
      </c>
      <c r="J120" s="135">
        <f>INDEX(Daten!$K$7:$K$429,MATCH('2'!B120,Daten!$A$7:$A$429,0))</f>
        <v>7344786.3699999992</v>
      </c>
      <c r="K120" s="135">
        <f>INDEX(Daten!$O$7:$O$429,MATCH('2'!B120,Daten!$A$7:$A$429,0))</f>
        <v>217633.19</v>
      </c>
      <c r="L120" s="151">
        <f>INDEX(Daten!$Q$7:$Q$429,MATCH('2'!B120,Daten!$A$7:$A$429,0))</f>
        <v>1307312.71</v>
      </c>
    </row>
    <row r="121" spans="1:12" ht="15" customHeight="1">
      <c r="A121" s="172" t="str">
        <f>Daten!C114</f>
        <v>JC Lübeck, Hansestadt</v>
      </c>
      <c r="B121" s="214" t="str">
        <f>Daten!A114</f>
        <v>13502</v>
      </c>
      <c r="C121" s="172" t="str">
        <f>Daten!F114</f>
        <v>01</v>
      </c>
      <c r="D121" s="145" t="str">
        <f>Daten!E114</f>
        <v>IIIb</v>
      </c>
      <c r="E121" s="282">
        <f>INDEX(Daten!$R$7:$R$429,MATCH('2'!B121,Daten!$A$7:$A$429,0))</f>
        <v>226225493.59999996</v>
      </c>
      <c r="F121" s="175">
        <f>INDEX(Daten!$M$7:$M$429,MATCH('2'!B121,Daten!$A$7:$A$429,0))</f>
        <v>84210211.890000001</v>
      </c>
      <c r="G121" s="135">
        <f>INDEX(Daten!$N$7:$N$429,MATCH('2'!B121,Daten!$A$7:$A$429,0))</f>
        <v>69410699.549999982</v>
      </c>
      <c r="H121" s="135">
        <f>INDEX(Daten!$P$7:$P$429,MATCH('2'!B121,Daten!$A$7:$A$429,0))</f>
        <v>28548022.73</v>
      </c>
      <c r="I121" s="135">
        <f>INDEX(Daten!$L$7:$L$429,MATCH('2'!B121,Daten!$A$7:$A$429,0))</f>
        <v>15770473.99</v>
      </c>
      <c r="J121" s="135">
        <f>INDEX(Daten!$K$7:$K$429,MATCH('2'!B121,Daten!$A$7:$A$429,0))</f>
        <v>27549146.84</v>
      </c>
      <c r="K121" s="135">
        <f>INDEX(Daten!$O$7:$O$429,MATCH('2'!B121,Daten!$A$7:$A$429,0))</f>
        <v>736938.60000000009</v>
      </c>
      <c r="L121" s="151">
        <f>INDEX(Daten!$Q$7:$Q$429,MATCH('2'!B121,Daten!$A$7:$A$429,0))</f>
        <v>4372504.59</v>
      </c>
    </row>
    <row r="122" spans="1:12" ht="15" customHeight="1">
      <c r="A122" s="172" t="str">
        <f>Daten!C115</f>
        <v>JC Ostholstein</v>
      </c>
      <c r="B122" s="214" t="str">
        <f>Daten!A115</f>
        <v>13506</v>
      </c>
      <c r="C122" s="172" t="str">
        <f>Daten!F115</f>
        <v>01</v>
      </c>
      <c r="D122" s="145" t="str">
        <f>Daten!E115</f>
        <v>IIc</v>
      </c>
      <c r="E122" s="282">
        <f>INDEX(Daten!$R$7:$R$429,MATCH('2'!B122,Daten!$A$7:$A$429,0))</f>
        <v>96167469.200000003</v>
      </c>
      <c r="F122" s="175">
        <f>INDEX(Daten!$M$7:$M$429,MATCH('2'!B122,Daten!$A$7:$A$429,0))</f>
        <v>35839597.200000003</v>
      </c>
      <c r="G122" s="135">
        <f>INDEX(Daten!$N$7:$N$429,MATCH('2'!B122,Daten!$A$7:$A$429,0))</f>
        <v>29340402.529999997</v>
      </c>
      <c r="H122" s="135">
        <f>INDEX(Daten!$P$7:$P$429,MATCH('2'!B122,Daten!$A$7:$A$429,0))</f>
        <v>12462465.569999998</v>
      </c>
      <c r="I122" s="135">
        <f>INDEX(Daten!$L$7:$L$429,MATCH('2'!B122,Daten!$A$7:$A$429,0))</f>
        <v>5648889.2600000007</v>
      </c>
      <c r="J122" s="135">
        <f>INDEX(Daten!$K$7:$K$429,MATCH('2'!B122,Daten!$A$7:$A$429,0))</f>
        <v>12546930.220000003</v>
      </c>
      <c r="K122" s="135">
        <f>INDEX(Daten!$O$7:$O$429,MATCH('2'!B122,Daten!$A$7:$A$429,0))</f>
        <v>329184.42</v>
      </c>
      <c r="L122" s="151">
        <f>INDEX(Daten!$Q$7:$Q$429,MATCH('2'!B122,Daten!$A$7:$A$429,0))</f>
        <v>555822.34000000008</v>
      </c>
    </row>
    <row r="123" spans="1:12" ht="15" customHeight="1">
      <c r="A123" s="172" t="str">
        <f>Daten!C116</f>
        <v>JC Neumünster, Stadt</v>
      </c>
      <c r="B123" s="214" t="str">
        <f>Daten!A116</f>
        <v>13902</v>
      </c>
      <c r="C123" s="172" t="str">
        <f>Daten!F116</f>
        <v>01</v>
      </c>
      <c r="D123" s="145" t="str">
        <f>Daten!E116</f>
        <v>IIIb</v>
      </c>
      <c r="E123" s="282">
        <f>INDEX(Daten!$R$7:$R$429,MATCH('2'!B123,Daten!$A$7:$A$429,0))</f>
        <v>83146388.450000018</v>
      </c>
      <c r="F123" s="175">
        <f>INDEX(Daten!$M$7:$M$429,MATCH('2'!B123,Daten!$A$7:$A$429,0))</f>
        <v>32445032.470000006</v>
      </c>
      <c r="G123" s="135">
        <f>INDEX(Daten!$N$7:$N$429,MATCH('2'!B123,Daten!$A$7:$A$429,0))</f>
        <v>23372445.690000001</v>
      </c>
      <c r="H123" s="135">
        <f>INDEX(Daten!$P$7:$P$429,MATCH('2'!B123,Daten!$A$7:$A$429,0))</f>
        <v>10678062.119999999</v>
      </c>
      <c r="I123" s="135">
        <f>INDEX(Daten!$L$7:$L$429,MATCH('2'!B123,Daten!$A$7:$A$429,0))</f>
        <v>5968763.6300000008</v>
      </c>
      <c r="J123" s="135">
        <f>INDEX(Daten!$K$7:$K$429,MATCH('2'!B123,Daten!$A$7:$A$429,0))</f>
        <v>10222315.510000002</v>
      </c>
      <c r="K123" s="135">
        <f>INDEX(Daten!$O$7:$O$429,MATCH('2'!B123,Daten!$A$7:$A$429,0))</f>
        <v>459769.02999999997</v>
      </c>
      <c r="L123" s="151">
        <f>INDEX(Daten!$Q$7:$Q$429,MATCH('2'!B123,Daten!$A$7:$A$429,0))</f>
        <v>1076871.5799999998</v>
      </c>
    </row>
    <row r="124" spans="1:12" ht="15" customHeight="1">
      <c r="A124" s="172" t="str">
        <f>Daten!C117</f>
        <v>JC Rendsburg-Eckernförde</v>
      </c>
      <c r="B124" s="214" t="str">
        <f>Daten!A117</f>
        <v>13912</v>
      </c>
      <c r="C124" s="172" t="str">
        <f>Daten!F117</f>
        <v>01</v>
      </c>
      <c r="D124" s="145" t="str">
        <f>Daten!E117</f>
        <v>IIc</v>
      </c>
      <c r="E124" s="282">
        <f>INDEX(Daten!$R$7:$R$429,MATCH('2'!B124,Daten!$A$7:$A$429,0))</f>
        <v>133438227.10000001</v>
      </c>
      <c r="F124" s="175">
        <f>INDEX(Daten!$M$7:$M$429,MATCH('2'!B124,Daten!$A$7:$A$429,0))</f>
        <v>53528115.029999994</v>
      </c>
      <c r="G124" s="135">
        <f>INDEX(Daten!$N$7:$N$429,MATCH('2'!B124,Daten!$A$7:$A$429,0))</f>
        <v>38301864.570000008</v>
      </c>
      <c r="H124" s="135">
        <f>INDEX(Daten!$P$7:$P$429,MATCH('2'!B124,Daten!$A$7:$A$429,0))</f>
        <v>17722888.639999997</v>
      </c>
      <c r="I124" s="135">
        <f>INDEX(Daten!$L$7:$L$429,MATCH('2'!B124,Daten!$A$7:$A$429,0))</f>
        <v>8493167.0700000003</v>
      </c>
      <c r="J124" s="135">
        <f>INDEX(Daten!$K$7:$K$429,MATCH('2'!B124,Daten!$A$7:$A$429,0))</f>
        <v>14972200.029999999</v>
      </c>
      <c r="K124" s="135">
        <f>INDEX(Daten!$O$7:$O$429,MATCH('2'!B124,Daten!$A$7:$A$429,0))</f>
        <v>419991.76</v>
      </c>
      <c r="L124" s="151">
        <f>INDEX(Daten!$Q$7:$Q$429,MATCH('2'!B124,Daten!$A$7:$A$429,0))</f>
        <v>1850893.6899999997</v>
      </c>
    </row>
    <row r="125" spans="1:12" ht="15" customHeight="1">
      <c r="A125" s="172" t="str">
        <f>Daten!C118</f>
        <v>JC Braunschweig, Stadt</v>
      </c>
      <c r="B125" s="214" t="str">
        <f>Daten!A118</f>
        <v>21102</v>
      </c>
      <c r="C125" s="172" t="str">
        <f>Daten!F118</f>
        <v>03</v>
      </c>
      <c r="D125" s="145" t="str">
        <f>Daten!E118</f>
        <v>IIIb</v>
      </c>
      <c r="E125" s="282">
        <f>INDEX(Daten!$R$7:$R$429,MATCH('2'!B125,Daten!$A$7:$A$429,0))</f>
        <v>200009976.41000003</v>
      </c>
      <c r="F125" s="175">
        <f>INDEX(Daten!$M$7:$M$429,MATCH('2'!B125,Daten!$A$7:$A$429,0))</f>
        <v>73558226.630000025</v>
      </c>
      <c r="G125" s="135">
        <f>INDEX(Daten!$N$7:$N$429,MATCH('2'!B125,Daten!$A$7:$A$429,0))</f>
        <v>64194551.090000004</v>
      </c>
      <c r="H125" s="135">
        <f>INDEX(Daten!$P$7:$P$429,MATCH('2'!B125,Daten!$A$7:$A$429,0))</f>
        <v>24346494.27</v>
      </c>
      <c r="I125" s="135">
        <f>INDEX(Daten!$L$7:$L$429,MATCH('2'!B125,Daten!$A$7:$A$429,0))</f>
        <v>14320803.75</v>
      </c>
      <c r="J125" s="135">
        <f>INDEX(Daten!$K$7:$K$429,MATCH('2'!B125,Daten!$A$7:$A$429,0))</f>
        <v>22628156.160000004</v>
      </c>
      <c r="K125" s="135">
        <f>INDEX(Daten!$O$7:$O$429,MATCH('2'!B125,Daten!$A$7:$A$429,0))</f>
        <v>961744.51</v>
      </c>
      <c r="L125" s="151">
        <f>INDEX(Daten!$Q$7:$Q$429,MATCH('2'!B125,Daten!$A$7:$A$429,0))</f>
        <v>3633247.77</v>
      </c>
    </row>
    <row r="126" spans="1:12" ht="15" customHeight="1">
      <c r="A126" s="172" t="str">
        <f>Daten!C119</f>
        <v>JC Salzgitter, Stadt</v>
      </c>
      <c r="B126" s="214" t="str">
        <f>Daten!A119</f>
        <v>21104</v>
      </c>
      <c r="C126" s="172" t="str">
        <f>Daten!F119</f>
        <v>03</v>
      </c>
      <c r="D126" s="145" t="str">
        <f>Daten!E119</f>
        <v>IIIc</v>
      </c>
      <c r="E126" s="282">
        <f>INDEX(Daten!$R$7:$R$429,MATCH('2'!B126,Daten!$A$7:$A$429,0))</f>
        <v>122385959.84</v>
      </c>
      <c r="F126" s="175">
        <f>INDEX(Daten!$M$7:$M$429,MATCH('2'!B126,Daten!$A$7:$A$429,0))</f>
        <v>50326781.139999993</v>
      </c>
      <c r="G126" s="135">
        <f>INDEX(Daten!$N$7:$N$429,MATCH('2'!B126,Daten!$A$7:$A$429,0))</f>
        <v>32950419.510000002</v>
      </c>
      <c r="H126" s="135">
        <f>INDEX(Daten!$P$7:$P$429,MATCH('2'!B126,Daten!$A$7:$A$429,0))</f>
        <v>15773061.850000003</v>
      </c>
      <c r="I126" s="135">
        <f>INDEX(Daten!$L$7:$L$429,MATCH('2'!B126,Daten!$A$7:$A$429,0))</f>
        <v>8751978.9900000021</v>
      </c>
      <c r="J126" s="135">
        <f>INDEX(Daten!$K$7:$K$429,MATCH('2'!B126,Daten!$A$7:$A$429,0))</f>
        <v>13789151.030000001</v>
      </c>
      <c r="K126" s="135">
        <f>INDEX(Daten!$O$7:$O$429,MATCH('2'!B126,Daten!$A$7:$A$429,0))</f>
        <v>794567.32000000007</v>
      </c>
      <c r="L126" s="151">
        <f>INDEX(Daten!$Q$7:$Q$429,MATCH('2'!B126,Daten!$A$7:$A$429,0))</f>
        <v>2301066.6700000004</v>
      </c>
    </row>
    <row r="127" spans="1:12" ht="15" customHeight="1">
      <c r="A127" s="172" t="str">
        <f>Daten!C120</f>
        <v>JC Wolfenbüttel</v>
      </c>
      <c r="B127" s="214" t="str">
        <f>Daten!A120</f>
        <v>21106</v>
      </c>
      <c r="C127" s="172" t="str">
        <f>Daten!F120</f>
        <v>03</v>
      </c>
      <c r="D127" s="145" t="str">
        <f>Daten!E120</f>
        <v>IIc</v>
      </c>
      <c r="E127" s="282">
        <f>INDEX(Daten!$R$7:$R$429,MATCH('2'!B127,Daten!$A$7:$A$429,0))</f>
        <v>73053669.569999993</v>
      </c>
      <c r="F127" s="175">
        <f>INDEX(Daten!$M$7:$M$429,MATCH('2'!B127,Daten!$A$7:$A$429,0))</f>
        <v>28291354.070000004</v>
      </c>
      <c r="G127" s="135">
        <f>INDEX(Daten!$N$7:$N$429,MATCH('2'!B127,Daten!$A$7:$A$429,0))</f>
        <v>22283851.600000001</v>
      </c>
      <c r="H127" s="135">
        <f>INDEX(Daten!$P$7:$P$429,MATCH('2'!B127,Daten!$A$7:$A$429,0))</f>
        <v>9277973.2899999991</v>
      </c>
      <c r="I127" s="135">
        <f>INDEX(Daten!$L$7:$L$429,MATCH('2'!B127,Daten!$A$7:$A$429,0))</f>
        <v>4297145.4700000007</v>
      </c>
      <c r="J127" s="135">
        <f>INDEX(Daten!$K$7:$K$429,MATCH('2'!B127,Daten!$A$7:$A$429,0))</f>
        <v>8668786.8099999987</v>
      </c>
      <c r="K127" s="135">
        <f>INDEX(Daten!$O$7:$O$429,MATCH('2'!B127,Daten!$A$7:$A$429,0))</f>
        <v>234558.32999999996</v>
      </c>
      <c r="L127" s="151">
        <f>INDEX(Daten!$Q$7:$Q$429,MATCH('2'!B127,Daten!$A$7:$A$429,0))</f>
        <v>1115897.1900000002</v>
      </c>
    </row>
    <row r="128" spans="1:12" ht="15" customHeight="1">
      <c r="A128" s="172" t="str">
        <f>Daten!C121</f>
        <v>JC Goslar</v>
      </c>
      <c r="B128" s="214" t="str">
        <f>Daten!A121</f>
        <v>21124</v>
      </c>
      <c r="C128" s="172" t="str">
        <f>Daten!F121</f>
        <v>03</v>
      </c>
      <c r="D128" s="145" t="str">
        <f>Daten!E121</f>
        <v>IIc</v>
      </c>
      <c r="E128" s="282">
        <f>INDEX(Daten!$R$7:$R$429,MATCH('2'!B128,Daten!$A$7:$A$429,0))</f>
        <v>105514085.92999998</v>
      </c>
      <c r="F128" s="175">
        <f>INDEX(Daten!$M$7:$M$429,MATCH('2'!B128,Daten!$A$7:$A$429,0))</f>
        <v>40988430.469999991</v>
      </c>
      <c r="G128" s="135">
        <f>INDEX(Daten!$N$7:$N$429,MATCH('2'!B128,Daten!$A$7:$A$429,0))</f>
        <v>31873088.059999999</v>
      </c>
      <c r="H128" s="135">
        <f>INDEX(Daten!$P$7:$P$429,MATCH('2'!B128,Daten!$A$7:$A$429,0))</f>
        <v>13613194.069999998</v>
      </c>
      <c r="I128" s="135">
        <f>INDEX(Daten!$L$7:$L$429,MATCH('2'!B128,Daten!$A$7:$A$429,0))</f>
        <v>5792948.0200000005</v>
      </c>
      <c r="J128" s="135">
        <f>INDEX(Daten!$K$7:$K$429,MATCH('2'!B128,Daten!$A$7:$A$429,0))</f>
        <v>12852977.09</v>
      </c>
      <c r="K128" s="135">
        <f>INDEX(Daten!$O$7:$O$429,MATCH('2'!B128,Daten!$A$7:$A$429,0))</f>
        <v>393448.22000000003</v>
      </c>
      <c r="L128" s="151">
        <f>INDEX(Daten!$Q$7:$Q$429,MATCH('2'!B128,Daten!$A$7:$A$429,0))</f>
        <v>1336717.08</v>
      </c>
    </row>
    <row r="129" spans="1:12" ht="15" customHeight="1">
      <c r="A129" s="172" t="str">
        <f>Daten!C122</f>
        <v>JC Bremen, Stadt</v>
      </c>
      <c r="B129" s="214" t="str">
        <f>Daten!A122</f>
        <v>21404</v>
      </c>
      <c r="C129" s="172" t="str">
        <f>Daten!F122</f>
        <v>04</v>
      </c>
      <c r="D129" s="145" t="str">
        <f>Daten!E122</f>
        <v>IIIb</v>
      </c>
      <c r="E129" s="282">
        <f>INDEX(Daten!$R$7:$R$429,MATCH('2'!B129,Daten!$A$7:$A$429,0))</f>
        <v>799166542.8599999</v>
      </c>
      <c r="F129" s="175">
        <f>INDEX(Daten!$M$7:$M$429,MATCH('2'!B129,Daten!$A$7:$A$429,0))</f>
        <v>305628503.51999998</v>
      </c>
      <c r="G129" s="135">
        <f>INDEX(Daten!$N$7:$N$429,MATCH('2'!B129,Daten!$A$7:$A$429,0))</f>
        <v>247269145.03999996</v>
      </c>
      <c r="H129" s="135">
        <f>INDEX(Daten!$P$7:$P$429,MATCH('2'!B129,Daten!$A$7:$A$429,0))</f>
        <v>96913894.760000005</v>
      </c>
      <c r="I129" s="135">
        <f>INDEX(Daten!$L$7:$L$429,MATCH('2'!B129,Daten!$A$7:$A$429,0))</f>
        <v>64825101.729999997</v>
      </c>
      <c r="J129" s="135">
        <f>INDEX(Daten!$K$7:$K$429,MATCH('2'!B129,Daten!$A$7:$A$429,0))</f>
        <v>80605396.599999994</v>
      </c>
      <c r="K129" s="135">
        <f>INDEX(Daten!$O$7:$O$429,MATCH('2'!B129,Daten!$A$7:$A$429,0))</f>
        <v>3924501.21</v>
      </c>
      <c r="L129" s="151">
        <f>INDEX(Daten!$Q$7:$Q$429,MATCH('2'!B129,Daten!$A$7:$A$429,0))</f>
        <v>3411164.1800000006</v>
      </c>
    </row>
    <row r="130" spans="1:12" ht="15" customHeight="1">
      <c r="A130" s="172" t="str">
        <f>Daten!C123</f>
        <v>JC Osterholz</v>
      </c>
      <c r="B130" s="214" t="str">
        <f>Daten!A123</f>
        <v>21416</v>
      </c>
      <c r="C130" s="172" t="str">
        <f>Daten!F123</f>
        <v>03</v>
      </c>
      <c r="D130" s="145" t="str">
        <f>Daten!E123</f>
        <v>IIc</v>
      </c>
      <c r="E130" s="282" t="str">
        <f>INDEX(Daten!$R$7:$R$429,MATCH('2'!B130,Daten!$A$7:$A$429,0))</f>
        <v>.</v>
      </c>
      <c r="F130" s="175" t="str">
        <f>INDEX(Daten!$M$7:$M$429,MATCH('2'!B130,Daten!$A$7:$A$429,0))</f>
        <v>.</v>
      </c>
      <c r="G130" s="135">
        <f>INDEX(Daten!$N$7:$N$429,MATCH('2'!B130,Daten!$A$7:$A$429,0))</f>
        <v>13384180</v>
      </c>
      <c r="H130" s="135">
        <f>INDEX(Daten!$P$7:$P$429,MATCH('2'!B130,Daten!$A$7:$A$429,0))</f>
        <v>5458425</v>
      </c>
      <c r="I130" s="135">
        <f>INDEX(Daten!$L$7:$L$429,MATCH('2'!B130,Daten!$A$7:$A$429,0))</f>
        <v>1485559</v>
      </c>
      <c r="J130" s="135">
        <f>INDEX(Daten!$K$7:$K$429,MATCH('2'!B130,Daten!$A$7:$A$429,0))</f>
        <v>5535100</v>
      </c>
      <c r="K130" s="135">
        <f>INDEX(Daten!$O$7:$O$429,MATCH('2'!B130,Daten!$A$7:$A$429,0))</f>
        <v>79262</v>
      </c>
      <c r="L130" s="151">
        <f>INDEX(Daten!$Q$7:$Q$429,MATCH('2'!B130,Daten!$A$7:$A$429,0))</f>
        <v>546277</v>
      </c>
    </row>
    <row r="131" spans="1:12" ht="15" customHeight="1">
      <c r="A131" s="172" t="str">
        <f>Daten!C124</f>
        <v>JC Bremerhaven, Stadt</v>
      </c>
      <c r="B131" s="214" t="str">
        <f>Daten!A124</f>
        <v>21420</v>
      </c>
      <c r="C131" s="172" t="str">
        <f>Daten!F124</f>
        <v>04</v>
      </c>
      <c r="D131" s="145" t="str">
        <f>Daten!E124</f>
        <v>IIIc</v>
      </c>
      <c r="E131" s="282">
        <f>INDEX(Daten!$R$7:$R$429,MATCH('2'!B131,Daten!$A$7:$A$429,0))</f>
        <v>202591787.10000002</v>
      </c>
      <c r="F131" s="175">
        <f>INDEX(Daten!$M$7:$M$429,MATCH('2'!B131,Daten!$A$7:$A$429,0))</f>
        <v>81119365.400000006</v>
      </c>
      <c r="G131" s="135">
        <f>INDEX(Daten!$N$7:$N$429,MATCH('2'!B131,Daten!$A$7:$A$429,0))</f>
        <v>55734391.430000007</v>
      </c>
      <c r="H131" s="135">
        <f>INDEX(Daten!$P$7:$P$429,MATCH('2'!B131,Daten!$A$7:$A$429,0))</f>
        <v>25579095.279999994</v>
      </c>
      <c r="I131" s="135">
        <f>INDEX(Daten!$L$7:$L$429,MATCH('2'!B131,Daten!$A$7:$A$429,0))</f>
        <v>16095704.309999999</v>
      </c>
      <c r="J131" s="135">
        <f>INDEX(Daten!$K$7:$K$429,MATCH('2'!B131,Daten!$A$7:$A$429,0))</f>
        <v>22627201.270000003</v>
      </c>
      <c r="K131" s="135">
        <f>INDEX(Daten!$O$7:$O$429,MATCH('2'!B131,Daten!$A$7:$A$429,0))</f>
        <v>1436029.41</v>
      </c>
      <c r="L131" s="151">
        <f>INDEX(Daten!$Q$7:$Q$429,MATCH('2'!B131,Daten!$A$7:$A$429,0))</f>
        <v>2765337.0800000005</v>
      </c>
    </row>
    <row r="132" spans="1:12" ht="15" customHeight="1">
      <c r="A132" s="172" t="str">
        <f>Daten!C125</f>
        <v>JC Celle</v>
      </c>
      <c r="B132" s="214" t="str">
        <f>Daten!A125</f>
        <v>22102</v>
      </c>
      <c r="C132" s="172" t="str">
        <f>Daten!F125</f>
        <v>03</v>
      </c>
      <c r="D132" s="145" t="str">
        <f>Daten!E125</f>
        <v>IId</v>
      </c>
      <c r="E132" s="282">
        <f>INDEX(Daten!$R$7:$R$429,MATCH('2'!B132,Daten!$A$7:$A$429,0))</f>
        <v>122885485.26999997</v>
      </c>
      <c r="F132" s="175">
        <f>INDEX(Daten!$M$7:$M$429,MATCH('2'!B132,Daten!$A$7:$A$429,0))</f>
        <v>48502088.43999999</v>
      </c>
      <c r="G132" s="135">
        <f>INDEX(Daten!$N$7:$N$429,MATCH('2'!B132,Daten!$A$7:$A$429,0))</f>
        <v>35342676.709999993</v>
      </c>
      <c r="H132" s="135">
        <f>INDEX(Daten!$P$7:$P$429,MATCH('2'!B132,Daten!$A$7:$A$429,0))</f>
        <v>16017241.769999998</v>
      </c>
      <c r="I132" s="135">
        <f>INDEX(Daten!$L$7:$L$429,MATCH('2'!B132,Daten!$A$7:$A$429,0))</f>
        <v>6755772.9899999993</v>
      </c>
      <c r="J132" s="135">
        <f>INDEX(Daten!$K$7:$K$429,MATCH('2'!B132,Daten!$A$7:$A$429,0))</f>
        <v>15902109.339999998</v>
      </c>
      <c r="K132" s="135">
        <f>INDEX(Daten!$O$7:$O$429,MATCH('2'!B132,Daten!$A$7:$A$429,0))</f>
        <v>365596.02</v>
      </c>
      <c r="L132" s="151">
        <f>INDEX(Daten!$Q$7:$Q$429,MATCH('2'!B132,Daten!$A$7:$A$429,0))</f>
        <v>1663626.9199999997</v>
      </c>
    </row>
    <row r="133" spans="1:12" ht="15" customHeight="1">
      <c r="A133" s="172" t="str">
        <f>Daten!C126</f>
        <v>JC Heidekreis</v>
      </c>
      <c r="B133" s="214" t="str">
        <f>Daten!A126</f>
        <v>22116</v>
      </c>
      <c r="C133" s="172" t="str">
        <f>Daten!F126</f>
        <v>03</v>
      </c>
      <c r="D133" s="145" t="str">
        <f>Daten!E126</f>
        <v>IIc</v>
      </c>
      <c r="E133" s="282">
        <f>INDEX(Daten!$R$7:$R$429,MATCH('2'!B133,Daten!$A$7:$A$429,0))</f>
        <v>87766672</v>
      </c>
      <c r="F133" s="175">
        <f>INDEX(Daten!$M$7:$M$429,MATCH('2'!B133,Daten!$A$7:$A$429,0))</f>
        <v>34457867</v>
      </c>
      <c r="G133" s="135">
        <f>INDEX(Daten!$N$7:$N$429,MATCH('2'!B133,Daten!$A$7:$A$429,0))</f>
        <v>25716303</v>
      </c>
      <c r="H133" s="135">
        <f>INDEX(Daten!$P$7:$P$429,MATCH('2'!B133,Daten!$A$7:$A$429,0))</f>
        <v>11335110</v>
      </c>
      <c r="I133" s="135">
        <f>INDEX(Daten!$L$7:$L$429,MATCH('2'!B133,Daten!$A$7:$A$429,0))</f>
        <v>6598112</v>
      </c>
      <c r="J133" s="135">
        <f>INDEX(Daten!$K$7:$K$429,MATCH('2'!B133,Daten!$A$7:$A$429,0))</f>
        <v>9414896</v>
      </c>
      <c r="K133" s="135">
        <f>INDEX(Daten!$O$7:$O$429,MATCH('2'!B133,Daten!$A$7:$A$429,0))</f>
        <v>244384</v>
      </c>
      <c r="L133" s="151">
        <f>INDEX(Daten!$Q$7:$Q$429,MATCH('2'!B133,Daten!$A$7:$A$429,0))</f>
        <v>1077106</v>
      </c>
    </row>
    <row r="134" spans="1:12" ht="15" customHeight="1">
      <c r="A134" s="172" t="str">
        <f>Daten!C127</f>
        <v>JC Emden, Stadt</v>
      </c>
      <c r="B134" s="214" t="str">
        <f>Daten!A127</f>
        <v>22402</v>
      </c>
      <c r="C134" s="172" t="str">
        <f>Daten!F127</f>
        <v>03</v>
      </c>
      <c r="D134" s="145" t="str">
        <f>Daten!E127</f>
        <v>IIIb</v>
      </c>
      <c r="E134" s="282">
        <f>INDEX(Daten!$R$7:$R$429,MATCH('2'!B134,Daten!$A$7:$A$429,0))</f>
        <v>51731979.519999988</v>
      </c>
      <c r="F134" s="175">
        <f>INDEX(Daten!$M$7:$M$429,MATCH('2'!B134,Daten!$A$7:$A$429,0))</f>
        <v>20406537.049999993</v>
      </c>
      <c r="G134" s="135">
        <f>INDEX(Daten!$N$7:$N$429,MATCH('2'!B134,Daten!$A$7:$A$429,0))</f>
        <v>14677060.779999997</v>
      </c>
      <c r="H134" s="135">
        <f>INDEX(Daten!$P$7:$P$429,MATCH('2'!B134,Daten!$A$7:$A$429,0))</f>
        <v>6535856.7300000014</v>
      </c>
      <c r="I134" s="135">
        <f>INDEX(Daten!$L$7:$L$429,MATCH('2'!B134,Daten!$A$7:$A$429,0))</f>
        <v>3432896.8699999996</v>
      </c>
      <c r="J134" s="135">
        <f>INDEX(Daten!$K$7:$K$429,MATCH('2'!B134,Daten!$A$7:$A$429,0))</f>
        <v>6490566.9399999995</v>
      </c>
      <c r="K134" s="135">
        <f>INDEX(Daten!$O$7:$O$429,MATCH('2'!B134,Daten!$A$7:$A$429,0))</f>
        <v>189061.15000000002</v>
      </c>
      <c r="L134" s="151">
        <f>INDEX(Daten!$Q$7:$Q$429,MATCH('2'!B134,Daten!$A$7:$A$429,0))</f>
        <v>426849.87</v>
      </c>
    </row>
    <row r="135" spans="1:12" ht="15" customHeight="1">
      <c r="A135" s="172" t="str">
        <f>Daten!C128</f>
        <v>JC Leer</v>
      </c>
      <c r="B135" s="214" t="str">
        <f>Daten!A128</f>
        <v>22410</v>
      </c>
      <c r="C135" s="172" t="str">
        <f>Daten!F128</f>
        <v>03</v>
      </c>
      <c r="D135" s="145" t="str">
        <f>Daten!E128</f>
        <v>IIc</v>
      </c>
      <c r="E135" s="282" t="str">
        <f>INDEX(Daten!$R$7:$R$429,MATCH('2'!B135,Daten!$A$7:$A$429,0))</f>
        <v>.</v>
      </c>
      <c r="F135" s="175" t="str">
        <f>INDEX(Daten!$M$7:$M$429,MATCH('2'!B135,Daten!$A$7:$A$429,0))</f>
        <v>.</v>
      </c>
      <c r="G135" s="135">
        <f>INDEX(Daten!$N$7:$N$429,MATCH('2'!B135,Daten!$A$7:$A$429,0))</f>
        <v>26332039</v>
      </c>
      <c r="H135" s="135">
        <f>INDEX(Daten!$P$7:$P$429,MATCH('2'!B135,Daten!$A$7:$A$429,0))</f>
        <v>12317338</v>
      </c>
      <c r="I135" s="135">
        <f>INDEX(Daten!$L$7:$L$429,MATCH('2'!B135,Daten!$A$7:$A$429,0))</f>
        <v>6498718</v>
      </c>
      <c r="J135" s="135">
        <f>INDEX(Daten!$K$7:$K$429,MATCH('2'!B135,Daten!$A$7:$A$429,0))</f>
        <v>11183527</v>
      </c>
      <c r="K135" s="135">
        <f>INDEX(Daten!$O$7:$O$429,MATCH('2'!B135,Daten!$A$7:$A$429,0))</f>
        <v>240260</v>
      </c>
      <c r="L135" s="151">
        <f>INDEX(Daten!$Q$7:$Q$429,MATCH('2'!B135,Daten!$A$7:$A$429,0))</f>
        <v>1383711</v>
      </c>
    </row>
    <row r="136" spans="1:12" ht="15" customHeight="1">
      <c r="A136" s="172" t="str">
        <f>Daten!C129</f>
        <v>JC Wittmund</v>
      </c>
      <c r="B136" s="214" t="str">
        <f>Daten!A129</f>
        <v>22444</v>
      </c>
      <c r="C136" s="172" t="str">
        <f>Daten!F129</f>
        <v>03</v>
      </c>
      <c r="D136" s="145" t="str">
        <f>Daten!E129</f>
        <v>IIc</v>
      </c>
      <c r="E136" s="282">
        <f>INDEX(Daten!$R$7:$R$429,MATCH('2'!B136,Daten!$A$7:$A$429,0))</f>
        <v>32333762</v>
      </c>
      <c r="F136" s="175">
        <f>INDEX(Daten!$M$7:$M$429,MATCH('2'!B136,Daten!$A$7:$A$429,0))</f>
        <v>12193654</v>
      </c>
      <c r="G136" s="135">
        <f>INDEX(Daten!$N$7:$N$429,MATCH('2'!B136,Daten!$A$7:$A$429,0))</f>
        <v>9549244</v>
      </c>
      <c r="H136" s="135">
        <f>INDEX(Daten!$P$7:$P$429,MATCH('2'!B136,Daten!$A$7:$A$429,0))</f>
        <v>4317971</v>
      </c>
      <c r="I136" s="135">
        <f>INDEX(Daten!$L$7:$L$429,MATCH('2'!B136,Daten!$A$7:$A$429,0))</f>
        <v>1371970</v>
      </c>
      <c r="J136" s="135">
        <f>INDEX(Daten!$K$7:$K$429,MATCH('2'!B136,Daten!$A$7:$A$429,0))</f>
        <v>4771790</v>
      </c>
      <c r="K136" s="135">
        <f>INDEX(Daten!$O$7:$O$429,MATCH('2'!B136,Daten!$A$7:$A$429,0))</f>
        <v>129133</v>
      </c>
      <c r="L136" s="151">
        <f>INDEX(Daten!$Q$7:$Q$429,MATCH('2'!B136,Daten!$A$7:$A$429,0))</f>
        <v>448580</v>
      </c>
    </row>
    <row r="137" spans="1:12" ht="15" customHeight="1">
      <c r="A137" s="172" t="str">
        <f>Daten!C130</f>
        <v>JC Aurich</v>
      </c>
      <c r="B137" s="214" t="str">
        <f>Daten!A130</f>
        <v>22446</v>
      </c>
      <c r="C137" s="172" t="str">
        <f>Daten!F130</f>
        <v>03</v>
      </c>
      <c r="D137" s="145" t="str">
        <f>Daten!E130</f>
        <v>IIc</v>
      </c>
      <c r="E137" s="282">
        <f>INDEX(Daten!$R$7:$R$429,MATCH('2'!B137,Daten!$A$7:$A$429,0))</f>
        <v>118820952</v>
      </c>
      <c r="F137" s="175">
        <f>INDEX(Daten!$M$7:$M$429,MATCH('2'!B137,Daten!$A$7:$A$429,0))</f>
        <v>47586488</v>
      </c>
      <c r="G137" s="135">
        <f>INDEX(Daten!$N$7:$N$429,MATCH('2'!B137,Daten!$A$7:$A$429,0))</f>
        <v>34945568</v>
      </c>
      <c r="H137" s="135">
        <f>INDEX(Daten!$P$7:$P$429,MATCH('2'!B137,Daten!$A$7:$A$429,0))</f>
        <v>14507247</v>
      </c>
      <c r="I137" s="135">
        <f>INDEX(Daten!$L$7:$L$429,MATCH('2'!B137,Daten!$A$7:$A$429,0))</f>
        <v>6311629</v>
      </c>
      <c r="J137" s="135">
        <f>INDEX(Daten!$K$7:$K$429,MATCH('2'!B137,Daten!$A$7:$A$429,0))</f>
        <v>15261061</v>
      </c>
      <c r="K137" s="135">
        <f>INDEX(Daten!$O$7:$O$429,MATCH('2'!B137,Daten!$A$7:$A$429,0))</f>
        <v>208959</v>
      </c>
      <c r="L137" s="151">
        <f>INDEX(Daten!$Q$7:$Q$429,MATCH('2'!B137,Daten!$A$7:$A$429,0))</f>
        <v>1440443</v>
      </c>
    </row>
    <row r="138" spans="1:12" ht="15" customHeight="1">
      <c r="A138" s="172" t="str">
        <f>Daten!C131</f>
        <v>JC Göttingen</v>
      </c>
      <c r="B138" s="214" t="str">
        <f>Daten!A131</f>
        <v>23102</v>
      </c>
      <c r="C138" s="172" t="str">
        <f>Daten!F131</f>
        <v>03</v>
      </c>
      <c r="D138" s="145" t="str">
        <f>Daten!E131</f>
        <v>IId</v>
      </c>
      <c r="E138" s="282">
        <f>INDEX(Daten!$R$7:$R$429,MATCH('2'!B138,Daten!$A$7:$A$429,0))</f>
        <v>215439296</v>
      </c>
      <c r="F138" s="175">
        <f>INDEX(Daten!$M$7:$M$429,MATCH('2'!B138,Daten!$A$7:$A$429,0))</f>
        <v>83774972</v>
      </c>
      <c r="G138" s="135">
        <f>INDEX(Daten!$N$7:$N$429,MATCH('2'!B138,Daten!$A$7:$A$429,0))</f>
        <v>64172869</v>
      </c>
      <c r="H138" s="135">
        <f>INDEX(Daten!$P$7:$P$429,MATCH('2'!B138,Daten!$A$7:$A$429,0))</f>
        <v>27305479</v>
      </c>
      <c r="I138" s="135">
        <f>INDEX(Daten!$L$7:$L$429,MATCH('2'!B138,Daten!$A$7:$A$429,0))</f>
        <v>11032063</v>
      </c>
      <c r="J138" s="135">
        <f>INDEX(Daten!$K$7:$K$429,MATCH('2'!B138,Daten!$A$7:$A$429,0))</f>
        <v>28259357</v>
      </c>
      <c r="K138" s="135">
        <f>INDEX(Daten!$O$7:$O$429,MATCH('2'!B138,Daten!$A$7:$A$429,0))</f>
        <v>894556</v>
      </c>
      <c r="L138" s="151">
        <f>INDEX(Daten!$Q$7:$Q$429,MATCH('2'!B138,Daten!$A$7:$A$429,0))</f>
        <v>4973588</v>
      </c>
    </row>
    <row r="139" spans="1:12" ht="15" customHeight="1">
      <c r="A139" s="172" t="str">
        <f>Daten!C132</f>
        <v>JC Northeim</v>
      </c>
      <c r="B139" s="214" t="str">
        <f>Daten!A132</f>
        <v>23106</v>
      </c>
      <c r="C139" s="172" t="str">
        <f>Daten!F132</f>
        <v>03</v>
      </c>
      <c r="D139" s="145" t="str">
        <f>Daten!E132</f>
        <v>IIa</v>
      </c>
      <c r="E139" s="282">
        <f>INDEX(Daten!$R$7:$R$429,MATCH('2'!B139,Daten!$A$7:$A$429,0))</f>
        <v>83418146.239999995</v>
      </c>
      <c r="F139" s="175">
        <f>INDEX(Daten!$M$7:$M$429,MATCH('2'!B139,Daten!$A$7:$A$429,0))</f>
        <v>34286711.409999996</v>
      </c>
      <c r="G139" s="135">
        <f>INDEX(Daten!$N$7:$N$429,MATCH('2'!B139,Daten!$A$7:$A$429,0))</f>
        <v>22000479.150000006</v>
      </c>
      <c r="H139" s="135">
        <f>INDEX(Daten!$P$7:$P$429,MATCH('2'!B139,Daten!$A$7:$A$429,0))</f>
        <v>11146779.519999998</v>
      </c>
      <c r="I139" s="135">
        <f>INDEX(Daten!$L$7:$L$429,MATCH('2'!B139,Daten!$A$7:$A$429,0))</f>
        <v>5091538.38</v>
      </c>
      <c r="J139" s="135">
        <f>INDEX(Daten!$K$7:$K$429,MATCH('2'!B139,Daten!$A$7:$A$429,0))</f>
        <v>10520328.09</v>
      </c>
      <c r="K139" s="135">
        <f>INDEX(Daten!$O$7:$O$429,MATCH('2'!B139,Daten!$A$7:$A$429,0))</f>
        <v>372309.68999999994</v>
      </c>
      <c r="L139" s="151">
        <f>INDEX(Daten!$Q$7:$Q$429,MATCH('2'!B139,Daten!$A$7:$A$429,0))</f>
        <v>407207.60000000003</v>
      </c>
    </row>
    <row r="140" spans="1:12" ht="15" customHeight="1">
      <c r="A140" s="172" t="str">
        <f>Daten!C133</f>
        <v>JC Holzminden</v>
      </c>
      <c r="B140" s="214" t="str">
        <f>Daten!A133</f>
        <v>23406</v>
      </c>
      <c r="C140" s="172" t="str">
        <f>Daten!F133</f>
        <v>03</v>
      </c>
      <c r="D140" s="145" t="str">
        <f>Daten!E133</f>
        <v>IId</v>
      </c>
      <c r="E140" s="282">
        <f>INDEX(Daten!$R$7:$R$429,MATCH('2'!B140,Daten!$A$7:$A$429,0))</f>
        <v>49168286.189999998</v>
      </c>
      <c r="F140" s="175">
        <f>INDEX(Daten!$M$7:$M$429,MATCH('2'!B140,Daten!$A$7:$A$429,0))</f>
        <v>20384091.589999992</v>
      </c>
      <c r="G140" s="135">
        <f>INDEX(Daten!$N$7:$N$429,MATCH('2'!B140,Daten!$A$7:$A$429,0))</f>
        <v>12589934.139999999</v>
      </c>
      <c r="H140" s="135">
        <f>INDEX(Daten!$P$7:$P$429,MATCH('2'!B140,Daten!$A$7:$A$429,0))</f>
        <v>6495103.21</v>
      </c>
      <c r="I140" s="135">
        <f>INDEX(Daten!$L$7:$L$429,MATCH('2'!B140,Daten!$A$7:$A$429,0))</f>
        <v>2993976.4300000006</v>
      </c>
      <c r="J140" s="135">
        <f>INDEX(Daten!$K$7:$K$429,MATCH('2'!B140,Daten!$A$7:$A$429,0))</f>
        <v>6431539.9799999995</v>
      </c>
      <c r="K140" s="135">
        <f>INDEX(Daten!$O$7:$O$429,MATCH('2'!B140,Daten!$A$7:$A$429,0))</f>
        <v>273640.84000000003</v>
      </c>
      <c r="L140" s="151">
        <f>INDEX(Daten!$Q$7:$Q$429,MATCH('2'!B140,Daten!$A$7:$A$429,0))</f>
        <v>510683.41000000003</v>
      </c>
    </row>
    <row r="141" spans="1:12" ht="15" customHeight="1">
      <c r="A141" s="172" t="str">
        <f>Daten!C134</f>
        <v>JC Hameln-Pyrmont</v>
      </c>
      <c r="B141" s="214" t="str">
        <f>Daten!A134</f>
        <v>23408</v>
      </c>
      <c r="C141" s="172" t="str">
        <f>Daten!F134</f>
        <v>03</v>
      </c>
      <c r="D141" s="145" t="str">
        <f>Daten!E134</f>
        <v>IIc</v>
      </c>
      <c r="E141" s="282">
        <f>INDEX(Daten!$R$7:$R$429,MATCH('2'!B141,Daten!$A$7:$A$429,0))</f>
        <v>125929202.89</v>
      </c>
      <c r="F141" s="175">
        <f>INDEX(Daten!$M$7:$M$429,MATCH('2'!B141,Daten!$A$7:$A$429,0))</f>
        <v>50425743.340000011</v>
      </c>
      <c r="G141" s="135">
        <f>INDEX(Daten!$N$7:$N$429,MATCH('2'!B141,Daten!$A$7:$A$429,0))</f>
        <v>35897639.68999999</v>
      </c>
      <c r="H141" s="135">
        <f>INDEX(Daten!$P$7:$P$429,MATCH('2'!B141,Daten!$A$7:$A$429,0))</f>
        <v>16169645.800000001</v>
      </c>
      <c r="I141" s="135">
        <f>INDEX(Daten!$L$7:$L$429,MATCH('2'!B141,Daten!$A$7:$A$429,0))</f>
        <v>8425510.9600000009</v>
      </c>
      <c r="J141" s="135">
        <f>INDEX(Daten!$K$7:$K$429,MATCH('2'!B141,Daten!$A$7:$A$429,0))</f>
        <v>14522851.850000001</v>
      </c>
      <c r="K141" s="135">
        <f>INDEX(Daten!$O$7:$O$429,MATCH('2'!B141,Daten!$A$7:$A$429,0))</f>
        <v>487811.25</v>
      </c>
      <c r="L141" s="151">
        <f>INDEX(Daten!$Q$7:$Q$429,MATCH('2'!B141,Daten!$A$7:$A$429,0))</f>
        <v>1428886.67</v>
      </c>
    </row>
    <row r="142" spans="1:12" ht="15" customHeight="1">
      <c r="A142" s="172" t="str">
        <f>Daten!C135</f>
        <v>JC Schaumburg</v>
      </c>
      <c r="B142" s="214" t="str">
        <f>Daten!A135</f>
        <v>23444</v>
      </c>
      <c r="C142" s="172" t="str">
        <f>Daten!F135</f>
        <v>03</v>
      </c>
      <c r="D142" s="145" t="str">
        <f>Daten!E135</f>
        <v>IIc</v>
      </c>
      <c r="E142" s="282">
        <f>INDEX(Daten!$R$7:$R$429,MATCH('2'!B142,Daten!$A$7:$A$429,0))</f>
        <v>92238489</v>
      </c>
      <c r="F142" s="175">
        <f>INDEX(Daten!$M$7:$M$429,MATCH('2'!B142,Daten!$A$7:$A$429,0))</f>
        <v>36691094</v>
      </c>
      <c r="G142" s="135">
        <f>INDEX(Daten!$N$7:$N$429,MATCH('2'!B142,Daten!$A$7:$A$429,0))</f>
        <v>26132397</v>
      </c>
      <c r="H142" s="135">
        <f>INDEX(Daten!$P$7:$P$429,MATCH('2'!B142,Daten!$A$7:$A$429,0))</f>
        <v>12097090</v>
      </c>
      <c r="I142" s="135">
        <f>INDEX(Daten!$L$7:$L$429,MATCH('2'!B142,Daten!$A$7:$A$429,0))</f>
        <v>5882408</v>
      </c>
      <c r="J142" s="135">
        <f>INDEX(Daten!$K$7:$K$429,MATCH('2'!B142,Daten!$A$7:$A$429,0))</f>
        <v>11116482</v>
      </c>
      <c r="K142" s="135">
        <f>INDEX(Daten!$O$7:$O$429,MATCH('2'!B142,Daten!$A$7:$A$429,0))</f>
        <v>319018</v>
      </c>
      <c r="L142" s="151">
        <f>INDEX(Daten!$Q$7:$Q$429,MATCH('2'!B142,Daten!$A$7:$A$429,0))</f>
        <v>2022256</v>
      </c>
    </row>
    <row r="143" spans="1:12" ht="15" customHeight="1">
      <c r="A143" s="172" t="str">
        <f>Daten!C136</f>
        <v>JC Region Hannover</v>
      </c>
      <c r="B143" s="214" t="str">
        <f>Daten!A136</f>
        <v>23702</v>
      </c>
      <c r="C143" s="172" t="str">
        <f>Daten!F136</f>
        <v>03</v>
      </c>
      <c r="D143" s="145" t="str">
        <f>Daten!E136</f>
        <v>IIIb</v>
      </c>
      <c r="E143" s="282">
        <f>INDEX(Daten!$R$7:$R$429,MATCH('2'!B143,Daten!$A$7:$A$429,0))</f>
        <v>1163940343.6700001</v>
      </c>
      <c r="F143" s="175">
        <f>INDEX(Daten!$M$7:$M$429,MATCH('2'!B143,Daten!$A$7:$A$429,0))</f>
        <v>440214108.40000015</v>
      </c>
      <c r="G143" s="135">
        <f>INDEX(Daten!$N$7:$N$429,MATCH('2'!B143,Daten!$A$7:$A$429,0))</f>
        <v>367006684.31</v>
      </c>
      <c r="H143" s="135">
        <f>INDEX(Daten!$P$7:$P$429,MATCH('2'!B143,Daten!$A$7:$A$429,0))</f>
        <v>143722452.83000001</v>
      </c>
      <c r="I143" s="135">
        <f>INDEX(Daten!$L$7:$L$429,MATCH('2'!B143,Daten!$A$7:$A$429,0))</f>
        <v>78452201.050000012</v>
      </c>
      <c r="J143" s="135">
        <f>INDEX(Daten!$K$7:$K$429,MATCH('2'!B143,Daten!$A$7:$A$429,0))</f>
        <v>129851668.63</v>
      </c>
      <c r="K143" s="135">
        <f>INDEX(Daten!$O$7:$O$429,MATCH('2'!B143,Daten!$A$7:$A$429,0))</f>
        <v>4693228.45</v>
      </c>
      <c r="L143" s="151">
        <f>INDEX(Daten!$Q$7:$Q$429,MATCH('2'!B143,Daten!$A$7:$A$429,0))</f>
        <v>42755242.180000015</v>
      </c>
    </row>
    <row r="144" spans="1:12" ht="15" customHeight="1">
      <c r="A144" s="172" t="str">
        <f>Daten!C137</f>
        <v>JC Helmstedt</v>
      </c>
      <c r="B144" s="214" t="str">
        <f>Daten!A137</f>
        <v>24110</v>
      </c>
      <c r="C144" s="172" t="str">
        <f>Daten!F137</f>
        <v>03</v>
      </c>
      <c r="D144" s="145" t="str">
        <f>Daten!E137</f>
        <v>IIa</v>
      </c>
      <c r="E144" s="282">
        <f>INDEX(Daten!$R$7:$R$429,MATCH('2'!B144,Daten!$A$7:$A$429,0))</f>
        <v>65507140.080000013</v>
      </c>
      <c r="F144" s="175">
        <f>INDEX(Daten!$M$7:$M$429,MATCH('2'!B144,Daten!$A$7:$A$429,0))</f>
        <v>26036005.440000009</v>
      </c>
      <c r="G144" s="135">
        <f>INDEX(Daten!$N$7:$N$429,MATCH('2'!B144,Daten!$A$7:$A$429,0))</f>
        <v>19230010.070000004</v>
      </c>
      <c r="H144" s="135">
        <f>INDEX(Daten!$P$7:$P$429,MATCH('2'!B144,Daten!$A$7:$A$429,0))</f>
        <v>8171252.25</v>
      </c>
      <c r="I144" s="135">
        <f>INDEX(Daten!$L$7:$L$429,MATCH('2'!B144,Daten!$A$7:$A$429,0))</f>
        <v>3410666.3200000003</v>
      </c>
      <c r="J144" s="135">
        <f>INDEX(Daten!$K$7:$K$429,MATCH('2'!B144,Daten!$A$7:$A$429,0))</f>
        <v>8070615.2999999998</v>
      </c>
      <c r="K144" s="135">
        <f>INDEX(Daten!$O$7:$O$429,MATCH('2'!B144,Daten!$A$7:$A$429,0))</f>
        <v>588590.69999999995</v>
      </c>
      <c r="L144" s="151">
        <f>INDEX(Daten!$Q$7:$Q$429,MATCH('2'!B144,Daten!$A$7:$A$429,0))</f>
        <v>967982.74</v>
      </c>
    </row>
    <row r="145" spans="1:12" ht="15" customHeight="1">
      <c r="A145" s="172" t="str">
        <f>Daten!C138</f>
        <v>JC Gifhorn</v>
      </c>
      <c r="B145" s="214" t="str">
        <f>Daten!A138</f>
        <v>24112</v>
      </c>
      <c r="C145" s="172" t="str">
        <f>Daten!F138</f>
        <v>03</v>
      </c>
      <c r="D145" s="145" t="str">
        <f>Daten!E138</f>
        <v>IIc</v>
      </c>
      <c r="E145" s="282">
        <f>INDEX(Daten!$R$7:$R$429,MATCH('2'!B145,Daten!$A$7:$A$429,0))</f>
        <v>80841529.579999998</v>
      </c>
      <c r="F145" s="175">
        <f>INDEX(Daten!$M$7:$M$429,MATCH('2'!B145,Daten!$A$7:$A$429,0))</f>
        <v>32589810.539999995</v>
      </c>
      <c r="G145" s="135">
        <f>INDEX(Daten!$N$7:$N$429,MATCH('2'!B145,Daten!$A$7:$A$429,0))</f>
        <v>22835747.910000004</v>
      </c>
      <c r="H145" s="135">
        <f>INDEX(Daten!$P$7:$P$429,MATCH('2'!B145,Daten!$A$7:$A$429,0))</f>
        <v>10649383.800000001</v>
      </c>
      <c r="I145" s="135">
        <f>INDEX(Daten!$L$7:$L$429,MATCH('2'!B145,Daten!$A$7:$A$429,0))</f>
        <v>4033076.2299999995</v>
      </c>
      <c r="J145" s="135">
        <f>INDEX(Daten!$K$7:$K$429,MATCH('2'!B145,Daten!$A$7:$A$429,0))</f>
        <v>10272464.909999998</v>
      </c>
      <c r="K145" s="135">
        <f>INDEX(Daten!$O$7:$O$429,MATCH('2'!B145,Daten!$A$7:$A$429,0))</f>
        <v>461046.18999999994</v>
      </c>
      <c r="L145" s="151">
        <f>INDEX(Daten!$Q$7:$Q$429,MATCH('2'!B145,Daten!$A$7:$A$429,0))</f>
        <v>1580395.7700000003</v>
      </c>
    </row>
    <row r="146" spans="1:12" ht="15" customHeight="1">
      <c r="A146" s="172" t="str">
        <f>Daten!C139</f>
        <v>JC Wolfsburg, Stadt</v>
      </c>
      <c r="B146" s="214" t="str">
        <f>Daten!A139</f>
        <v>24114</v>
      </c>
      <c r="C146" s="172" t="str">
        <f>Daten!F139</f>
        <v>03</v>
      </c>
      <c r="D146" s="145" t="str">
        <f>Daten!E139</f>
        <v>IIe</v>
      </c>
      <c r="E146" s="282">
        <f>INDEX(Daten!$R$7:$R$429,MATCH('2'!B146,Daten!$A$7:$A$429,0))</f>
        <v>98802058.24000001</v>
      </c>
      <c r="F146" s="175">
        <f>INDEX(Daten!$M$7:$M$429,MATCH('2'!B146,Daten!$A$7:$A$429,0))</f>
        <v>39286873.720000006</v>
      </c>
      <c r="G146" s="135">
        <f>INDEX(Daten!$N$7:$N$429,MATCH('2'!B146,Daten!$A$7:$A$429,0))</f>
        <v>29962772.640000001</v>
      </c>
      <c r="H146" s="135">
        <f>INDEX(Daten!$P$7:$P$429,MATCH('2'!B146,Daten!$A$7:$A$429,0))</f>
        <v>12324662</v>
      </c>
      <c r="I146" s="135">
        <f>INDEX(Daten!$L$7:$L$429,MATCH('2'!B146,Daten!$A$7:$A$429,0))</f>
        <v>5338542.9600000009</v>
      </c>
      <c r="J146" s="135">
        <f>INDEX(Daten!$K$7:$K$429,MATCH('2'!B146,Daten!$A$7:$A$429,0))</f>
        <v>11270118.91</v>
      </c>
      <c r="K146" s="135">
        <f>INDEX(Daten!$O$7:$O$429,MATCH('2'!B146,Daten!$A$7:$A$429,0))</f>
        <v>619088.01</v>
      </c>
      <c r="L146" s="151">
        <f>INDEX(Daten!$Q$7:$Q$429,MATCH('2'!B146,Daten!$A$7:$A$429,0))</f>
        <v>613365.15999999992</v>
      </c>
    </row>
    <row r="147" spans="1:12" ht="15" customHeight="1">
      <c r="A147" s="172" t="str">
        <f>Daten!C140</f>
        <v>JC Hildesheim</v>
      </c>
      <c r="B147" s="214" t="str">
        <f>Daten!A140</f>
        <v>24402</v>
      </c>
      <c r="C147" s="172" t="str">
        <f>Daten!F140</f>
        <v>03</v>
      </c>
      <c r="D147" s="145" t="str">
        <f>Daten!E140</f>
        <v>IId</v>
      </c>
      <c r="E147" s="282">
        <f>INDEX(Daten!$R$7:$R$429,MATCH('2'!B147,Daten!$A$7:$A$429,0))</f>
        <v>208941001.24000004</v>
      </c>
      <c r="F147" s="175">
        <f>INDEX(Daten!$M$7:$M$429,MATCH('2'!B147,Daten!$A$7:$A$429,0))</f>
        <v>83870630.980000019</v>
      </c>
      <c r="G147" s="135">
        <f>INDEX(Daten!$N$7:$N$429,MATCH('2'!B147,Daten!$A$7:$A$429,0))</f>
        <v>59921569.20000001</v>
      </c>
      <c r="H147" s="135">
        <f>INDEX(Daten!$P$7:$P$429,MATCH('2'!B147,Daten!$A$7:$A$429,0))</f>
        <v>26816578.260000002</v>
      </c>
      <c r="I147" s="135">
        <f>INDEX(Daten!$L$7:$L$429,MATCH('2'!B147,Daten!$A$7:$A$429,0))</f>
        <v>14996974.91</v>
      </c>
      <c r="J147" s="135">
        <f>INDEX(Daten!$K$7:$K$429,MATCH('2'!B147,Daten!$A$7:$A$429,0))</f>
        <v>21932669.529999997</v>
      </c>
      <c r="K147" s="135">
        <f>INDEX(Daten!$O$7:$O$429,MATCH('2'!B147,Daten!$A$7:$A$429,0))</f>
        <v>1402578.3599999999</v>
      </c>
      <c r="L147" s="151">
        <f>INDEX(Daten!$Q$7:$Q$429,MATCH('2'!B147,Daten!$A$7:$A$429,0))</f>
        <v>3419943.74</v>
      </c>
    </row>
    <row r="148" spans="1:12" ht="15" customHeight="1">
      <c r="A148" s="172" t="str">
        <f>Daten!C141</f>
        <v>JC Peine</v>
      </c>
      <c r="B148" s="214" t="str">
        <f>Daten!A141</f>
        <v>24404</v>
      </c>
      <c r="C148" s="172" t="str">
        <f>Daten!F141</f>
        <v>03</v>
      </c>
      <c r="D148" s="145" t="str">
        <f>Daten!E141</f>
        <v>IIc</v>
      </c>
      <c r="E148" s="282">
        <f>INDEX(Daten!$R$7:$R$429,MATCH('2'!B148,Daten!$A$7:$A$429,0))</f>
        <v>89565344</v>
      </c>
      <c r="F148" s="175">
        <f>INDEX(Daten!$M$7:$M$429,MATCH('2'!B148,Daten!$A$7:$A$429,0))</f>
        <v>36474888</v>
      </c>
      <c r="G148" s="135">
        <f>INDEX(Daten!$N$7:$N$429,MATCH('2'!B148,Daten!$A$7:$A$429,0))</f>
        <v>26706660</v>
      </c>
      <c r="H148" s="135">
        <f>INDEX(Daten!$P$7:$P$429,MATCH('2'!B148,Daten!$A$7:$A$429,0))</f>
        <v>10875197</v>
      </c>
      <c r="I148" s="135">
        <f>INDEX(Daten!$L$7:$L$429,MATCH('2'!B148,Daten!$A$7:$A$429,0))</f>
        <v>5234794</v>
      </c>
      <c r="J148" s="135">
        <f>INDEX(Daten!$K$7:$K$429,MATCH('2'!B148,Daten!$A$7:$A$429,0))</f>
        <v>9804561</v>
      </c>
      <c r="K148" s="135">
        <f>INDEX(Daten!$O$7:$O$429,MATCH('2'!B148,Daten!$A$7:$A$429,0))</f>
        <v>469244</v>
      </c>
      <c r="L148" s="151">
        <f>INDEX(Daten!$Q$7:$Q$429,MATCH('2'!B148,Daten!$A$7:$A$429,0))</f>
        <v>1292816</v>
      </c>
    </row>
    <row r="149" spans="1:12" ht="15" customHeight="1">
      <c r="A149" s="172" t="str">
        <f>Daten!C142</f>
        <v>JC Lüneburg</v>
      </c>
      <c r="B149" s="214" t="str">
        <f>Daten!A142</f>
        <v>25102</v>
      </c>
      <c r="C149" s="172" t="str">
        <f>Daten!F142</f>
        <v>03</v>
      </c>
      <c r="D149" s="145" t="str">
        <f>Daten!E142</f>
        <v>IIc</v>
      </c>
      <c r="E149" s="282">
        <f>INDEX(Daten!$R$7:$R$429,MATCH('2'!B149,Daten!$A$7:$A$429,0))</f>
        <v>113213292.13000001</v>
      </c>
      <c r="F149" s="175">
        <f>INDEX(Daten!$M$7:$M$429,MATCH('2'!B149,Daten!$A$7:$A$429,0))</f>
        <v>42765135.780000009</v>
      </c>
      <c r="G149" s="135">
        <f>INDEX(Daten!$N$7:$N$429,MATCH('2'!B149,Daten!$A$7:$A$429,0))</f>
        <v>35289538.569999993</v>
      </c>
      <c r="H149" s="135">
        <f>INDEX(Daten!$P$7:$P$429,MATCH('2'!B149,Daten!$A$7:$A$429,0))</f>
        <v>14426611.76</v>
      </c>
      <c r="I149" s="135">
        <f>INDEX(Daten!$L$7:$L$429,MATCH('2'!B149,Daten!$A$7:$A$429,0))</f>
        <v>6903015.4899999993</v>
      </c>
      <c r="J149" s="135">
        <f>INDEX(Daten!$K$7:$K$429,MATCH('2'!B149,Daten!$A$7:$A$429,0))</f>
        <v>13511051.34</v>
      </c>
      <c r="K149" s="135">
        <f>INDEX(Daten!$O$7:$O$429,MATCH('2'!B149,Daten!$A$7:$A$429,0))</f>
        <v>317939.19</v>
      </c>
      <c r="L149" s="151">
        <f>INDEX(Daten!$Q$7:$Q$429,MATCH('2'!B149,Daten!$A$7:$A$429,0))</f>
        <v>1782392.83</v>
      </c>
    </row>
    <row r="150" spans="1:12" ht="15" customHeight="1">
      <c r="A150" s="172" t="str">
        <f>Daten!C143</f>
        <v>JC Harburg</v>
      </c>
      <c r="B150" s="214" t="str">
        <f>Daten!A143</f>
        <v>25104</v>
      </c>
      <c r="C150" s="172" t="str">
        <f>Daten!F143</f>
        <v>03</v>
      </c>
      <c r="D150" s="145" t="str">
        <f>Daten!E143</f>
        <v>IIc</v>
      </c>
      <c r="E150" s="282">
        <f>INDEX(Daten!$R$7:$R$429,MATCH('2'!B150,Daten!$A$7:$A$429,0))</f>
        <v>119241337.77000001</v>
      </c>
      <c r="F150" s="175">
        <f>INDEX(Daten!$M$7:$M$429,MATCH('2'!B150,Daten!$A$7:$A$429,0))</f>
        <v>44243973.469999999</v>
      </c>
      <c r="G150" s="135">
        <f>INDEX(Daten!$N$7:$N$429,MATCH('2'!B150,Daten!$A$7:$A$429,0))</f>
        <v>40030899.009999998</v>
      </c>
      <c r="H150" s="135">
        <f>INDEX(Daten!$P$7:$P$429,MATCH('2'!B150,Daten!$A$7:$A$429,0))</f>
        <v>15342801.280000003</v>
      </c>
      <c r="I150" s="135">
        <f>INDEX(Daten!$L$7:$L$429,MATCH('2'!B150,Daten!$A$7:$A$429,0))</f>
        <v>6216184.8199999994</v>
      </c>
      <c r="J150" s="135">
        <f>INDEX(Daten!$K$7:$K$429,MATCH('2'!B150,Daten!$A$7:$A$429,0))</f>
        <v>13181815.410000002</v>
      </c>
      <c r="K150" s="135">
        <f>INDEX(Daten!$O$7:$O$429,MATCH('2'!B150,Daten!$A$7:$A$429,0))</f>
        <v>225663.78</v>
      </c>
      <c r="L150" s="151">
        <f>INDEX(Daten!$Q$7:$Q$429,MATCH('2'!B150,Daten!$A$7:$A$429,0))</f>
        <v>1750726.3199999998</v>
      </c>
    </row>
    <row r="151" spans="1:12" ht="15" customHeight="1">
      <c r="A151" s="172" t="str">
        <f>Daten!C144</f>
        <v>JC Lüchow-Dannenberg</v>
      </c>
      <c r="B151" s="214" t="str">
        <f>Daten!A144</f>
        <v>25110</v>
      </c>
      <c r="C151" s="172" t="str">
        <f>Daten!F144</f>
        <v>03</v>
      </c>
      <c r="D151" s="145" t="str">
        <f>Daten!E144</f>
        <v>IIc</v>
      </c>
      <c r="E151" s="282">
        <f>INDEX(Daten!$R$7:$R$429,MATCH('2'!B151,Daten!$A$7:$A$429,0))</f>
        <v>31379031.649999999</v>
      </c>
      <c r="F151" s="175">
        <f>INDEX(Daten!$M$7:$M$429,MATCH('2'!B151,Daten!$A$7:$A$429,0))</f>
        <v>12670805.529999999</v>
      </c>
      <c r="G151" s="135">
        <f>INDEX(Daten!$N$7:$N$429,MATCH('2'!B151,Daten!$A$7:$A$429,0))</f>
        <v>7795963.950000002</v>
      </c>
      <c r="H151" s="135">
        <f>INDEX(Daten!$P$7:$P$429,MATCH('2'!B151,Daten!$A$7:$A$429,0))</f>
        <v>4023287.81</v>
      </c>
      <c r="I151" s="135">
        <f>INDEX(Daten!$L$7:$L$429,MATCH('2'!B151,Daten!$A$7:$A$429,0))</f>
        <v>1725260.66</v>
      </c>
      <c r="J151" s="135">
        <f>INDEX(Daten!$K$7:$K$429,MATCH('2'!B151,Daten!$A$7:$A$429,0))</f>
        <v>5078851.18</v>
      </c>
      <c r="K151" s="135">
        <f>INDEX(Daten!$O$7:$O$429,MATCH('2'!B151,Daten!$A$7:$A$429,0))</f>
        <v>84862.52</v>
      </c>
      <c r="L151" s="151">
        <f>INDEX(Daten!$Q$7:$Q$429,MATCH('2'!B151,Daten!$A$7:$A$429,0))</f>
        <v>710891.53</v>
      </c>
    </row>
    <row r="152" spans="1:12" ht="15" customHeight="1">
      <c r="A152" s="172" t="str">
        <f>Daten!C145</f>
        <v>JC Uelzen</v>
      </c>
      <c r="B152" s="214" t="str">
        <f>Daten!A145</f>
        <v>25112</v>
      </c>
      <c r="C152" s="172" t="str">
        <f>Daten!F145</f>
        <v>03</v>
      </c>
      <c r="D152" s="145" t="str">
        <f>Daten!E145</f>
        <v>IIa</v>
      </c>
      <c r="E152" s="282">
        <f>INDEX(Daten!$R$7:$R$429,MATCH('2'!B152,Daten!$A$7:$A$429,0))</f>
        <v>53233591.819999985</v>
      </c>
      <c r="F152" s="175">
        <f>INDEX(Daten!$M$7:$M$429,MATCH('2'!B152,Daten!$A$7:$A$429,0))</f>
        <v>21133594.789999992</v>
      </c>
      <c r="G152" s="135">
        <f>INDEX(Daten!$N$7:$N$429,MATCH('2'!B152,Daten!$A$7:$A$429,0))</f>
        <v>15196787.140000001</v>
      </c>
      <c r="H152" s="135">
        <f>INDEX(Daten!$P$7:$P$429,MATCH('2'!B152,Daten!$A$7:$A$429,0))</f>
        <v>6780707.2299999995</v>
      </c>
      <c r="I152" s="135">
        <f>INDEX(Daten!$L$7:$L$429,MATCH('2'!B152,Daten!$A$7:$A$429,0))</f>
        <v>2697330.37</v>
      </c>
      <c r="J152" s="135">
        <f>INDEX(Daten!$K$7:$K$429,MATCH('2'!B152,Daten!$A$7:$A$429,0))</f>
        <v>7151153.8799999999</v>
      </c>
      <c r="K152" s="135">
        <f>INDEX(Daten!$O$7:$O$429,MATCH('2'!B152,Daten!$A$7:$A$429,0))</f>
        <v>274018.40999999997</v>
      </c>
      <c r="L152" s="151">
        <f>INDEX(Daten!$Q$7:$Q$429,MATCH('2'!B152,Daten!$A$7:$A$429,0))</f>
        <v>267298.63</v>
      </c>
    </row>
    <row r="153" spans="1:12" ht="15" customHeight="1">
      <c r="A153" s="172" t="str">
        <f>Daten!C146</f>
        <v>JC Grafschaft Bentheim</v>
      </c>
      <c r="B153" s="214" t="str">
        <f>Daten!A146</f>
        <v>25704</v>
      </c>
      <c r="C153" s="172" t="str">
        <f>Daten!F146</f>
        <v>03</v>
      </c>
      <c r="D153" s="145" t="str">
        <f>Daten!E146</f>
        <v>Id</v>
      </c>
      <c r="E153" s="282" t="str">
        <f>INDEX(Daten!$R$7:$R$429,MATCH('2'!B153,Daten!$A$7:$A$429,0))</f>
        <v>.</v>
      </c>
      <c r="F153" s="175" t="str">
        <f>INDEX(Daten!$M$7:$M$429,MATCH('2'!B153,Daten!$A$7:$A$429,0))</f>
        <v>.</v>
      </c>
      <c r="G153" s="135">
        <f>INDEX(Daten!$N$7:$N$429,MATCH('2'!B153,Daten!$A$7:$A$429,0))</f>
        <v>19566285</v>
      </c>
      <c r="H153" s="135">
        <f>INDEX(Daten!$P$7:$P$429,MATCH('2'!B153,Daten!$A$7:$A$429,0))</f>
        <v>8700646</v>
      </c>
      <c r="I153" s="135">
        <f>INDEX(Daten!$L$7:$L$429,MATCH('2'!B153,Daten!$A$7:$A$429,0))</f>
        <v>4343786</v>
      </c>
      <c r="J153" s="135">
        <f>INDEX(Daten!$K$7:$K$429,MATCH('2'!B153,Daten!$A$7:$A$429,0))</f>
        <v>6695635</v>
      </c>
      <c r="K153" s="135">
        <f>INDEX(Daten!$O$7:$O$429,MATCH('2'!B153,Daten!$A$7:$A$429,0))</f>
        <v>218299</v>
      </c>
      <c r="L153" s="151">
        <f>INDEX(Daten!$Q$7:$Q$429,MATCH('2'!B153,Daten!$A$7:$A$429,0))</f>
        <v>1503771</v>
      </c>
    </row>
    <row r="154" spans="1:12" ht="15" customHeight="1">
      <c r="A154" s="172" t="str">
        <f>Daten!C147</f>
        <v>JC Emsland</v>
      </c>
      <c r="B154" s="214" t="str">
        <f>Daten!A147</f>
        <v>25706</v>
      </c>
      <c r="C154" s="172" t="str">
        <f>Daten!F147</f>
        <v>03</v>
      </c>
      <c r="D154" s="145" t="str">
        <f>Daten!E147</f>
        <v>Id</v>
      </c>
      <c r="E154" s="282">
        <f>INDEX(Daten!$R$7:$R$429,MATCH('2'!B154,Daten!$A$7:$A$429,0))</f>
        <v>129531923</v>
      </c>
      <c r="F154" s="175">
        <f>INDEX(Daten!$M$7:$M$429,MATCH('2'!B154,Daten!$A$7:$A$429,0))</f>
        <v>52947984</v>
      </c>
      <c r="G154" s="135">
        <f>INDEX(Daten!$N$7:$N$429,MATCH('2'!B154,Daten!$A$7:$A$429,0))</f>
        <v>37890005</v>
      </c>
      <c r="H154" s="135">
        <f>INDEX(Daten!$P$7:$P$429,MATCH('2'!B154,Daten!$A$7:$A$429,0))</f>
        <v>17126911</v>
      </c>
      <c r="I154" s="135">
        <f>INDEX(Daten!$L$7:$L$429,MATCH('2'!B154,Daten!$A$7:$A$429,0))</f>
        <v>6621071</v>
      </c>
      <c r="J154" s="135">
        <f>INDEX(Daten!$K$7:$K$429,MATCH('2'!B154,Daten!$A$7:$A$429,0))</f>
        <v>14564983</v>
      </c>
      <c r="K154" s="135">
        <f>INDEX(Daten!$O$7:$O$429,MATCH('2'!B154,Daten!$A$7:$A$429,0))</f>
        <v>380969</v>
      </c>
      <c r="L154" s="151">
        <f>INDEX(Daten!$Q$7:$Q$429,MATCH('2'!B154,Daten!$A$7:$A$429,0))</f>
        <v>1330094</v>
      </c>
    </row>
    <row r="155" spans="1:12" ht="15" customHeight="1">
      <c r="A155" s="172" t="str">
        <f>Daten!C148</f>
        <v>JC Delmenhorst, Stadt</v>
      </c>
      <c r="B155" s="214" t="str">
        <f>Daten!A148</f>
        <v>26104</v>
      </c>
      <c r="C155" s="172" t="str">
        <f>Daten!F148</f>
        <v>03</v>
      </c>
      <c r="D155" s="145" t="str">
        <f>Daten!E148</f>
        <v>IIIc</v>
      </c>
      <c r="E155" s="282">
        <f>INDEX(Daten!$R$7:$R$429,MATCH('2'!B155,Daten!$A$7:$A$429,0))</f>
        <v>92995335.199999988</v>
      </c>
      <c r="F155" s="175">
        <f>INDEX(Daten!$M$7:$M$429,MATCH('2'!B155,Daten!$A$7:$A$429,0))</f>
        <v>35111854.649999991</v>
      </c>
      <c r="G155" s="135">
        <f>INDEX(Daten!$N$7:$N$429,MATCH('2'!B155,Daten!$A$7:$A$429,0))</f>
        <v>28132808.890000001</v>
      </c>
      <c r="H155" s="135">
        <f>INDEX(Daten!$P$7:$P$429,MATCH('2'!B155,Daten!$A$7:$A$429,0))</f>
        <v>11815420.739999998</v>
      </c>
      <c r="I155" s="135">
        <f>INDEX(Daten!$L$7:$L$429,MATCH('2'!B155,Daten!$A$7:$A$429,0))</f>
        <v>7018712.75</v>
      </c>
      <c r="J155" s="135">
        <f>INDEX(Daten!$K$7:$K$429,MATCH('2'!B155,Daten!$A$7:$A$429,0))</f>
        <v>10628777.579999998</v>
      </c>
      <c r="K155" s="135">
        <f>INDEX(Daten!$O$7:$O$429,MATCH('2'!B155,Daten!$A$7:$A$429,0))</f>
        <v>287760.58999999997</v>
      </c>
      <c r="L155" s="151">
        <f>INDEX(Daten!$Q$7:$Q$429,MATCH('2'!B155,Daten!$A$7:$A$429,0))</f>
        <v>1576412.31</v>
      </c>
    </row>
    <row r="156" spans="1:12" ht="15" customHeight="1">
      <c r="A156" s="172" t="str">
        <f>Daten!C149</f>
        <v>JC Oldenburg (Oldenburg), Stadt</v>
      </c>
      <c r="B156" s="214" t="str">
        <f>Daten!A149</f>
        <v>26106</v>
      </c>
      <c r="C156" s="172" t="str">
        <f>Daten!F149</f>
        <v>03</v>
      </c>
      <c r="D156" s="145" t="str">
        <f>Daten!E149</f>
        <v>IIIb</v>
      </c>
      <c r="E156" s="282">
        <f>INDEX(Daten!$R$7:$R$429,MATCH('2'!B156,Daten!$A$7:$A$429,0))</f>
        <v>167525085.79000002</v>
      </c>
      <c r="F156" s="175">
        <f>INDEX(Daten!$M$7:$M$429,MATCH('2'!B156,Daten!$A$7:$A$429,0))</f>
        <v>58277416.240000017</v>
      </c>
      <c r="G156" s="135">
        <f>INDEX(Daten!$N$7:$N$429,MATCH('2'!B156,Daten!$A$7:$A$429,0))</f>
        <v>56909572.830000006</v>
      </c>
      <c r="H156" s="135">
        <f>INDEX(Daten!$P$7:$P$429,MATCH('2'!B156,Daten!$A$7:$A$429,0))</f>
        <v>20614753.359999992</v>
      </c>
      <c r="I156" s="135">
        <f>INDEX(Daten!$L$7:$L$429,MATCH('2'!B156,Daten!$A$7:$A$429,0))</f>
        <v>12481195.59</v>
      </c>
      <c r="J156" s="135">
        <f>INDEX(Daten!$K$7:$K$429,MATCH('2'!B156,Daten!$A$7:$A$429,0))</f>
        <v>18303967.59</v>
      </c>
      <c r="K156" s="135">
        <f>INDEX(Daten!$O$7:$O$429,MATCH('2'!B156,Daten!$A$7:$A$429,0))</f>
        <v>938180.17999999993</v>
      </c>
      <c r="L156" s="151">
        <f>INDEX(Daten!$Q$7:$Q$429,MATCH('2'!B156,Daten!$A$7:$A$429,0))</f>
        <v>4806173.93</v>
      </c>
    </row>
    <row r="157" spans="1:12" ht="15" customHeight="1">
      <c r="A157" s="172" t="str">
        <f>Daten!C150</f>
        <v>JC Wesermarsch</v>
      </c>
      <c r="B157" s="214" t="str">
        <f>Daten!A150</f>
        <v>26110</v>
      </c>
      <c r="C157" s="172" t="str">
        <f>Daten!F150</f>
        <v>03</v>
      </c>
      <c r="D157" s="145" t="str">
        <f>Daten!E150</f>
        <v>IId</v>
      </c>
      <c r="E157" s="282">
        <f>INDEX(Daten!$R$7:$R$429,MATCH('2'!B157,Daten!$A$7:$A$429,0))</f>
        <v>60489246.38000001</v>
      </c>
      <c r="F157" s="175">
        <f>INDEX(Daten!$M$7:$M$429,MATCH('2'!B157,Daten!$A$7:$A$429,0))</f>
        <v>24366856.57</v>
      </c>
      <c r="G157" s="135">
        <f>INDEX(Daten!$N$7:$N$429,MATCH('2'!B157,Daten!$A$7:$A$429,0))</f>
        <v>16621748.809999999</v>
      </c>
      <c r="H157" s="135">
        <f>INDEX(Daten!$P$7:$P$429,MATCH('2'!B157,Daten!$A$7:$A$429,0))</f>
        <v>7889778.2700000005</v>
      </c>
      <c r="I157" s="135">
        <f>INDEX(Daten!$L$7:$L$429,MATCH('2'!B157,Daten!$A$7:$A$429,0))</f>
        <v>3711640.9200000004</v>
      </c>
      <c r="J157" s="135">
        <f>INDEX(Daten!$K$7:$K$429,MATCH('2'!B157,Daten!$A$7:$A$429,0))</f>
        <v>7667636.9900000012</v>
      </c>
      <c r="K157" s="135">
        <f>INDEX(Daten!$O$7:$O$429,MATCH('2'!B157,Daten!$A$7:$A$429,0))</f>
        <v>231584.82</v>
      </c>
      <c r="L157" s="151">
        <f>INDEX(Daten!$Q$7:$Q$429,MATCH('2'!B157,Daten!$A$7:$A$429,0))</f>
        <v>2233783.7999999998</v>
      </c>
    </row>
    <row r="158" spans="1:12" ht="15" customHeight="1">
      <c r="A158" s="172" t="str">
        <f>Daten!C151</f>
        <v>JC Ammerland</v>
      </c>
      <c r="B158" s="214" t="str">
        <f>Daten!A151</f>
        <v>26112</v>
      </c>
      <c r="C158" s="172" t="str">
        <f>Daten!F151</f>
        <v>03</v>
      </c>
      <c r="D158" s="145" t="str">
        <f>Daten!E151</f>
        <v>IIc</v>
      </c>
      <c r="E158" s="282">
        <f>INDEX(Daten!$R$7:$R$429,MATCH('2'!B158,Daten!$A$7:$A$429,0))</f>
        <v>59121636</v>
      </c>
      <c r="F158" s="175">
        <f>INDEX(Daten!$M$7:$M$429,MATCH('2'!B158,Daten!$A$7:$A$429,0))</f>
        <v>22501633</v>
      </c>
      <c r="G158" s="135">
        <f>INDEX(Daten!$N$7:$N$429,MATCH('2'!B158,Daten!$A$7:$A$429,0))</f>
        <v>18055863</v>
      </c>
      <c r="H158" s="135">
        <f>INDEX(Daten!$P$7:$P$429,MATCH('2'!B158,Daten!$A$7:$A$429,0))</f>
        <v>7694172</v>
      </c>
      <c r="I158" s="135">
        <f>INDEX(Daten!$L$7:$L$429,MATCH('2'!B158,Daten!$A$7:$A$429,0))</f>
        <v>3675533</v>
      </c>
      <c r="J158" s="135">
        <f>INDEX(Daten!$K$7:$K$429,MATCH('2'!B158,Daten!$A$7:$A$429,0))</f>
        <v>6971005</v>
      </c>
      <c r="K158" s="135">
        <f>INDEX(Daten!$O$7:$O$429,MATCH('2'!B158,Daten!$A$7:$A$429,0))</f>
        <v>223430</v>
      </c>
      <c r="L158" s="151">
        <f>INDEX(Daten!$Q$7:$Q$429,MATCH('2'!B158,Daten!$A$7:$A$429,0))</f>
        <v>1944197</v>
      </c>
    </row>
    <row r="159" spans="1:12" ht="15" customHeight="1">
      <c r="A159" s="172" t="str">
        <f>Daten!C152</f>
        <v>JC Oldenburg</v>
      </c>
      <c r="B159" s="214" t="str">
        <f>Daten!A152</f>
        <v>26118</v>
      </c>
      <c r="C159" s="172" t="str">
        <f>Daten!F152</f>
        <v>03</v>
      </c>
      <c r="D159" s="145" t="str">
        <f>Daten!E152</f>
        <v>IIc</v>
      </c>
      <c r="E159" s="282">
        <f>INDEX(Daten!$R$7:$R$429,MATCH('2'!B159,Daten!$A$7:$A$429,0))</f>
        <v>55740788</v>
      </c>
      <c r="F159" s="175">
        <f>INDEX(Daten!$M$7:$M$429,MATCH('2'!B159,Daten!$A$7:$A$429,0))</f>
        <v>21915487</v>
      </c>
      <c r="G159" s="135">
        <f>INDEX(Daten!$N$7:$N$429,MATCH('2'!B159,Daten!$A$7:$A$429,0))</f>
        <v>16563538</v>
      </c>
      <c r="H159" s="135">
        <f>INDEX(Daten!$P$7:$P$429,MATCH('2'!B159,Daten!$A$7:$A$429,0))</f>
        <v>7326289</v>
      </c>
      <c r="I159" s="135">
        <f>INDEX(Daten!$L$7:$L$429,MATCH('2'!B159,Daten!$A$7:$A$429,0))</f>
        <v>3339982</v>
      </c>
      <c r="J159" s="135">
        <f>INDEX(Daten!$K$7:$K$429,MATCH('2'!B159,Daten!$A$7:$A$429,0))</f>
        <v>6448127</v>
      </c>
      <c r="K159" s="135">
        <f>INDEX(Daten!$O$7:$O$429,MATCH('2'!B159,Daten!$A$7:$A$429,0))</f>
        <v>147365</v>
      </c>
      <c r="L159" s="151">
        <f>INDEX(Daten!$Q$7:$Q$429,MATCH('2'!B159,Daten!$A$7:$A$429,0))</f>
        <v>1073356</v>
      </c>
    </row>
    <row r="160" spans="1:12" ht="15" customHeight="1">
      <c r="A160" s="172" t="str">
        <f>Daten!C153</f>
        <v>JC Wilhelmshaven, Stadt</v>
      </c>
      <c r="B160" s="214" t="str">
        <f>Daten!A153</f>
        <v>26126</v>
      </c>
      <c r="C160" s="172" t="str">
        <f>Daten!F153</f>
        <v>03</v>
      </c>
      <c r="D160" s="145" t="str">
        <f>Daten!E153</f>
        <v>IIIb</v>
      </c>
      <c r="E160" s="282">
        <f>INDEX(Daten!$R$7:$R$429,MATCH('2'!B160,Daten!$A$7:$A$429,0))</f>
        <v>111324534.47999999</v>
      </c>
      <c r="F160" s="175">
        <f>INDEX(Daten!$M$7:$M$429,MATCH('2'!B160,Daten!$A$7:$A$429,0))</f>
        <v>43330036.359999992</v>
      </c>
      <c r="G160" s="135">
        <f>INDEX(Daten!$N$7:$N$429,MATCH('2'!B160,Daten!$A$7:$A$429,0))</f>
        <v>33764582.960000008</v>
      </c>
      <c r="H160" s="135">
        <f>INDEX(Daten!$P$7:$P$429,MATCH('2'!B160,Daten!$A$7:$A$429,0))</f>
        <v>13680021.659999998</v>
      </c>
      <c r="I160" s="135">
        <f>INDEX(Daten!$L$7:$L$429,MATCH('2'!B160,Daten!$A$7:$A$429,0))</f>
        <v>8071935.1099999994</v>
      </c>
      <c r="J160" s="135">
        <f>INDEX(Daten!$K$7:$K$429,MATCH('2'!B160,Daten!$A$7:$A$429,0))</f>
        <v>11966971.639999999</v>
      </c>
      <c r="K160" s="135">
        <f>INDEX(Daten!$O$7:$O$429,MATCH('2'!B160,Daten!$A$7:$A$429,0))</f>
        <v>510986.75</v>
      </c>
      <c r="L160" s="151">
        <f>INDEX(Daten!$Q$7:$Q$429,MATCH('2'!B160,Daten!$A$7:$A$429,0))</f>
        <v>1059212.18</v>
      </c>
    </row>
    <row r="161" spans="1:12" ht="15" customHeight="1">
      <c r="A161" s="172" t="str">
        <f>Daten!C154</f>
        <v>JC Friesland</v>
      </c>
      <c r="B161" s="214" t="str">
        <f>Daten!A154</f>
        <v>26130</v>
      </c>
      <c r="C161" s="172" t="str">
        <f>Daten!F154</f>
        <v>03</v>
      </c>
      <c r="D161" s="145" t="str">
        <f>Daten!E154</f>
        <v>IIc</v>
      </c>
      <c r="E161" s="282">
        <f>INDEX(Daten!$R$7:$R$429,MATCH('2'!B161,Daten!$A$7:$A$429,0))</f>
        <v>48313327</v>
      </c>
      <c r="F161" s="175">
        <f>INDEX(Daten!$M$7:$M$429,MATCH('2'!B161,Daten!$A$7:$A$429,0))</f>
        <v>19234787</v>
      </c>
      <c r="G161" s="135">
        <f>INDEX(Daten!$N$7:$N$429,MATCH('2'!B161,Daten!$A$7:$A$429,0))</f>
        <v>14161956</v>
      </c>
      <c r="H161" s="135">
        <f>INDEX(Daten!$P$7:$P$429,MATCH('2'!B161,Daten!$A$7:$A$429,0))</f>
        <v>6289802</v>
      </c>
      <c r="I161" s="135">
        <f>INDEX(Daten!$L$7:$L$429,MATCH('2'!B161,Daten!$A$7:$A$429,0))</f>
        <v>2176372</v>
      </c>
      <c r="J161" s="135">
        <f>INDEX(Daten!$K$7:$K$429,MATCH('2'!B161,Daten!$A$7:$A$429,0))</f>
        <v>6331649</v>
      </c>
      <c r="K161" s="135">
        <f>INDEX(Daten!$O$7:$O$429,MATCH('2'!B161,Daten!$A$7:$A$429,0))</f>
        <v>118761</v>
      </c>
      <c r="L161" s="151">
        <f>INDEX(Daten!$Q$7:$Q$429,MATCH('2'!B161,Daten!$A$7:$A$429,0))</f>
        <v>1128855</v>
      </c>
    </row>
    <row r="162" spans="1:12" ht="15" customHeight="1">
      <c r="A162" s="172" t="str">
        <f>Daten!C155</f>
        <v>JC Osnabrück, Stadt</v>
      </c>
      <c r="B162" s="214" t="str">
        <f>Daten!A155</f>
        <v>26402</v>
      </c>
      <c r="C162" s="172" t="str">
        <f>Daten!F155</f>
        <v>03</v>
      </c>
      <c r="D162" s="145" t="str">
        <f>Daten!E155</f>
        <v>IIIb</v>
      </c>
      <c r="E162" s="282">
        <f>INDEX(Daten!$R$7:$R$429,MATCH('2'!B162,Daten!$A$7:$A$429,0))</f>
        <v>159888648.10000002</v>
      </c>
      <c r="F162" s="175">
        <f>INDEX(Daten!$M$7:$M$429,MATCH('2'!B162,Daten!$A$7:$A$429,0))</f>
        <v>58206343.669999994</v>
      </c>
      <c r="G162" s="135">
        <f>INDEX(Daten!$N$7:$N$429,MATCH('2'!B162,Daten!$A$7:$A$429,0))</f>
        <v>52508776.859999999</v>
      </c>
      <c r="H162" s="135">
        <f>INDEX(Daten!$P$7:$P$429,MATCH('2'!B162,Daten!$A$7:$A$429,0))</f>
        <v>19867859.359999999</v>
      </c>
      <c r="I162" s="135">
        <f>INDEX(Daten!$L$7:$L$429,MATCH('2'!B162,Daten!$A$7:$A$429,0))</f>
        <v>10311647.560000002</v>
      </c>
      <c r="J162" s="135">
        <f>INDEX(Daten!$K$7:$K$429,MATCH('2'!B162,Daten!$A$7:$A$429,0))</f>
        <v>18231033.02</v>
      </c>
      <c r="K162" s="135">
        <f>INDEX(Daten!$O$7:$O$429,MATCH('2'!B162,Daten!$A$7:$A$429,0))</f>
        <v>762987.62999999989</v>
      </c>
      <c r="L162" s="151">
        <f>INDEX(Daten!$Q$7:$Q$429,MATCH('2'!B162,Daten!$A$7:$A$429,0))</f>
        <v>536995.92999999993</v>
      </c>
    </row>
    <row r="163" spans="1:12" ht="15" customHeight="1">
      <c r="A163" s="172" t="str">
        <f>Daten!C156</f>
        <v>JC Osnabrück</v>
      </c>
      <c r="B163" s="214" t="str">
        <f>Daten!A156</f>
        <v>26410</v>
      </c>
      <c r="C163" s="172" t="str">
        <f>Daten!F156</f>
        <v>03</v>
      </c>
      <c r="D163" s="145" t="str">
        <f>Daten!E156</f>
        <v>IIa</v>
      </c>
      <c r="E163" s="282">
        <f>INDEX(Daten!$R$7:$R$429,MATCH('2'!B163,Daten!$A$7:$A$429,0))</f>
        <v>116730075</v>
      </c>
      <c r="F163" s="175">
        <f>INDEX(Daten!$M$7:$M$429,MATCH('2'!B163,Daten!$A$7:$A$429,0))</f>
        <v>46869961</v>
      </c>
      <c r="G163" s="135">
        <f>INDEX(Daten!$N$7:$N$429,MATCH('2'!B163,Daten!$A$7:$A$429,0))</f>
        <v>33303246</v>
      </c>
      <c r="H163" s="135">
        <f>INDEX(Daten!$P$7:$P$429,MATCH('2'!B163,Daten!$A$7:$A$429,0))</f>
        <v>15507012</v>
      </c>
      <c r="I163" s="135">
        <f>INDEX(Daten!$L$7:$L$429,MATCH('2'!B163,Daten!$A$7:$A$429,0))</f>
        <v>4742995</v>
      </c>
      <c r="J163" s="135">
        <f>INDEX(Daten!$K$7:$K$429,MATCH('2'!B163,Daten!$A$7:$A$429,0))</f>
        <v>15853975</v>
      </c>
      <c r="K163" s="135">
        <f>INDEX(Daten!$O$7:$O$429,MATCH('2'!B163,Daten!$A$7:$A$429,0))</f>
        <v>452886</v>
      </c>
      <c r="L163" s="151">
        <f>INDEX(Daten!$Q$7:$Q$429,MATCH('2'!B163,Daten!$A$7:$A$429,0))</f>
        <v>2147847</v>
      </c>
    </row>
    <row r="164" spans="1:12" ht="15" customHeight="1">
      <c r="A164" s="172" t="str">
        <f>Daten!C157</f>
        <v>JC Stade</v>
      </c>
      <c r="B164" s="214" t="str">
        <f>Daten!A157</f>
        <v>26702</v>
      </c>
      <c r="C164" s="172" t="str">
        <f>Daten!F157</f>
        <v>03</v>
      </c>
      <c r="D164" s="145" t="str">
        <f>Daten!E157</f>
        <v>IId</v>
      </c>
      <c r="E164" s="282">
        <f>INDEX(Daten!$R$7:$R$429,MATCH('2'!B164,Daten!$A$7:$A$429,0))</f>
        <v>145417196.84</v>
      </c>
      <c r="F164" s="175">
        <f>INDEX(Daten!$M$7:$M$429,MATCH('2'!B164,Daten!$A$7:$A$429,0))</f>
        <v>55405863.74000001</v>
      </c>
      <c r="G164" s="135">
        <f>INDEX(Daten!$N$7:$N$429,MATCH('2'!B164,Daten!$A$7:$A$429,0))</f>
        <v>46101521.380000003</v>
      </c>
      <c r="H164" s="135">
        <f>INDEX(Daten!$P$7:$P$429,MATCH('2'!B164,Daten!$A$7:$A$429,0))</f>
        <v>18656737.139999993</v>
      </c>
      <c r="I164" s="135">
        <f>INDEX(Daten!$L$7:$L$429,MATCH('2'!B164,Daten!$A$7:$A$429,0))</f>
        <v>9196436.2000000011</v>
      </c>
      <c r="J164" s="135">
        <f>INDEX(Daten!$K$7:$K$429,MATCH('2'!B164,Daten!$A$7:$A$429,0))</f>
        <v>15503474.829999998</v>
      </c>
      <c r="K164" s="135">
        <f>INDEX(Daten!$O$7:$O$429,MATCH('2'!B164,Daten!$A$7:$A$429,0))</f>
        <v>553163.54999999993</v>
      </c>
      <c r="L164" s="151">
        <f>INDEX(Daten!$Q$7:$Q$429,MATCH('2'!B164,Daten!$A$7:$A$429,0))</f>
        <v>2470089.7399999998</v>
      </c>
    </row>
    <row r="165" spans="1:12" ht="15" customHeight="1">
      <c r="A165" s="172" t="str">
        <f>Daten!C158</f>
        <v>JC Cuxhaven</v>
      </c>
      <c r="B165" s="214" t="str">
        <f>Daten!A158</f>
        <v>26704</v>
      </c>
      <c r="C165" s="172" t="str">
        <f>Daten!F158</f>
        <v>03</v>
      </c>
      <c r="D165" s="145" t="str">
        <f>Daten!E158</f>
        <v>IIc</v>
      </c>
      <c r="E165" s="282">
        <f>INDEX(Daten!$R$7:$R$429,MATCH('2'!B165,Daten!$A$7:$A$429,0))</f>
        <v>108942839.94000003</v>
      </c>
      <c r="F165" s="175">
        <f>INDEX(Daten!$M$7:$M$429,MATCH('2'!B165,Daten!$A$7:$A$429,0))</f>
        <v>44332173.410000011</v>
      </c>
      <c r="G165" s="135">
        <f>INDEX(Daten!$N$7:$N$429,MATCH('2'!B165,Daten!$A$7:$A$429,0))</f>
        <v>30299553.480000004</v>
      </c>
      <c r="H165" s="135">
        <f>INDEX(Daten!$P$7:$P$429,MATCH('2'!B165,Daten!$A$7:$A$429,0))</f>
        <v>14382337.449999999</v>
      </c>
      <c r="I165" s="135">
        <f>INDEX(Daten!$L$7:$L$429,MATCH('2'!B165,Daten!$A$7:$A$429,0))</f>
        <v>5486343.9500000002</v>
      </c>
      <c r="J165" s="135">
        <f>INDEX(Daten!$K$7:$K$429,MATCH('2'!B165,Daten!$A$7:$A$429,0))</f>
        <v>14057390.17</v>
      </c>
      <c r="K165" s="135">
        <f>INDEX(Daten!$O$7:$O$429,MATCH('2'!B165,Daten!$A$7:$A$429,0))</f>
        <v>385041.48</v>
      </c>
      <c r="L165" s="151">
        <f>INDEX(Daten!$Q$7:$Q$429,MATCH('2'!B165,Daten!$A$7:$A$429,0))</f>
        <v>1214767.6399999999</v>
      </c>
    </row>
    <row r="166" spans="1:12" ht="15" customHeight="1">
      <c r="A166" s="172" t="str">
        <f>Daten!C159</f>
        <v>JC Rotenburg (Wümme)</v>
      </c>
      <c r="B166" s="214" t="str">
        <f>Daten!A159</f>
        <v>26706</v>
      </c>
      <c r="C166" s="172" t="str">
        <f>Daten!F159</f>
        <v>03</v>
      </c>
      <c r="D166" s="145" t="str">
        <f>Daten!E159</f>
        <v>IIc</v>
      </c>
      <c r="E166" s="282">
        <f>INDEX(Daten!$R$7:$R$429,MATCH('2'!B166,Daten!$A$7:$A$429,0))</f>
        <v>58102394</v>
      </c>
      <c r="F166" s="175">
        <f>INDEX(Daten!$M$7:$M$429,MATCH('2'!B166,Daten!$A$7:$A$429,0))</f>
        <v>22391231</v>
      </c>
      <c r="G166" s="135">
        <f>INDEX(Daten!$N$7:$N$429,MATCH('2'!B166,Daten!$A$7:$A$429,0))</f>
        <v>16977766</v>
      </c>
      <c r="H166" s="135">
        <f>INDEX(Daten!$P$7:$P$429,MATCH('2'!B166,Daten!$A$7:$A$429,0))</f>
        <v>7760767</v>
      </c>
      <c r="I166" s="135">
        <f>INDEX(Daten!$L$7:$L$429,MATCH('2'!B166,Daten!$A$7:$A$429,0))</f>
        <v>2961462</v>
      </c>
      <c r="J166" s="135">
        <f>INDEX(Daten!$K$7:$K$429,MATCH('2'!B166,Daten!$A$7:$A$429,0))</f>
        <v>7907165</v>
      </c>
      <c r="K166" s="135">
        <f>INDEX(Daten!$O$7:$O$429,MATCH('2'!B166,Daten!$A$7:$A$429,0))</f>
        <v>104003</v>
      </c>
      <c r="L166" s="151">
        <f>INDEX(Daten!$Q$7:$Q$429,MATCH('2'!B166,Daten!$A$7:$A$429,0))</f>
        <v>642324</v>
      </c>
    </row>
    <row r="167" spans="1:12" ht="15" customHeight="1">
      <c r="A167" s="172" t="str">
        <f>Daten!C160</f>
        <v>JC Vechta</v>
      </c>
      <c r="B167" s="214" t="str">
        <f>Daten!A160</f>
        <v>27402</v>
      </c>
      <c r="C167" s="172" t="str">
        <f>Daten!F160</f>
        <v>03</v>
      </c>
      <c r="D167" s="145" t="str">
        <f>Daten!E160</f>
        <v>Id</v>
      </c>
      <c r="E167" s="282">
        <f>INDEX(Daten!$R$7:$R$429,MATCH('2'!B167,Daten!$A$7:$A$429,0))</f>
        <v>60430530.200000003</v>
      </c>
      <c r="F167" s="175">
        <f>INDEX(Daten!$M$7:$M$429,MATCH('2'!B167,Daten!$A$7:$A$429,0))</f>
        <v>23490763.890000008</v>
      </c>
      <c r="G167" s="135">
        <f>INDEX(Daten!$N$7:$N$429,MATCH('2'!B167,Daten!$A$7:$A$429,0))</f>
        <v>17393690.599999994</v>
      </c>
      <c r="H167" s="135">
        <f>INDEX(Daten!$P$7:$P$429,MATCH('2'!B167,Daten!$A$7:$A$429,0))</f>
        <v>8056053.8899999997</v>
      </c>
      <c r="I167" s="135">
        <f>INDEX(Daten!$L$7:$L$429,MATCH('2'!B167,Daten!$A$7:$A$429,0))</f>
        <v>4288047.5699999994</v>
      </c>
      <c r="J167" s="135">
        <f>INDEX(Daten!$K$7:$K$429,MATCH('2'!B167,Daten!$A$7:$A$429,0))</f>
        <v>7007130.3200000003</v>
      </c>
      <c r="K167" s="135">
        <f>INDEX(Daten!$O$7:$O$429,MATCH('2'!B167,Daten!$A$7:$A$429,0))</f>
        <v>194843.93</v>
      </c>
      <c r="L167" s="151">
        <f>INDEX(Daten!$Q$7:$Q$429,MATCH('2'!B167,Daten!$A$7:$A$429,0))</f>
        <v>1528600.7100000002</v>
      </c>
    </row>
    <row r="168" spans="1:12" ht="15" customHeight="1">
      <c r="A168" s="172" t="str">
        <f>Daten!C161</f>
        <v>JC Cloppenburg</v>
      </c>
      <c r="B168" s="214" t="str">
        <f>Daten!A161</f>
        <v>27404</v>
      </c>
      <c r="C168" s="172" t="str">
        <f>Daten!F161</f>
        <v>03</v>
      </c>
      <c r="D168" s="145" t="str">
        <f>Daten!E161</f>
        <v>IIa</v>
      </c>
      <c r="E168" s="282">
        <f>INDEX(Daten!$R$7:$R$429,MATCH('2'!B168,Daten!$A$7:$A$429,0))</f>
        <v>80137028.199999973</v>
      </c>
      <c r="F168" s="175">
        <f>INDEX(Daten!$M$7:$M$429,MATCH('2'!B168,Daten!$A$7:$A$429,0))</f>
        <v>31727207.039999995</v>
      </c>
      <c r="G168" s="135">
        <f>INDEX(Daten!$N$7:$N$429,MATCH('2'!B168,Daten!$A$7:$A$429,0))</f>
        <v>23241771.149999995</v>
      </c>
      <c r="H168" s="135">
        <f>INDEX(Daten!$P$7:$P$429,MATCH('2'!B168,Daten!$A$7:$A$429,0))</f>
        <v>10546999.909999998</v>
      </c>
      <c r="I168" s="135">
        <f>INDEX(Daten!$L$7:$L$429,MATCH('2'!B168,Daten!$A$7:$A$429,0))</f>
        <v>5029674.84</v>
      </c>
      <c r="J168" s="135">
        <f>INDEX(Daten!$K$7:$K$429,MATCH('2'!B168,Daten!$A$7:$A$429,0))</f>
        <v>9202052.0199999996</v>
      </c>
      <c r="K168" s="135">
        <f>INDEX(Daten!$O$7:$O$429,MATCH('2'!B168,Daten!$A$7:$A$429,0))</f>
        <v>389323.24000000005</v>
      </c>
      <c r="L168" s="151">
        <f>INDEX(Daten!$Q$7:$Q$429,MATCH('2'!B168,Daten!$A$7:$A$429,0))</f>
        <v>2044964.9500000002</v>
      </c>
    </row>
    <row r="169" spans="1:12" ht="15" customHeight="1">
      <c r="A169" s="172" t="str">
        <f>Daten!C162</f>
        <v>JC Verden</v>
      </c>
      <c r="B169" s="214" t="str">
        <f>Daten!A162</f>
        <v>27706</v>
      </c>
      <c r="C169" s="172" t="str">
        <f>Daten!F162</f>
        <v>03</v>
      </c>
      <c r="D169" s="145" t="str">
        <f>Daten!E162</f>
        <v>IId</v>
      </c>
      <c r="E169" s="282">
        <f>INDEX(Daten!$R$7:$R$429,MATCH('2'!B169,Daten!$A$7:$A$429,0))</f>
        <v>64821976</v>
      </c>
      <c r="F169" s="175">
        <f>INDEX(Daten!$M$7:$M$429,MATCH('2'!B169,Daten!$A$7:$A$429,0))</f>
        <v>25639224</v>
      </c>
      <c r="G169" s="135">
        <f>INDEX(Daten!$N$7:$N$429,MATCH('2'!B169,Daten!$A$7:$A$429,0))</f>
        <v>18441543</v>
      </c>
      <c r="H169" s="135">
        <f>INDEX(Daten!$P$7:$P$429,MATCH('2'!B169,Daten!$A$7:$A$429,0))</f>
        <v>8273587</v>
      </c>
      <c r="I169" s="135">
        <f>INDEX(Daten!$L$7:$L$429,MATCH('2'!B169,Daten!$A$7:$A$429,0))</f>
        <v>3772874</v>
      </c>
      <c r="J169" s="135">
        <f>INDEX(Daten!$K$7:$K$429,MATCH('2'!B169,Daten!$A$7:$A$429,0))</f>
        <v>8513021</v>
      </c>
      <c r="K169" s="135">
        <f>INDEX(Daten!$O$7:$O$429,MATCH('2'!B169,Daten!$A$7:$A$429,0))</f>
        <v>181727</v>
      </c>
      <c r="L169" s="151">
        <f>INDEX(Daten!$Q$7:$Q$429,MATCH('2'!B169,Daten!$A$7:$A$429,0))</f>
        <v>944322</v>
      </c>
    </row>
    <row r="170" spans="1:12" ht="15" customHeight="1">
      <c r="A170" s="172" t="str">
        <f>Daten!C163</f>
        <v>JC Diepholz</v>
      </c>
      <c r="B170" s="214" t="str">
        <f>Daten!A163</f>
        <v>27708</v>
      </c>
      <c r="C170" s="172" t="str">
        <f>Daten!F163</f>
        <v>03</v>
      </c>
      <c r="D170" s="145" t="str">
        <f>Daten!E163</f>
        <v>IIc</v>
      </c>
      <c r="E170" s="282">
        <f>INDEX(Daten!$R$7:$R$429,MATCH('2'!B170,Daten!$A$7:$A$429,0))</f>
        <v>106182860.55</v>
      </c>
      <c r="F170" s="175">
        <f>INDEX(Daten!$M$7:$M$429,MATCH('2'!B170,Daten!$A$7:$A$429,0))</f>
        <v>42533520.600000001</v>
      </c>
      <c r="G170" s="135">
        <f>INDEX(Daten!$N$7:$N$429,MATCH('2'!B170,Daten!$A$7:$A$429,0))</f>
        <v>30081959.650000002</v>
      </c>
      <c r="H170" s="135">
        <f>INDEX(Daten!$P$7:$P$429,MATCH('2'!B170,Daten!$A$7:$A$429,0))</f>
        <v>13875645.779999999</v>
      </c>
      <c r="I170" s="135">
        <f>INDEX(Daten!$L$7:$L$429,MATCH('2'!B170,Daten!$A$7:$A$429,0))</f>
        <v>7493436.5700000012</v>
      </c>
      <c r="J170" s="135">
        <f>INDEX(Daten!$K$7:$K$429,MATCH('2'!B170,Daten!$A$7:$A$429,0))</f>
        <v>11792990.32</v>
      </c>
      <c r="K170" s="135">
        <f>INDEX(Daten!$O$7:$O$429,MATCH('2'!B170,Daten!$A$7:$A$429,0))</f>
        <v>405307.63</v>
      </c>
      <c r="L170" s="151">
        <f>INDEX(Daten!$Q$7:$Q$429,MATCH('2'!B170,Daten!$A$7:$A$429,0))</f>
        <v>508972.34</v>
      </c>
    </row>
    <row r="171" spans="1:12" ht="15" customHeight="1">
      <c r="A171" s="172" t="str">
        <f>Daten!C164</f>
        <v>JC Nienburg (Weser)</v>
      </c>
      <c r="B171" s="214" t="str">
        <f>Daten!A164</f>
        <v>27718</v>
      </c>
      <c r="C171" s="172" t="str">
        <f>Daten!F164</f>
        <v>03</v>
      </c>
      <c r="D171" s="145" t="str">
        <f>Daten!E164</f>
        <v>IIc</v>
      </c>
      <c r="E171" s="282">
        <f>INDEX(Daten!$R$7:$R$429,MATCH('2'!B171,Daten!$A$7:$A$429,0))</f>
        <v>87759299.109999999</v>
      </c>
      <c r="F171" s="175">
        <f>INDEX(Daten!$M$7:$M$429,MATCH('2'!B171,Daten!$A$7:$A$429,0))</f>
        <v>35582983.079999991</v>
      </c>
      <c r="G171" s="135">
        <f>INDEX(Daten!$N$7:$N$429,MATCH('2'!B171,Daten!$A$7:$A$429,0))</f>
        <v>25090476.869999994</v>
      </c>
      <c r="H171" s="135">
        <f>INDEX(Daten!$P$7:$P$429,MATCH('2'!B171,Daten!$A$7:$A$429,0))</f>
        <v>11673439.449999999</v>
      </c>
      <c r="I171" s="135">
        <f>INDEX(Daten!$L$7:$L$429,MATCH('2'!B171,Daten!$A$7:$A$429,0))</f>
        <v>4817152.17</v>
      </c>
      <c r="J171" s="135">
        <f>INDEX(Daten!$K$7:$K$429,MATCH('2'!B171,Daten!$A$7:$A$429,0))</f>
        <v>10123676.640000001</v>
      </c>
      <c r="K171" s="135">
        <f>INDEX(Daten!$O$7:$O$429,MATCH('2'!B171,Daten!$A$7:$A$429,0))</f>
        <v>471570.9</v>
      </c>
      <c r="L171" s="151">
        <f>INDEX(Daten!$Q$7:$Q$429,MATCH('2'!B171,Daten!$A$7:$A$429,0))</f>
        <v>1357018.84</v>
      </c>
    </row>
    <row r="172" spans="1:12" ht="15" customHeight="1">
      <c r="A172" s="172" t="str">
        <f>Daten!C165</f>
        <v>JC Heinsberg</v>
      </c>
      <c r="B172" s="214" t="str">
        <f>Daten!A165</f>
        <v>31106</v>
      </c>
      <c r="C172" s="172" t="str">
        <f>Daten!F165</f>
        <v>05</v>
      </c>
      <c r="D172" s="145" t="str">
        <f>Daten!E165</f>
        <v>IId</v>
      </c>
      <c r="E172" s="282">
        <f>INDEX(Daten!$R$7:$R$429,MATCH('2'!B172,Daten!$A$7:$A$429,0))</f>
        <v>151061310.64999998</v>
      </c>
      <c r="F172" s="175">
        <f>INDEX(Daten!$M$7:$M$429,MATCH('2'!B172,Daten!$A$7:$A$429,0))</f>
        <v>61764188.25999999</v>
      </c>
      <c r="G172" s="135">
        <f>INDEX(Daten!$N$7:$N$429,MATCH('2'!B172,Daten!$A$7:$A$429,0))</f>
        <v>41082120.460000001</v>
      </c>
      <c r="H172" s="135">
        <f>INDEX(Daten!$P$7:$P$429,MATCH('2'!B172,Daten!$A$7:$A$429,0))</f>
        <v>20217260.190000009</v>
      </c>
      <c r="I172" s="135">
        <f>INDEX(Daten!$L$7:$L$429,MATCH('2'!B172,Daten!$A$7:$A$429,0))</f>
        <v>8645537.7299999986</v>
      </c>
      <c r="J172" s="135">
        <f>INDEX(Daten!$K$7:$K$429,MATCH('2'!B172,Daten!$A$7:$A$429,0))</f>
        <v>18840537.690000001</v>
      </c>
      <c r="K172" s="135">
        <f>INDEX(Daten!$O$7:$O$429,MATCH('2'!B172,Daten!$A$7:$A$429,0))</f>
        <v>511666.32</v>
      </c>
      <c r="L172" s="151">
        <f>INDEX(Daten!$Q$7:$Q$429,MATCH('2'!B172,Daten!$A$7:$A$429,0))</f>
        <v>1904239.3800000001</v>
      </c>
    </row>
    <row r="173" spans="1:12" ht="15" customHeight="1">
      <c r="A173" s="172" t="str">
        <f>Daten!C166</f>
        <v>JC Städteregion Aachen</v>
      </c>
      <c r="B173" s="214" t="str">
        <f>Daten!A166</f>
        <v>31108</v>
      </c>
      <c r="C173" s="172" t="str">
        <f>Daten!F166</f>
        <v>05</v>
      </c>
      <c r="D173" s="145" t="str">
        <f>Daten!E166</f>
        <v>IIIb</v>
      </c>
      <c r="E173" s="282">
        <f>INDEX(Daten!$R$7:$R$429,MATCH('2'!B173,Daten!$A$7:$A$429,0))</f>
        <v>490830413.20000011</v>
      </c>
      <c r="F173" s="175">
        <f>INDEX(Daten!$M$7:$M$429,MATCH('2'!B173,Daten!$A$7:$A$429,0))</f>
        <v>192003111.98000002</v>
      </c>
      <c r="G173" s="135">
        <f>INDEX(Daten!$N$7:$N$429,MATCH('2'!B173,Daten!$A$7:$A$429,0))</f>
        <v>143947247.31000003</v>
      </c>
      <c r="H173" s="135">
        <f>INDEX(Daten!$P$7:$P$429,MATCH('2'!B173,Daten!$A$7:$A$429,0))</f>
        <v>62187700.140000008</v>
      </c>
      <c r="I173" s="135">
        <f>INDEX(Daten!$L$7:$L$429,MATCH('2'!B173,Daten!$A$7:$A$429,0))</f>
        <v>34008681.039999999</v>
      </c>
      <c r="J173" s="135">
        <f>INDEX(Daten!$K$7:$K$429,MATCH('2'!B173,Daten!$A$7:$A$429,0))</f>
        <v>57482573.82</v>
      </c>
      <c r="K173" s="135">
        <f>INDEX(Daten!$O$7:$O$429,MATCH('2'!B173,Daten!$A$7:$A$429,0))</f>
        <v>1201098.9100000001</v>
      </c>
      <c r="L173" s="151">
        <f>INDEX(Daten!$Q$7:$Q$429,MATCH('2'!B173,Daten!$A$7:$A$429,0))</f>
        <v>5788397.4500000011</v>
      </c>
    </row>
    <row r="174" spans="1:12" ht="15" customHeight="1">
      <c r="A174" s="172" t="str">
        <f>Daten!C167</f>
        <v>JC Düren</v>
      </c>
      <c r="B174" s="214" t="str">
        <f>Daten!A167</f>
        <v>31118</v>
      </c>
      <c r="C174" s="172" t="str">
        <f>Daten!F167</f>
        <v>05</v>
      </c>
      <c r="D174" s="145" t="str">
        <f>Daten!E167</f>
        <v>IId</v>
      </c>
      <c r="E174" s="282">
        <f>INDEX(Daten!$R$7:$R$429,MATCH('2'!B174,Daten!$A$7:$A$429,0))</f>
        <v>218457426</v>
      </c>
      <c r="F174" s="175">
        <f>INDEX(Daten!$M$7:$M$429,MATCH('2'!B174,Daten!$A$7:$A$429,0))</f>
        <v>90908687</v>
      </c>
      <c r="G174" s="135">
        <f>INDEX(Daten!$N$7:$N$429,MATCH('2'!B174,Daten!$A$7:$A$429,0))</f>
        <v>59178857</v>
      </c>
      <c r="H174" s="135">
        <f>INDEX(Daten!$P$7:$P$429,MATCH('2'!B174,Daten!$A$7:$A$429,0))</f>
        <v>27745720</v>
      </c>
      <c r="I174" s="135">
        <f>INDEX(Daten!$L$7:$L$429,MATCH('2'!B174,Daten!$A$7:$A$429,0))</f>
        <v>16778159</v>
      </c>
      <c r="J174" s="135">
        <f>INDEX(Daten!$K$7:$K$429,MATCH('2'!B174,Daten!$A$7:$A$429,0))</f>
        <v>22861815</v>
      </c>
      <c r="K174" s="135">
        <f>INDEX(Daten!$O$7:$O$429,MATCH('2'!B174,Daten!$A$7:$A$429,0))</f>
        <v>984188</v>
      </c>
      <c r="L174" s="151">
        <f>INDEX(Daten!$Q$7:$Q$429,MATCH('2'!B174,Daten!$A$7:$A$429,0))</f>
        <v>4850828</v>
      </c>
    </row>
    <row r="175" spans="1:12" ht="15" customHeight="1">
      <c r="A175" s="172" t="str">
        <f>Daten!C168</f>
        <v>JC Leverkusen, Stadt</v>
      </c>
      <c r="B175" s="214" t="str">
        <f>Daten!A168</f>
        <v>31502</v>
      </c>
      <c r="C175" s="172" t="str">
        <f>Daten!F168</f>
        <v>05</v>
      </c>
      <c r="D175" s="145" t="str">
        <f>Daten!E168</f>
        <v>IIe</v>
      </c>
      <c r="E175" s="282">
        <f>INDEX(Daten!$R$7:$R$429,MATCH('2'!B175,Daten!$A$7:$A$429,0))</f>
        <v>164476718</v>
      </c>
      <c r="F175" s="175">
        <f>INDEX(Daten!$M$7:$M$429,MATCH('2'!B175,Daten!$A$7:$A$429,0))</f>
        <v>61755034.979999997</v>
      </c>
      <c r="G175" s="135">
        <f>INDEX(Daten!$N$7:$N$429,MATCH('2'!B175,Daten!$A$7:$A$429,0))</f>
        <v>51683796.499999993</v>
      </c>
      <c r="H175" s="135">
        <f>INDEX(Daten!$P$7:$P$429,MATCH('2'!B175,Daten!$A$7:$A$429,0))</f>
        <v>20786893.210000001</v>
      </c>
      <c r="I175" s="135">
        <f>INDEX(Daten!$L$7:$L$429,MATCH('2'!B175,Daten!$A$7:$A$429,0))</f>
        <v>11768087.460000001</v>
      </c>
      <c r="J175" s="135">
        <f>INDEX(Daten!$K$7:$K$429,MATCH('2'!B175,Daten!$A$7:$A$429,0))</f>
        <v>17849220.530000001</v>
      </c>
      <c r="K175" s="135">
        <f>INDEX(Daten!$O$7:$O$429,MATCH('2'!B175,Daten!$A$7:$A$429,0))</f>
        <v>633685.31999999995</v>
      </c>
      <c r="L175" s="151">
        <f>INDEX(Daten!$Q$7:$Q$429,MATCH('2'!B175,Daten!$A$7:$A$429,0))</f>
        <v>2148726.35</v>
      </c>
    </row>
    <row r="176" spans="1:12" ht="15" customHeight="1">
      <c r="A176" s="172" t="str">
        <f>Daten!C169</f>
        <v>JC Oberbergischer Kreis</v>
      </c>
      <c r="B176" s="214" t="str">
        <f>Daten!A169</f>
        <v>31504</v>
      </c>
      <c r="C176" s="172" t="str">
        <f>Daten!F169</f>
        <v>05</v>
      </c>
      <c r="D176" s="145" t="str">
        <f>Daten!E169</f>
        <v>IId</v>
      </c>
      <c r="E176" s="282">
        <f>INDEX(Daten!$R$7:$R$429,MATCH('2'!B176,Daten!$A$7:$A$429,0))</f>
        <v>149449277.17000002</v>
      </c>
      <c r="F176" s="175">
        <f>INDEX(Daten!$M$7:$M$429,MATCH('2'!B176,Daten!$A$7:$A$429,0))</f>
        <v>61875492.789999992</v>
      </c>
      <c r="G176" s="135">
        <f>INDEX(Daten!$N$7:$N$429,MATCH('2'!B176,Daten!$A$7:$A$429,0))</f>
        <v>40429088.230000004</v>
      </c>
      <c r="H176" s="135">
        <f>INDEX(Daten!$P$7:$P$429,MATCH('2'!B176,Daten!$A$7:$A$429,0))</f>
        <v>19594526.110000003</v>
      </c>
      <c r="I176" s="135">
        <f>INDEX(Daten!$L$7:$L$429,MATCH('2'!B176,Daten!$A$7:$A$429,0))</f>
        <v>8338065.4699999997</v>
      </c>
      <c r="J176" s="135">
        <f>INDEX(Daten!$K$7:$K$429,MATCH('2'!B176,Daten!$A$7:$A$429,0))</f>
        <v>18596639.779999997</v>
      </c>
      <c r="K176" s="135">
        <f>INDEX(Daten!$O$7:$O$429,MATCH('2'!B176,Daten!$A$7:$A$429,0))</f>
        <v>615464.78999999992</v>
      </c>
      <c r="L176" s="151">
        <f>INDEX(Daten!$Q$7:$Q$429,MATCH('2'!B176,Daten!$A$7:$A$429,0))</f>
        <v>2048662.22</v>
      </c>
    </row>
    <row r="177" spans="1:12" ht="15" customHeight="1">
      <c r="A177" s="172" t="str">
        <f>Daten!C170</f>
        <v>JC Rheinisch-Bergischer Kreis</v>
      </c>
      <c r="B177" s="214" t="str">
        <f>Daten!A170</f>
        <v>31506</v>
      </c>
      <c r="C177" s="172" t="str">
        <f>Daten!F170</f>
        <v>05</v>
      </c>
      <c r="D177" s="145" t="str">
        <f>Daten!E170</f>
        <v>IId</v>
      </c>
      <c r="E177" s="282">
        <f>INDEX(Daten!$R$7:$R$429,MATCH('2'!B177,Daten!$A$7:$A$429,0))</f>
        <v>187809420.51000002</v>
      </c>
      <c r="F177" s="175">
        <f>INDEX(Daten!$M$7:$M$429,MATCH('2'!B177,Daten!$A$7:$A$429,0))</f>
        <v>70636717.88000001</v>
      </c>
      <c r="G177" s="135">
        <f>INDEX(Daten!$N$7:$N$429,MATCH('2'!B177,Daten!$A$7:$A$429,0))</f>
        <v>60290632.629999995</v>
      </c>
      <c r="H177" s="135">
        <f>INDEX(Daten!$P$7:$P$429,MATCH('2'!B177,Daten!$A$7:$A$429,0))</f>
        <v>23567218.960000001</v>
      </c>
      <c r="I177" s="135">
        <f>INDEX(Daten!$L$7:$L$429,MATCH('2'!B177,Daten!$A$7:$A$429,0))</f>
        <v>11164002.800000001</v>
      </c>
      <c r="J177" s="135">
        <f>INDEX(Daten!$K$7:$K$429,MATCH('2'!B177,Daten!$A$7:$A$429,0))</f>
        <v>21618436.240000002</v>
      </c>
      <c r="K177" s="135">
        <f>INDEX(Daten!$O$7:$O$429,MATCH('2'!B177,Daten!$A$7:$A$429,0))</f>
        <v>532412</v>
      </c>
      <c r="L177" s="151">
        <f>INDEX(Daten!$Q$7:$Q$429,MATCH('2'!B177,Daten!$A$7:$A$429,0))</f>
        <v>2700266.5700000003</v>
      </c>
    </row>
    <row r="178" spans="1:12" ht="15" customHeight="1">
      <c r="A178" s="172" t="str">
        <f>Daten!C171</f>
        <v>JC Bielefeld, Stadt</v>
      </c>
      <c r="B178" s="214" t="str">
        <f>Daten!A171</f>
        <v>31704</v>
      </c>
      <c r="C178" s="172" t="str">
        <f>Daten!F171</f>
        <v>05</v>
      </c>
      <c r="D178" s="145" t="str">
        <f>Daten!E171</f>
        <v>IIIb</v>
      </c>
      <c r="E178" s="282">
        <f>INDEX(Daten!$R$7:$R$429,MATCH('2'!B178,Daten!$A$7:$A$429,0))</f>
        <v>352815235.17000002</v>
      </c>
      <c r="F178" s="175">
        <f>INDEX(Daten!$M$7:$M$429,MATCH('2'!B178,Daten!$A$7:$A$429,0))</f>
        <v>134420300.43000001</v>
      </c>
      <c r="G178" s="135">
        <f>INDEX(Daten!$N$7:$N$429,MATCH('2'!B178,Daten!$A$7:$A$429,0))</f>
        <v>107439181.63</v>
      </c>
      <c r="H178" s="135">
        <f>INDEX(Daten!$P$7:$P$429,MATCH('2'!B178,Daten!$A$7:$A$429,0))</f>
        <v>44218536.559999987</v>
      </c>
      <c r="I178" s="135">
        <f>INDEX(Daten!$L$7:$L$429,MATCH('2'!B178,Daten!$A$7:$A$429,0))</f>
        <v>25648536.220000003</v>
      </c>
      <c r="J178" s="135">
        <f>INDEX(Daten!$K$7:$K$429,MATCH('2'!B178,Daten!$A$7:$A$429,0))</f>
        <v>38888327.349999994</v>
      </c>
      <c r="K178" s="135">
        <f>INDEX(Daten!$O$7:$O$429,MATCH('2'!B178,Daten!$A$7:$A$429,0))</f>
        <v>2200352.98</v>
      </c>
      <c r="L178" s="151">
        <f>INDEX(Daten!$Q$7:$Q$429,MATCH('2'!B178,Daten!$A$7:$A$429,0))</f>
        <v>9244211.6699999999</v>
      </c>
    </row>
    <row r="179" spans="1:12" ht="15" customHeight="1">
      <c r="A179" s="172" t="str">
        <f>Daten!C172</f>
        <v>JC Gütersloh</v>
      </c>
      <c r="B179" s="214" t="str">
        <f>Daten!A172</f>
        <v>31778</v>
      </c>
      <c r="C179" s="172" t="str">
        <f>Daten!F172</f>
        <v>05</v>
      </c>
      <c r="D179" s="145" t="str">
        <f>Daten!E172</f>
        <v>IId</v>
      </c>
      <c r="E179" s="282">
        <f>INDEX(Daten!$R$7:$R$429,MATCH('2'!B179,Daten!$A$7:$A$429,0))</f>
        <v>188428447</v>
      </c>
      <c r="F179" s="175">
        <f>INDEX(Daten!$M$7:$M$429,MATCH('2'!B179,Daten!$A$7:$A$429,0))</f>
        <v>76930909</v>
      </c>
      <c r="G179" s="135">
        <f>INDEX(Daten!$N$7:$N$429,MATCH('2'!B179,Daten!$A$7:$A$429,0))</f>
        <v>55760035</v>
      </c>
      <c r="H179" s="135">
        <f>INDEX(Daten!$P$7:$P$429,MATCH('2'!B179,Daten!$A$7:$A$429,0))</f>
        <v>24864479</v>
      </c>
      <c r="I179" s="135">
        <f>INDEX(Daten!$L$7:$L$429,MATCH('2'!B179,Daten!$A$7:$A$429,0))</f>
        <v>10898525</v>
      </c>
      <c r="J179" s="135">
        <f>INDEX(Daten!$K$7:$K$429,MATCH('2'!B179,Daten!$A$7:$A$429,0))</f>
        <v>19302919</v>
      </c>
      <c r="K179" s="135">
        <f>INDEX(Daten!$O$7:$O$429,MATCH('2'!B179,Daten!$A$7:$A$429,0))</f>
        <v>671580</v>
      </c>
      <c r="L179" s="151">
        <f>INDEX(Daten!$Q$7:$Q$429,MATCH('2'!B179,Daten!$A$7:$A$429,0))</f>
        <v>4289369</v>
      </c>
    </row>
    <row r="180" spans="1:12" ht="15" customHeight="1">
      <c r="A180" s="172" t="str">
        <f>Daten!C173</f>
        <v>JC Bochum, Stadt</v>
      </c>
      <c r="B180" s="214" t="str">
        <f>Daten!A173</f>
        <v>32102</v>
      </c>
      <c r="C180" s="172" t="str">
        <f>Daten!F173</f>
        <v>05</v>
      </c>
      <c r="D180" s="145" t="str">
        <f>Daten!E173</f>
        <v>IIIc</v>
      </c>
      <c r="E180" s="282">
        <f>INDEX(Daten!$R$7:$R$429,MATCH('2'!B180,Daten!$A$7:$A$429,0))</f>
        <v>421463511.67999995</v>
      </c>
      <c r="F180" s="175">
        <f>INDEX(Daten!$M$7:$M$429,MATCH('2'!B180,Daten!$A$7:$A$429,0))</f>
        <v>163713450.22999999</v>
      </c>
      <c r="G180" s="135">
        <f>INDEX(Daten!$N$7:$N$429,MATCH('2'!B180,Daten!$A$7:$A$429,0))</f>
        <v>125121189.42999998</v>
      </c>
      <c r="H180" s="135">
        <f>INDEX(Daten!$P$7:$P$429,MATCH('2'!B180,Daten!$A$7:$A$429,0))</f>
        <v>52823501.420000002</v>
      </c>
      <c r="I180" s="135">
        <f>INDEX(Daten!$L$7:$L$429,MATCH('2'!B180,Daten!$A$7:$A$429,0))</f>
        <v>33193155.870000001</v>
      </c>
      <c r="J180" s="135">
        <f>INDEX(Daten!$K$7:$K$429,MATCH('2'!B180,Daten!$A$7:$A$429,0))</f>
        <v>44889084.18</v>
      </c>
      <c r="K180" s="135">
        <f>INDEX(Daten!$O$7:$O$429,MATCH('2'!B180,Daten!$A$7:$A$429,0))</f>
        <v>1723130.55</v>
      </c>
      <c r="L180" s="151">
        <f>INDEX(Daten!$Q$7:$Q$429,MATCH('2'!B180,Daten!$A$7:$A$429,0))</f>
        <v>9290040.8399999999</v>
      </c>
    </row>
    <row r="181" spans="1:12" ht="15" customHeight="1">
      <c r="A181" s="172" t="str">
        <f>Daten!C174</f>
        <v>JC Herne, Stadt</v>
      </c>
      <c r="B181" s="214" t="str">
        <f>Daten!A174</f>
        <v>32112</v>
      </c>
      <c r="C181" s="172" t="str">
        <f>Daten!F174</f>
        <v>05</v>
      </c>
      <c r="D181" s="145" t="str">
        <f>Daten!E174</f>
        <v>IIIc</v>
      </c>
      <c r="E181" s="282">
        <f>INDEX(Daten!$R$7:$R$429,MATCH('2'!B181,Daten!$A$7:$A$429,0))</f>
        <v>231945989.50999993</v>
      </c>
      <c r="F181" s="175">
        <f>INDEX(Daten!$M$7:$M$429,MATCH('2'!B181,Daten!$A$7:$A$429,0))</f>
        <v>90966487.659999967</v>
      </c>
      <c r="G181" s="135">
        <f>INDEX(Daten!$N$7:$N$429,MATCH('2'!B181,Daten!$A$7:$A$429,0))</f>
        <v>67558141.139999986</v>
      </c>
      <c r="H181" s="135">
        <f>INDEX(Daten!$P$7:$P$429,MATCH('2'!B181,Daten!$A$7:$A$429,0))</f>
        <v>29367326.030000001</v>
      </c>
      <c r="I181" s="135">
        <f>INDEX(Daten!$L$7:$L$429,MATCH('2'!B181,Daten!$A$7:$A$429,0))</f>
        <v>17697313.709999997</v>
      </c>
      <c r="J181" s="135">
        <f>INDEX(Daten!$K$7:$K$429,MATCH('2'!B181,Daten!$A$7:$A$429,0))</f>
        <v>25454833.930000003</v>
      </c>
      <c r="K181" s="135">
        <f>INDEX(Daten!$O$7:$O$429,MATCH('2'!B181,Daten!$A$7:$A$429,0))</f>
        <v>901887.04</v>
      </c>
      <c r="L181" s="151">
        <f>INDEX(Daten!$Q$7:$Q$429,MATCH('2'!B181,Daten!$A$7:$A$429,0))</f>
        <v>3518527.4700000007</v>
      </c>
    </row>
    <row r="182" spans="1:12" ht="15" customHeight="1">
      <c r="A182" s="172" t="str">
        <f>Daten!C175</f>
        <v>JC Bonn, Stadt</v>
      </c>
      <c r="B182" s="214" t="str">
        <f>Daten!A175</f>
        <v>32302</v>
      </c>
      <c r="C182" s="172" t="str">
        <f>Daten!F175</f>
        <v>05</v>
      </c>
      <c r="D182" s="145" t="str">
        <f>Daten!E175</f>
        <v>IIe</v>
      </c>
      <c r="E182" s="282">
        <f>INDEX(Daten!$R$7:$R$429,MATCH('2'!B182,Daten!$A$7:$A$429,0))</f>
        <v>288000207.32999992</v>
      </c>
      <c r="F182" s="175">
        <f>INDEX(Daten!$M$7:$M$429,MATCH('2'!B182,Daten!$A$7:$A$429,0))</f>
        <v>108170236.13</v>
      </c>
      <c r="G182" s="135">
        <f>INDEX(Daten!$N$7:$N$429,MATCH('2'!B182,Daten!$A$7:$A$429,0))</f>
        <v>90122917.169999972</v>
      </c>
      <c r="H182" s="135">
        <f>INDEX(Daten!$P$7:$P$429,MATCH('2'!B182,Daten!$A$7:$A$429,0))</f>
        <v>36436542.219999999</v>
      </c>
      <c r="I182" s="135">
        <f>INDEX(Daten!$L$7:$L$429,MATCH('2'!B182,Daten!$A$7:$A$429,0))</f>
        <v>20447312.32</v>
      </c>
      <c r="J182" s="135">
        <f>INDEX(Daten!$K$7:$K$429,MATCH('2'!B182,Daten!$A$7:$A$429,0))</f>
        <v>32087900.98</v>
      </c>
      <c r="K182" s="135">
        <f>INDEX(Daten!$O$7:$O$429,MATCH('2'!B182,Daten!$A$7:$A$429,0))</f>
        <v>735298.51</v>
      </c>
      <c r="L182" s="151">
        <f>INDEX(Daten!$Q$7:$Q$429,MATCH('2'!B182,Daten!$A$7:$A$429,0))</f>
        <v>1257426.02</v>
      </c>
    </row>
    <row r="183" spans="1:12" ht="15" customHeight="1">
      <c r="A183" s="172" t="str">
        <f>Daten!C176</f>
        <v>JC Rhein-Sieg-Kreis</v>
      </c>
      <c r="B183" s="214" t="str">
        <f>Daten!A176</f>
        <v>32304</v>
      </c>
      <c r="C183" s="172" t="str">
        <f>Daten!F176</f>
        <v>05</v>
      </c>
      <c r="D183" s="145" t="str">
        <f>Daten!E176</f>
        <v>IId</v>
      </c>
      <c r="E183" s="282">
        <f>INDEX(Daten!$R$7:$R$429,MATCH('2'!B183,Daten!$A$7:$A$429,0))</f>
        <v>359466631.35999995</v>
      </c>
      <c r="F183" s="175">
        <f>INDEX(Daten!$M$7:$M$429,MATCH('2'!B183,Daten!$A$7:$A$429,0))</f>
        <v>137939301.16000003</v>
      </c>
      <c r="G183" s="135">
        <f>INDEX(Daten!$N$7:$N$429,MATCH('2'!B183,Daten!$A$7:$A$429,0))</f>
        <v>111720618.57999998</v>
      </c>
      <c r="H183" s="135">
        <f>INDEX(Daten!$P$7:$P$429,MATCH('2'!B183,Daten!$A$7:$A$429,0))</f>
        <v>45652675.789999984</v>
      </c>
      <c r="I183" s="135">
        <f>INDEX(Daten!$L$7:$L$429,MATCH('2'!B183,Daten!$A$7:$A$429,0))</f>
        <v>21145902.780000001</v>
      </c>
      <c r="J183" s="135">
        <f>INDEX(Daten!$K$7:$K$429,MATCH('2'!B183,Daten!$A$7:$A$429,0))</f>
        <v>41496049.839999996</v>
      </c>
      <c r="K183" s="135">
        <f>INDEX(Daten!$O$7:$O$429,MATCH('2'!B183,Daten!$A$7:$A$429,0))</f>
        <v>1512083.21</v>
      </c>
      <c r="L183" s="151">
        <f>INDEX(Daten!$Q$7:$Q$429,MATCH('2'!B183,Daten!$A$7:$A$429,0))</f>
        <v>5597439.6499999994</v>
      </c>
    </row>
    <row r="184" spans="1:12" ht="15" customHeight="1">
      <c r="A184" s="172" t="str">
        <f>Daten!C177</f>
        <v>JC Rhein-Erft-Kreis</v>
      </c>
      <c r="B184" s="214" t="str">
        <f>Daten!A177</f>
        <v>32502</v>
      </c>
      <c r="C184" s="172" t="str">
        <f>Daten!F177</f>
        <v>05</v>
      </c>
      <c r="D184" s="145" t="str">
        <f>Daten!E177</f>
        <v>IId</v>
      </c>
      <c r="E184" s="282">
        <f>INDEX(Daten!$R$7:$R$429,MATCH('2'!B184,Daten!$A$7:$A$429,0))</f>
        <v>327676111.88</v>
      </c>
      <c r="F184" s="175">
        <f>INDEX(Daten!$M$7:$M$429,MATCH('2'!B184,Daten!$A$7:$A$429,0))</f>
        <v>127400319.61999997</v>
      </c>
      <c r="G184" s="135">
        <f>INDEX(Daten!$N$7:$N$429,MATCH('2'!B184,Daten!$A$7:$A$429,0))</f>
        <v>100205695.90000002</v>
      </c>
      <c r="H184" s="135">
        <f>INDEX(Daten!$P$7:$P$429,MATCH('2'!B184,Daten!$A$7:$A$429,0))</f>
        <v>41672300.340000004</v>
      </c>
      <c r="I184" s="135">
        <f>INDEX(Daten!$L$7:$L$429,MATCH('2'!B184,Daten!$A$7:$A$429,0))</f>
        <v>20622545.449999999</v>
      </c>
      <c r="J184" s="135">
        <f>INDEX(Daten!$K$7:$K$429,MATCH('2'!B184,Daten!$A$7:$A$429,0))</f>
        <v>36905909.560000002</v>
      </c>
      <c r="K184" s="135">
        <f>INDEX(Daten!$O$7:$O$429,MATCH('2'!B184,Daten!$A$7:$A$429,0))</f>
        <v>869341.01</v>
      </c>
      <c r="L184" s="151">
        <f>INDEX(Daten!$Q$7:$Q$429,MATCH('2'!B184,Daten!$A$7:$A$429,0))</f>
        <v>4795440.1499999994</v>
      </c>
    </row>
    <row r="185" spans="1:12" ht="15" customHeight="1">
      <c r="A185" s="172" t="str">
        <f>Daten!C178</f>
        <v>JC Euskirchen</v>
      </c>
      <c r="B185" s="214" t="str">
        <f>Daten!A178</f>
        <v>32504</v>
      </c>
      <c r="C185" s="172" t="str">
        <f>Daten!F178</f>
        <v>05</v>
      </c>
      <c r="D185" s="145" t="str">
        <f>Daten!E178</f>
        <v>IId</v>
      </c>
      <c r="E185" s="282">
        <f>INDEX(Daten!$R$7:$R$429,MATCH('2'!B185,Daten!$A$7:$A$429,0))</f>
        <v>105268510.99000001</v>
      </c>
      <c r="F185" s="175">
        <f>INDEX(Daten!$M$7:$M$429,MATCH('2'!B185,Daten!$A$7:$A$429,0))</f>
        <v>42904515.230000012</v>
      </c>
      <c r="G185" s="135">
        <f>INDEX(Daten!$N$7:$N$429,MATCH('2'!B185,Daten!$A$7:$A$429,0))</f>
        <v>29636284.27</v>
      </c>
      <c r="H185" s="135">
        <f>INDEX(Daten!$P$7:$P$429,MATCH('2'!B185,Daten!$A$7:$A$429,0))</f>
        <v>13830509.829999998</v>
      </c>
      <c r="I185" s="135">
        <f>INDEX(Daten!$L$7:$L$429,MATCH('2'!B185,Daten!$A$7:$A$429,0))</f>
        <v>4976852.4400000004</v>
      </c>
      <c r="J185" s="135">
        <f>INDEX(Daten!$K$7:$K$429,MATCH('2'!B185,Daten!$A$7:$A$429,0))</f>
        <v>13395411.270000001</v>
      </c>
      <c r="K185" s="135">
        <f>INDEX(Daten!$O$7:$O$429,MATCH('2'!B185,Daten!$A$7:$A$429,0))</f>
        <v>524937.95000000007</v>
      </c>
      <c r="L185" s="151">
        <f>INDEX(Daten!$Q$7:$Q$429,MATCH('2'!B185,Daten!$A$7:$A$429,0))</f>
        <v>1264791.4200000002</v>
      </c>
    </row>
    <row r="186" spans="1:12" ht="15" customHeight="1">
      <c r="A186" s="172" t="str">
        <f>Daten!C179</f>
        <v>JC Borken</v>
      </c>
      <c r="B186" s="214" t="str">
        <f>Daten!A179</f>
        <v>32702</v>
      </c>
      <c r="C186" s="172" t="str">
        <f>Daten!F179</f>
        <v>05</v>
      </c>
      <c r="D186" s="145" t="str">
        <f>Daten!E179</f>
        <v>IId</v>
      </c>
      <c r="E186" s="282">
        <f>INDEX(Daten!$R$7:$R$429,MATCH('2'!B186,Daten!$A$7:$A$429,0))</f>
        <v>159400293</v>
      </c>
      <c r="F186" s="175">
        <f>INDEX(Daten!$M$7:$M$429,MATCH('2'!B186,Daten!$A$7:$A$429,0))</f>
        <v>66330598</v>
      </c>
      <c r="G186" s="135">
        <f>INDEX(Daten!$N$7:$N$429,MATCH('2'!B186,Daten!$A$7:$A$429,0))</f>
        <v>45100327</v>
      </c>
      <c r="H186" s="135">
        <f>INDEX(Daten!$P$7:$P$429,MATCH('2'!B186,Daten!$A$7:$A$429,0))</f>
        <v>21991094</v>
      </c>
      <c r="I186" s="135">
        <f>INDEX(Daten!$L$7:$L$429,MATCH('2'!B186,Daten!$A$7:$A$429,0))</f>
        <v>7694133</v>
      </c>
      <c r="J186" s="135">
        <f>INDEX(Daten!$K$7:$K$429,MATCH('2'!B186,Daten!$A$7:$A$429,0))</f>
        <v>17378465</v>
      </c>
      <c r="K186" s="135">
        <f>INDEX(Daten!$O$7:$O$429,MATCH('2'!B186,Daten!$A$7:$A$429,0))</f>
        <v>905676</v>
      </c>
      <c r="L186" s="151">
        <f>INDEX(Daten!$Q$7:$Q$429,MATCH('2'!B186,Daten!$A$7:$A$429,0))</f>
        <v>2654588</v>
      </c>
    </row>
    <row r="187" spans="1:12" ht="15" customHeight="1">
      <c r="A187" s="172" t="str">
        <f>Daten!C180</f>
        <v>JC Coesfeld</v>
      </c>
      <c r="B187" s="214" t="str">
        <f>Daten!A180</f>
        <v>32704</v>
      </c>
      <c r="C187" s="172" t="str">
        <f>Daten!F180</f>
        <v>05</v>
      </c>
      <c r="D187" s="145" t="str">
        <f>Daten!E180</f>
        <v>IIc</v>
      </c>
      <c r="E187" s="282">
        <f>INDEX(Daten!$R$7:$R$429,MATCH('2'!B187,Daten!$A$7:$A$429,0))</f>
        <v>96917249</v>
      </c>
      <c r="F187" s="175">
        <f>INDEX(Daten!$M$7:$M$429,MATCH('2'!B187,Daten!$A$7:$A$429,0))</f>
        <v>40596340</v>
      </c>
      <c r="G187" s="135">
        <f>INDEX(Daten!$N$7:$N$429,MATCH('2'!B187,Daten!$A$7:$A$429,0))</f>
        <v>27330434</v>
      </c>
      <c r="H187" s="135">
        <f>INDEX(Daten!$P$7:$P$429,MATCH('2'!B187,Daten!$A$7:$A$429,0))</f>
        <v>13443127</v>
      </c>
      <c r="I187" s="135">
        <f>INDEX(Daten!$L$7:$L$429,MATCH('2'!B187,Daten!$A$7:$A$429,0))</f>
        <v>4344513</v>
      </c>
      <c r="J187" s="135">
        <f>INDEX(Daten!$K$7:$K$429,MATCH('2'!B187,Daten!$A$7:$A$429,0))</f>
        <v>10617099</v>
      </c>
      <c r="K187" s="135">
        <f>INDEX(Daten!$O$7:$O$429,MATCH('2'!B187,Daten!$A$7:$A$429,0))</f>
        <v>585736</v>
      </c>
      <c r="L187" s="151">
        <f>INDEX(Daten!$Q$7:$Q$429,MATCH('2'!B187,Daten!$A$7:$A$429,0))</f>
        <v>3408143</v>
      </c>
    </row>
    <row r="188" spans="1:12" ht="15" customHeight="1">
      <c r="A188" s="172" t="str">
        <f>Daten!C181</f>
        <v>JC Lippe</v>
      </c>
      <c r="B188" s="214" t="str">
        <f>Daten!A181</f>
        <v>33148</v>
      </c>
      <c r="C188" s="172" t="str">
        <f>Daten!F181</f>
        <v>05</v>
      </c>
      <c r="D188" s="145" t="str">
        <f>Daten!E181</f>
        <v>IId</v>
      </c>
      <c r="E188" s="282">
        <f>INDEX(Daten!$R$7:$R$429,MATCH('2'!B188,Daten!$A$7:$A$429,0))</f>
        <v>237231360</v>
      </c>
      <c r="F188" s="175">
        <f>INDEX(Daten!$M$7:$M$429,MATCH('2'!B188,Daten!$A$7:$A$429,0))</f>
        <v>94074706</v>
      </c>
      <c r="G188" s="135">
        <f>INDEX(Daten!$N$7:$N$429,MATCH('2'!B188,Daten!$A$7:$A$429,0))</f>
        <v>65859655</v>
      </c>
      <c r="H188" s="135">
        <f>INDEX(Daten!$P$7:$P$429,MATCH('2'!B188,Daten!$A$7:$A$429,0))</f>
        <v>31837714</v>
      </c>
      <c r="I188" s="135">
        <f>INDEX(Daten!$L$7:$L$429,MATCH('2'!B188,Daten!$A$7:$A$429,0))</f>
        <v>16987550</v>
      </c>
      <c r="J188" s="135">
        <f>INDEX(Daten!$K$7:$K$429,MATCH('2'!B188,Daten!$A$7:$A$429,0))</f>
        <v>27240850</v>
      </c>
      <c r="K188" s="135">
        <f>INDEX(Daten!$O$7:$O$429,MATCH('2'!B188,Daten!$A$7:$A$429,0))</f>
        <v>1230885</v>
      </c>
      <c r="L188" s="151">
        <f>INDEX(Daten!$Q$7:$Q$429,MATCH('2'!B188,Daten!$A$7:$A$429,0))</f>
        <v>4249726</v>
      </c>
    </row>
    <row r="189" spans="1:12" ht="15" customHeight="1">
      <c r="A189" s="172" t="str">
        <f>Daten!C182</f>
        <v>JC Dortmund, Stadt</v>
      </c>
      <c r="B189" s="214" t="str">
        <f>Daten!A182</f>
        <v>33302</v>
      </c>
      <c r="C189" s="172" t="str">
        <f>Daten!F182</f>
        <v>05</v>
      </c>
      <c r="D189" s="145" t="str">
        <f>Daten!E182</f>
        <v>IIIc</v>
      </c>
      <c r="E189" s="282">
        <f>INDEX(Daten!$R$7:$R$429,MATCH('2'!B189,Daten!$A$7:$A$429,0))</f>
        <v>951518517.73999989</v>
      </c>
      <c r="F189" s="175">
        <f>INDEX(Daten!$M$7:$M$429,MATCH('2'!B189,Daten!$A$7:$A$429,0))</f>
        <v>360158795.88999999</v>
      </c>
      <c r="G189" s="135">
        <f>INDEX(Daten!$N$7:$N$429,MATCH('2'!B189,Daten!$A$7:$A$429,0))</f>
        <v>303714526.65999997</v>
      </c>
      <c r="H189" s="135">
        <f>INDEX(Daten!$P$7:$P$429,MATCH('2'!B189,Daten!$A$7:$A$429,0))</f>
        <v>116209861.29999998</v>
      </c>
      <c r="I189" s="135">
        <f>INDEX(Daten!$L$7:$L$429,MATCH('2'!B189,Daten!$A$7:$A$429,0))</f>
        <v>77982402.250000015</v>
      </c>
      <c r="J189" s="135">
        <f>INDEX(Daten!$K$7:$K$429,MATCH('2'!B189,Daten!$A$7:$A$429,0))</f>
        <v>87774642.830000013</v>
      </c>
      <c r="K189" s="135">
        <f>INDEX(Daten!$O$7:$O$429,MATCH('2'!B189,Daten!$A$7:$A$429,0))</f>
        <v>5678288.8099999996</v>
      </c>
      <c r="L189" s="151">
        <f>INDEX(Daten!$Q$7:$Q$429,MATCH('2'!B189,Daten!$A$7:$A$429,0))</f>
        <v>3493176.4000000004</v>
      </c>
    </row>
    <row r="190" spans="1:12" ht="15" customHeight="1">
      <c r="A190" s="172" t="str">
        <f>Daten!C183</f>
        <v>JC Düsseldorf, Stadt</v>
      </c>
      <c r="B190" s="214" t="str">
        <f>Daten!A183</f>
        <v>33702</v>
      </c>
      <c r="C190" s="172" t="str">
        <f>Daten!F183</f>
        <v>05</v>
      </c>
      <c r="D190" s="145" t="str">
        <f>Daten!E183</f>
        <v>IIIb</v>
      </c>
      <c r="E190" s="282">
        <f>INDEX(Daten!$R$7:$R$429,MATCH('2'!B190,Daten!$A$7:$A$429,0))</f>
        <v>567324556.49000001</v>
      </c>
      <c r="F190" s="175">
        <f>INDEX(Daten!$M$7:$M$429,MATCH('2'!B190,Daten!$A$7:$A$429,0))</f>
        <v>214181207.28999999</v>
      </c>
      <c r="G190" s="135">
        <f>INDEX(Daten!$N$7:$N$429,MATCH('2'!B190,Daten!$A$7:$A$429,0))</f>
        <v>176703793.99999997</v>
      </c>
      <c r="H190" s="135">
        <f>INDEX(Daten!$P$7:$P$429,MATCH('2'!B190,Daten!$A$7:$A$429,0))</f>
        <v>69326055.75999999</v>
      </c>
      <c r="I190" s="135">
        <f>INDEX(Daten!$L$7:$L$429,MATCH('2'!B190,Daten!$A$7:$A$429,0))</f>
        <v>40179136.920000002</v>
      </c>
      <c r="J190" s="135">
        <f>INDEX(Daten!$K$7:$K$429,MATCH('2'!B190,Daten!$A$7:$A$429,0))</f>
        <v>64745892.970000006</v>
      </c>
      <c r="K190" s="135">
        <f>INDEX(Daten!$O$7:$O$429,MATCH('2'!B190,Daten!$A$7:$A$429,0))</f>
        <v>2188469.5499999998</v>
      </c>
      <c r="L190" s="151">
        <f>INDEX(Daten!$Q$7:$Q$429,MATCH('2'!B190,Daten!$A$7:$A$429,0))</f>
        <v>13946269.939999999</v>
      </c>
    </row>
    <row r="191" spans="1:12" ht="15" customHeight="1">
      <c r="A191" s="172" t="str">
        <f>Daten!C184</f>
        <v>JC Duisburg, Stadt</v>
      </c>
      <c r="B191" s="214" t="str">
        <f>Daten!A184</f>
        <v>34102</v>
      </c>
      <c r="C191" s="172" t="str">
        <f>Daten!F184</f>
        <v>05</v>
      </c>
      <c r="D191" s="145" t="str">
        <f>Daten!E184</f>
        <v>IIIc</v>
      </c>
      <c r="E191" s="282">
        <f>INDEX(Daten!$R$7:$R$429,MATCH('2'!B191,Daten!$A$7:$A$429,0))</f>
        <v>727847782.26999998</v>
      </c>
      <c r="F191" s="175">
        <f>INDEX(Daten!$M$7:$M$429,MATCH('2'!B191,Daten!$A$7:$A$429,0))</f>
        <v>296920987.38999993</v>
      </c>
      <c r="G191" s="135">
        <f>INDEX(Daten!$N$7:$N$429,MATCH('2'!B191,Daten!$A$7:$A$429,0))</f>
        <v>201342846.45999998</v>
      </c>
      <c r="H191" s="135">
        <f>INDEX(Daten!$P$7:$P$429,MATCH('2'!B191,Daten!$A$7:$A$429,0))</f>
        <v>92132602.120000005</v>
      </c>
      <c r="I191" s="135">
        <f>INDEX(Daten!$L$7:$L$429,MATCH('2'!B191,Daten!$A$7:$A$429,0))</f>
        <v>58867303.510000005</v>
      </c>
      <c r="J191" s="135">
        <f>INDEX(Daten!$K$7:$K$429,MATCH('2'!B191,Daten!$A$7:$A$429,0))</f>
        <v>78024483.159999996</v>
      </c>
      <c r="K191" s="135">
        <f>INDEX(Daten!$O$7:$O$429,MATCH('2'!B191,Daten!$A$7:$A$429,0))</f>
        <v>559559.63000000012</v>
      </c>
      <c r="L191" s="151">
        <f>INDEX(Daten!$Q$7:$Q$429,MATCH('2'!B191,Daten!$A$7:$A$429,0))</f>
        <v>9957259.9100000001</v>
      </c>
    </row>
    <row r="192" spans="1:12" ht="15" customHeight="1">
      <c r="A192" s="172" t="str">
        <f>Daten!C185</f>
        <v>JC Essen, Stadt</v>
      </c>
      <c r="B192" s="214" t="str">
        <f>Daten!A185</f>
        <v>34348</v>
      </c>
      <c r="C192" s="172" t="str">
        <f>Daten!F185</f>
        <v>05</v>
      </c>
      <c r="D192" s="145" t="str">
        <f>Daten!E185</f>
        <v>IIIc</v>
      </c>
      <c r="E192" s="282">
        <f>INDEX(Daten!$R$7:$R$429,MATCH('2'!B192,Daten!$A$7:$A$429,0))</f>
        <v>947147501</v>
      </c>
      <c r="F192" s="175">
        <f>INDEX(Daten!$M$7:$M$429,MATCH('2'!B192,Daten!$A$7:$A$429,0))</f>
        <v>374659607</v>
      </c>
      <c r="G192" s="135">
        <f>INDEX(Daten!$N$7:$N$429,MATCH('2'!B192,Daten!$A$7:$A$429,0))</f>
        <v>301731218</v>
      </c>
      <c r="H192" s="135">
        <f>INDEX(Daten!$P$7:$P$429,MATCH('2'!B192,Daten!$A$7:$A$429,0))</f>
        <v>90240851</v>
      </c>
      <c r="I192" s="135">
        <f>INDEX(Daten!$L$7:$L$429,MATCH('2'!B192,Daten!$A$7:$A$429,0))</f>
        <v>77210789</v>
      </c>
      <c r="J192" s="135">
        <f>INDEX(Daten!$K$7:$K$429,MATCH('2'!B192,Daten!$A$7:$A$429,0))</f>
        <v>98435738</v>
      </c>
      <c r="K192" s="135">
        <f>INDEX(Daten!$O$7:$O$429,MATCH('2'!B192,Daten!$A$7:$A$429,0))</f>
        <v>4869298</v>
      </c>
      <c r="L192" s="151">
        <f>INDEX(Daten!$Q$7:$Q$429,MATCH('2'!B192,Daten!$A$7:$A$429,0))</f>
        <v>17736878</v>
      </c>
    </row>
    <row r="193" spans="1:12" ht="15" customHeight="1">
      <c r="A193" s="172" t="str">
        <f>Daten!C186</f>
        <v>JC Gelsenkirchen, Stadt</v>
      </c>
      <c r="B193" s="214" t="str">
        <f>Daten!A186</f>
        <v>34502</v>
      </c>
      <c r="C193" s="172" t="str">
        <f>Daten!F186</f>
        <v>05</v>
      </c>
      <c r="D193" s="145" t="str">
        <f>Daten!E186</f>
        <v>IIIc</v>
      </c>
      <c r="E193" s="282">
        <f>INDEX(Daten!$R$7:$R$429,MATCH('2'!B193,Daten!$A$7:$A$429,0))</f>
        <v>506954567.81999993</v>
      </c>
      <c r="F193" s="175">
        <f>INDEX(Daten!$M$7:$M$429,MATCH('2'!B193,Daten!$A$7:$A$429,0))</f>
        <v>206679860.41000003</v>
      </c>
      <c r="G193" s="135">
        <f>INDEX(Daten!$N$7:$N$429,MATCH('2'!B193,Daten!$A$7:$A$429,0))</f>
        <v>139603666.64999998</v>
      </c>
      <c r="H193" s="135">
        <f>INDEX(Daten!$P$7:$P$429,MATCH('2'!B193,Daten!$A$7:$A$429,0))</f>
        <v>63910181.899999976</v>
      </c>
      <c r="I193" s="135">
        <f>INDEX(Daten!$L$7:$L$429,MATCH('2'!B193,Daten!$A$7:$A$429,0))</f>
        <v>46454404.709999993</v>
      </c>
      <c r="J193" s="135">
        <f>INDEX(Daten!$K$7:$K$429,MATCH('2'!B193,Daten!$A$7:$A$429,0))</f>
        <v>47051259.560000002</v>
      </c>
      <c r="K193" s="135">
        <f>INDEX(Daten!$O$7:$O$429,MATCH('2'!B193,Daten!$A$7:$A$429,0))</f>
        <v>3255194.59</v>
      </c>
      <c r="L193" s="151">
        <f>INDEX(Daten!$Q$7:$Q$429,MATCH('2'!B193,Daten!$A$7:$A$429,0))</f>
        <v>1969692.05</v>
      </c>
    </row>
    <row r="194" spans="1:12" ht="15" customHeight="1">
      <c r="A194" s="172" t="str">
        <f>Daten!C187</f>
        <v>JC Bottrop, Stadt</v>
      </c>
      <c r="B194" s="214" t="str">
        <f>Daten!A187</f>
        <v>34506</v>
      </c>
      <c r="C194" s="172" t="str">
        <f>Daten!F187</f>
        <v>05</v>
      </c>
      <c r="D194" s="145" t="str">
        <f>Daten!E187</f>
        <v>IIIc</v>
      </c>
      <c r="E194" s="282">
        <f>INDEX(Daten!$R$7:$R$429,MATCH('2'!B194,Daten!$A$7:$A$429,0))</f>
        <v>109915325.56999999</v>
      </c>
      <c r="F194" s="175">
        <f>INDEX(Daten!$M$7:$M$429,MATCH('2'!B194,Daten!$A$7:$A$429,0))</f>
        <v>45066433.349999987</v>
      </c>
      <c r="G194" s="135">
        <f>INDEX(Daten!$N$7:$N$429,MATCH('2'!B194,Daten!$A$7:$A$429,0))</f>
        <v>30449551.359999999</v>
      </c>
      <c r="H194" s="135">
        <f>INDEX(Daten!$P$7:$P$429,MATCH('2'!B194,Daten!$A$7:$A$429,0))</f>
        <v>14056683.729999999</v>
      </c>
      <c r="I194" s="135">
        <f>INDEX(Daten!$L$7:$L$429,MATCH('2'!B194,Daten!$A$7:$A$429,0))</f>
        <v>7358801.540000001</v>
      </c>
      <c r="J194" s="135">
        <f>INDEX(Daten!$K$7:$K$429,MATCH('2'!B194,Daten!$A$7:$A$429,0))</f>
        <v>12460423.17</v>
      </c>
      <c r="K194" s="135">
        <f>INDEX(Daten!$O$7:$O$429,MATCH('2'!B194,Daten!$A$7:$A$429,0))</f>
        <v>523432.42</v>
      </c>
      <c r="L194" s="151">
        <f>INDEX(Daten!$Q$7:$Q$429,MATCH('2'!B194,Daten!$A$7:$A$429,0))</f>
        <v>724065.01</v>
      </c>
    </row>
    <row r="195" spans="1:12" ht="15" customHeight="1">
      <c r="A195" s="172" t="str">
        <f>Daten!C188</f>
        <v>JC Ennepe-Ruhr-Kreis</v>
      </c>
      <c r="B195" s="214" t="str">
        <f>Daten!A188</f>
        <v>34702</v>
      </c>
      <c r="C195" s="172" t="str">
        <f>Daten!F188</f>
        <v>05</v>
      </c>
      <c r="D195" s="145" t="str">
        <f>Daten!E188</f>
        <v>IId</v>
      </c>
      <c r="E195" s="282">
        <f>INDEX(Daten!$R$7:$R$429,MATCH('2'!B195,Daten!$A$7:$A$429,0))</f>
        <v>284507839</v>
      </c>
      <c r="F195" s="175">
        <f>INDEX(Daten!$M$7:$M$429,MATCH('2'!B195,Daten!$A$7:$A$429,0))</f>
        <v>113836388</v>
      </c>
      <c r="G195" s="135">
        <f>INDEX(Daten!$N$7:$N$429,MATCH('2'!B195,Daten!$A$7:$A$429,0))</f>
        <v>85718730</v>
      </c>
      <c r="H195" s="135">
        <f>INDEX(Daten!$P$7:$P$429,MATCH('2'!B195,Daten!$A$7:$A$429,0))</f>
        <v>36402097</v>
      </c>
      <c r="I195" s="135">
        <f>INDEX(Daten!$L$7:$L$429,MATCH('2'!B195,Daten!$A$7:$A$429,0))</f>
        <v>18976583</v>
      </c>
      <c r="J195" s="135">
        <f>INDEX(Daten!$K$7:$K$429,MATCH('2'!B195,Daten!$A$7:$A$429,0))</f>
        <v>27825105</v>
      </c>
      <c r="K195" s="135">
        <f>INDEX(Daten!$O$7:$O$429,MATCH('2'!B195,Daten!$A$7:$A$429,0))</f>
        <v>1748936</v>
      </c>
      <c r="L195" s="151">
        <f>INDEX(Daten!$Q$7:$Q$429,MATCH('2'!B195,Daten!$A$7:$A$429,0))</f>
        <v>4711451</v>
      </c>
    </row>
    <row r="196" spans="1:12" ht="15" customHeight="1">
      <c r="A196" s="172" t="str">
        <f>Daten!C189</f>
        <v>JC Hagen, Stadt</v>
      </c>
      <c r="B196" s="214" t="str">
        <f>Daten!A189</f>
        <v>34704</v>
      </c>
      <c r="C196" s="172" t="str">
        <f>Daten!F189</f>
        <v>05</v>
      </c>
      <c r="D196" s="145" t="str">
        <f>Daten!E189</f>
        <v>IIIc</v>
      </c>
      <c r="E196" s="282">
        <f>INDEX(Daten!$R$7:$R$429,MATCH('2'!B196,Daten!$A$7:$A$429,0))</f>
        <v>256449299.66999999</v>
      </c>
      <c r="F196" s="175">
        <f>INDEX(Daten!$M$7:$M$429,MATCH('2'!B196,Daten!$A$7:$A$429,0))</f>
        <v>105588645.25000001</v>
      </c>
      <c r="G196" s="135">
        <f>INDEX(Daten!$N$7:$N$429,MATCH('2'!B196,Daten!$A$7:$A$429,0))</f>
        <v>69471177.339999989</v>
      </c>
      <c r="H196" s="135">
        <f>INDEX(Daten!$P$7:$P$429,MATCH('2'!B196,Daten!$A$7:$A$429,0))</f>
        <v>32925147.120000001</v>
      </c>
      <c r="I196" s="135">
        <f>INDEX(Daten!$L$7:$L$429,MATCH('2'!B196,Daten!$A$7:$A$429,0))</f>
        <v>18911300.75</v>
      </c>
      <c r="J196" s="135">
        <f>INDEX(Daten!$K$7:$K$429,MATCH('2'!B196,Daten!$A$7:$A$429,0))</f>
        <v>28577923.300000001</v>
      </c>
      <c r="K196" s="135">
        <f>INDEX(Daten!$O$7:$O$429,MATCH('2'!B196,Daten!$A$7:$A$429,0))</f>
        <v>975105.90999999992</v>
      </c>
      <c r="L196" s="151">
        <f>INDEX(Daten!$Q$7:$Q$429,MATCH('2'!B196,Daten!$A$7:$A$429,0))</f>
        <v>4717328.6999999993</v>
      </c>
    </row>
    <row r="197" spans="1:12" ht="15" customHeight="1">
      <c r="A197" s="172" t="str">
        <f>Daten!C190</f>
        <v>JC Hamm, Stadt</v>
      </c>
      <c r="B197" s="214" t="str">
        <f>Daten!A190</f>
        <v>35102</v>
      </c>
      <c r="C197" s="172" t="str">
        <f>Daten!F190</f>
        <v>05</v>
      </c>
      <c r="D197" s="145" t="str">
        <f>Daten!E190</f>
        <v>IIIc</v>
      </c>
      <c r="E197" s="282">
        <f>INDEX(Daten!$R$7:$R$429,MATCH('2'!B197,Daten!$A$7:$A$429,0))</f>
        <v>180554544</v>
      </c>
      <c r="F197" s="175">
        <f>INDEX(Daten!$M$7:$M$429,MATCH('2'!B197,Daten!$A$7:$A$429,0))</f>
        <v>69926720</v>
      </c>
      <c r="G197" s="135">
        <f>INDEX(Daten!$N$7:$N$429,MATCH('2'!B197,Daten!$A$7:$A$429,0))</f>
        <v>50418752</v>
      </c>
      <c r="H197" s="135">
        <f>INDEX(Daten!$P$7:$P$429,MATCH('2'!B197,Daten!$A$7:$A$429,0))</f>
        <v>23447200</v>
      </c>
      <c r="I197" s="135">
        <f>INDEX(Daten!$L$7:$L$429,MATCH('2'!B197,Daten!$A$7:$A$429,0))</f>
        <v>13340682</v>
      </c>
      <c r="J197" s="135">
        <f>INDEX(Daten!$K$7:$K$429,MATCH('2'!B197,Daten!$A$7:$A$429,0))</f>
        <v>22596807</v>
      </c>
      <c r="K197" s="135">
        <f>INDEX(Daten!$O$7:$O$429,MATCH('2'!B197,Daten!$A$7:$A$429,0))</f>
        <v>824383</v>
      </c>
      <c r="L197" s="151">
        <f>INDEX(Daten!$Q$7:$Q$429,MATCH('2'!B197,Daten!$A$7:$A$429,0))</f>
        <v>3711922</v>
      </c>
    </row>
    <row r="198" spans="1:12" ht="15" customHeight="1">
      <c r="A198" s="172" t="str">
        <f>Daten!C191</f>
        <v>JC Unna</v>
      </c>
      <c r="B198" s="214" t="str">
        <f>Daten!A191</f>
        <v>35104</v>
      </c>
      <c r="C198" s="172" t="str">
        <f>Daten!F191</f>
        <v>05</v>
      </c>
      <c r="D198" s="145" t="str">
        <f>Daten!E191</f>
        <v>IIIc</v>
      </c>
      <c r="E198" s="282">
        <f>INDEX(Daten!$R$7:$R$429,MATCH('2'!B198,Daten!$A$7:$A$429,0))</f>
        <v>333234311.51000005</v>
      </c>
      <c r="F198" s="175">
        <f>INDEX(Daten!$M$7:$M$429,MATCH('2'!B198,Daten!$A$7:$A$429,0))</f>
        <v>133902959.21000002</v>
      </c>
      <c r="G198" s="135">
        <f>INDEX(Daten!$N$7:$N$429,MATCH('2'!B198,Daten!$A$7:$A$429,0))</f>
        <v>93534622.239999995</v>
      </c>
      <c r="H198" s="135">
        <f>INDEX(Daten!$P$7:$P$429,MATCH('2'!B198,Daten!$A$7:$A$429,0))</f>
        <v>42832776.289999999</v>
      </c>
      <c r="I198" s="135">
        <f>INDEX(Daten!$L$7:$L$429,MATCH('2'!B198,Daten!$A$7:$A$429,0))</f>
        <v>23371287.07</v>
      </c>
      <c r="J198" s="135">
        <f>INDEX(Daten!$K$7:$K$429,MATCH('2'!B198,Daten!$A$7:$A$429,0))</f>
        <v>38199503.43</v>
      </c>
      <c r="K198" s="135">
        <f>INDEX(Daten!$O$7:$O$429,MATCH('2'!B198,Daten!$A$7:$A$429,0))</f>
        <v>1393163.27</v>
      </c>
      <c r="L198" s="151">
        <f>INDEX(Daten!$Q$7:$Q$429,MATCH('2'!B198,Daten!$A$7:$A$429,0))</f>
        <v>1245779.1399999999</v>
      </c>
    </row>
    <row r="199" spans="1:12" ht="15" customHeight="1">
      <c r="A199" s="172" t="str">
        <f>Daten!C192</f>
        <v>JC Herford</v>
      </c>
      <c r="B199" s="214" t="str">
        <f>Daten!A192</f>
        <v>35302</v>
      </c>
      <c r="C199" s="172" t="str">
        <f>Daten!F192</f>
        <v>05</v>
      </c>
      <c r="D199" s="145" t="str">
        <f>Daten!E192</f>
        <v>IId</v>
      </c>
      <c r="E199" s="282">
        <f>INDEX(Daten!$R$7:$R$429,MATCH('2'!B199,Daten!$A$7:$A$429,0))</f>
        <v>160558862.76999998</v>
      </c>
      <c r="F199" s="175">
        <f>INDEX(Daten!$M$7:$M$429,MATCH('2'!B199,Daten!$A$7:$A$429,0))</f>
        <v>63965317.449999988</v>
      </c>
      <c r="G199" s="135">
        <f>INDEX(Daten!$N$7:$N$429,MATCH('2'!B199,Daten!$A$7:$A$429,0))</f>
        <v>46639413.750000007</v>
      </c>
      <c r="H199" s="135">
        <f>INDEX(Daten!$P$7:$P$429,MATCH('2'!B199,Daten!$A$7:$A$429,0))</f>
        <v>20992950.860000003</v>
      </c>
      <c r="I199" s="135">
        <f>INDEX(Daten!$L$7:$L$429,MATCH('2'!B199,Daten!$A$7:$A$429,0))</f>
        <v>11488291.279999997</v>
      </c>
      <c r="J199" s="135">
        <f>INDEX(Daten!$K$7:$K$429,MATCH('2'!B199,Daten!$A$7:$A$429,0))</f>
        <v>16740744.230000002</v>
      </c>
      <c r="K199" s="135">
        <f>INDEX(Daten!$O$7:$O$429,MATCH('2'!B199,Daten!$A$7:$A$429,0))</f>
        <v>732145.2</v>
      </c>
      <c r="L199" s="151">
        <f>INDEX(Daten!$Q$7:$Q$429,MATCH('2'!B199,Daten!$A$7:$A$429,0))</f>
        <v>3331213.18</v>
      </c>
    </row>
    <row r="200" spans="1:12" ht="15" customHeight="1">
      <c r="A200" s="172" t="str">
        <f>Daten!C193</f>
        <v>JC Minden-Lübbecke</v>
      </c>
      <c r="B200" s="214" t="str">
        <f>Daten!A193</f>
        <v>35318</v>
      </c>
      <c r="C200" s="172" t="str">
        <f>Daten!F193</f>
        <v>05</v>
      </c>
      <c r="D200" s="145" t="str">
        <f>Daten!E193</f>
        <v>IId</v>
      </c>
      <c r="E200" s="282">
        <f>INDEX(Daten!$R$7:$R$429,MATCH('2'!B200,Daten!$A$7:$A$429,0))</f>
        <v>229085805</v>
      </c>
      <c r="F200" s="175">
        <f>INDEX(Daten!$M$7:$M$429,MATCH('2'!B200,Daten!$A$7:$A$429,0))</f>
        <v>92293268</v>
      </c>
      <c r="G200" s="135">
        <f>INDEX(Daten!$N$7:$N$429,MATCH('2'!B200,Daten!$A$7:$A$429,0))</f>
        <v>65412394</v>
      </c>
      <c r="H200" s="135">
        <f>INDEX(Daten!$P$7:$P$429,MATCH('2'!B200,Daten!$A$7:$A$429,0))</f>
        <v>30248467</v>
      </c>
      <c r="I200" s="135">
        <f>INDEX(Daten!$L$7:$L$429,MATCH('2'!B200,Daten!$A$7:$A$429,0))</f>
        <v>18947543</v>
      </c>
      <c r="J200" s="135">
        <f>INDEX(Daten!$K$7:$K$429,MATCH('2'!B200,Daten!$A$7:$A$429,0))</f>
        <v>21455051</v>
      </c>
      <c r="K200" s="135">
        <f>INDEX(Daten!$O$7:$O$429,MATCH('2'!B200,Daten!$A$7:$A$429,0))</f>
        <v>729082</v>
      </c>
      <c r="L200" s="151">
        <f>INDEX(Daten!$Q$7:$Q$429,MATCH('2'!B200,Daten!$A$7:$A$429,0))</f>
        <v>4472542</v>
      </c>
    </row>
    <row r="201" spans="1:12" ht="15" customHeight="1">
      <c r="A201" s="172" t="str">
        <f>Daten!C194</f>
        <v>JC Märkischer Kreis</v>
      </c>
      <c r="B201" s="214" t="str">
        <f>Daten!A194</f>
        <v>35502</v>
      </c>
      <c r="C201" s="172" t="str">
        <f>Daten!F194</f>
        <v>05</v>
      </c>
      <c r="D201" s="145" t="str">
        <f>Daten!E194</f>
        <v>IId</v>
      </c>
      <c r="E201" s="282">
        <f>INDEX(Daten!$R$7:$R$429,MATCH('2'!B201,Daten!$A$7:$A$429,0))</f>
        <v>330478522.67000008</v>
      </c>
      <c r="F201" s="175">
        <f>INDEX(Daten!$M$7:$M$429,MATCH('2'!B201,Daten!$A$7:$A$429,0))</f>
        <v>135494891.40000001</v>
      </c>
      <c r="G201" s="135">
        <f>INDEX(Daten!$N$7:$N$429,MATCH('2'!B201,Daten!$A$7:$A$429,0))</f>
        <v>92395417.370000005</v>
      </c>
      <c r="H201" s="135">
        <f>INDEX(Daten!$P$7:$P$429,MATCH('2'!B201,Daten!$A$7:$A$429,0))</f>
        <v>42586606.280000009</v>
      </c>
      <c r="I201" s="135">
        <f>INDEX(Daten!$L$7:$L$429,MATCH('2'!B201,Daten!$A$7:$A$429,0))</f>
        <v>25120525.329999998</v>
      </c>
      <c r="J201" s="135">
        <f>INDEX(Daten!$K$7:$K$429,MATCH('2'!B201,Daten!$A$7:$A$429,0))</f>
        <v>33418172.370000005</v>
      </c>
      <c r="K201" s="135">
        <f>INDEX(Daten!$O$7:$O$429,MATCH('2'!B201,Daten!$A$7:$A$429,0))</f>
        <v>1462909.9200000002</v>
      </c>
      <c r="L201" s="151">
        <f>INDEX(Daten!$Q$7:$Q$429,MATCH('2'!B201,Daten!$A$7:$A$429,0))</f>
        <v>3958876.1599999997</v>
      </c>
    </row>
    <row r="202" spans="1:12" ht="15" customHeight="1">
      <c r="A202" s="172" t="str">
        <f>Daten!C195</f>
        <v>JC Köln, Stadt</v>
      </c>
      <c r="B202" s="214" t="str">
        <f>Daten!A195</f>
        <v>35702</v>
      </c>
      <c r="C202" s="172" t="str">
        <f>Daten!F195</f>
        <v>05</v>
      </c>
      <c r="D202" s="145" t="str">
        <f>Daten!E195</f>
        <v>IIIb</v>
      </c>
      <c r="E202" s="282">
        <f>INDEX(Daten!$R$7:$R$429,MATCH('2'!B202,Daten!$A$7:$A$429,0))</f>
        <v>1249109835.4899998</v>
      </c>
      <c r="F202" s="175">
        <f>INDEX(Daten!$M$7:$M$429,MATCH('2'!B202,Daten!$A$7:$A$429,0))</f>
        <v>446624705.32999998</v>
      </c>
      <c r="G202" s="135">
        <f>INDEX(Daten!$N$7:$N$429,MATCH('2'!B202,Daten!$A$7:$A$429,0))</f>
        <v>435732887.54999995</v>
      </c>
      <c r="H202" s="135">
        <f>INDEX(Daten!$P$7:$P$429,MATCH('2'!B202,Daten!$A$7:$A$429,0))</f>
        <v>147749616.38999999</v>
      </c>
      <c r="I202" s="135">
        <f>INDEX(Daten!$L$7:$L$429,MATCH('2'!B202,Daten!$A$7:$A$429,0))</f>
        <v>76222034.499999985</v>
      </c>
      <c r="J202" s="135">
        <f>INDEX(Daten!$K$7:$K$429,MATCH('2'!B202,Daten!$A$7:$A$429,0))</f>
        <v>139307010.94999999</v>
      </c>
      <c r="K202" s="135">
        <f>INDEX(Daten!$O$7:$O$429,MATCH('2'!B202,Daten!$A$7:$A$429,0))</f>
        <v>3473580.77</v>
      </c>
      <c r="L202" s="151">
        <f>INDEX(Daten!$Q$7:$Q$429,MATCH('2'!B202,Daten!$A$7:$A$429,0))</f>
        <v>35759820.210000001</v>
      </c>
    </row>
    <row r="203" spans="1:12" ht="15" customHeight="1">
      <c r="A203" s="172" t="str">
        <f>Daten!C196</f>
        <v>JC Krefeld</v>
      </c>
      <c r="B203" s="214" t="str">
        <f>Daten!A196</f>
        <v>36102</v>
      </c>
      <c r="C203" s="172" t="str">
        <f>Daten!F196</f>
        <v>05</v>
      </c>
      <c r="D203" s="145" t="str">
        <f>Daten!E196</f>
        <v>IIIb</v>
      </c>
      <c r="E203" s="282">
        <f>INDEX(Daten!$R$7:$R$429,MATCH('2'!B203,Daten!$A$7:$A$429,0))</f>
        <v>285167975.76999998</v>
      </c>
      <c r="F203" s="175">
        <f>INDEX(Daten!$M$7:$M$429,MATCH('2'!B203,Daten!$A$7:$A$429,0))</f>
        <v>111425357.60999998</v>
      </c>
      <c r="G203" s="135">
        <f>INDEX(Daten!$N$7:$N$429,MATCH('2'!B203,Daten!$A$7:$A$429,0))</f>
        <v>84506925.560000002</v>
      </c>
      <c r="H203" s="135">
        <f>INDEX(Daten!$P$7:$P$429,MATCH('2'!B203,Daten!$A$7:$A$429,0))</f>
        <v>35233243.259999998</v>
      </c>
      <c r="I203" s="135">
        <f>INDEX(Daten!$L$7:$L$429,MATCH('2'!B203,Daten!$A$7:$A$429,0))</f>
        <v>22161266.330000002</v>
      </c>
      <c r="J203" s="135">
        <f>INDEX(Daten!$K$7:$K$429,MATCH('2'!B203,Daten!$A$7:$A$429,0))</f>
        <v>30770041.710000001</v>
      </c>
      <c r="K203" s="135">
        <f>INDEX(Daten!$O$7:$O$429,MATCH('2'!B203,Daten!$A$7:$A$429,0))</f>
        <v>1071141.3</v>
      </c>
      <c r="L203" s="151">
        <f>INDEX(Daten!$Q$7:$Q$429,MATCH('2'!B203,Daten!$A$7:$A$429,0))</f>
        <v>3415262.0300000003</v>
      </c>
    </row>
    <row r="204" spans="1:12" ht="15" customHeight="1">
      <c r="A204" s="172" t="str">
        <f>Daten!C197</f>
        <v>JC Viersen</v>
      </c>
      <c r="B204" s="214" t="str">
        <f>Daten!A197</f>
        <v>36108</v>
      </c>
      <c r="C204" s="172" t="str">
        <f>Daten!F197</f>
        <v>05</v>
      </c>
      <c r="D204" s="145" t="str">
        <f>Daten!E197</f>
        <v>IId</v>
      </c>
      <c r="E204" s="282">
        <f>INDEX(Daten!$R$7:$R$429,MATCH('2'!B204,Daten!$A$7:$A$429,0))</f>
        <v>181083630.87</v>
      </c>
      <c r="F204" s="175">
        <f>INDEX(Daten!$M$7:$M$429,MATCH('2'!B204,Daten!$A$7:$A$429,0))</f>
        <v>70770285.220000014</v>
      </c>
      <c r="G204" s="135">
        <f>INDEX(Daten!$N$7:$N$429,MATCH('2'!B204,Daten!$A$7:$A$429,0))</f>
        <v>54125407.710000016</v>
      </c>
      <c r="H204" s="135">
        <f>INDEX(Daten!$P$7:$P$429,MATCH('2'!B204,Daten!$A$7:$A$429,0))</f>
        <v>22720062.470000006</v>
      </c>
      <c r="I204" s="135">
        <f>INDEX(Daten!$L$7:$L$429,MATCH('2'!B204,Daten!$A$7:$A$429,0))</f>
        <v>11604360.030000001</v>
      </c>
      <c r="J204" s="135">
        <f>INDEX(Daten!$K$7:$K$429,MATCH('2'!B204,Daten!$A$7:$A$429,0))</f>
        <v>21025413.27</v>
      </c>
      <c r="K204" s="135">
        <f>INDEX(Daten!$O$7:$O$429,MATCH('2'!B204,Daten!$A$7:$A$429,0))</f>
        <v>838102.17</v>
      </c>
      <c r="L204" s="151">
        <f>INDEX(Daten!$Q$7:$Q$429,MATCH('2'!B204,Daten!$A$7:$A$429,0))</f>
        <v>1882637.36</v>
      </c>
    </row>
    <row r="205" spans="1:12" ht="15" customHeight="1">
      <c r="A205" s="172" t="str">
        <f>Daten!C198</f>
        <v>JC Mettmann</v>
      </c>
      <c r="B205" s="214" t="str">
        <f>Daten!A198</f>
        <v>36402</v>
      </c>
      <c r="C205" s="172" t="str">
        <f>Daten!F198</f>
        <v>05</v>
      </c>
      <c r="D205" s="145" t="str">
        <f>Daten!E198</f>
        <v>IId</v>
      </c>
      <c r="E205" s="282">
        <f>INDEX(Daten!$R$7:$R$429,MATCH('2'!B205,Daten!$A$7:$A$429,0))</f>
        <v>411043715.54999989</v>
      </c>
      <c r="F205" s="175">
        <f>INDEX(Daten!$M$7:$M$429,MATCH('2'!B205,Daten!$A$7:$A$429,0))</f>
        <v>157229098.22999993</v>
      </c>
      <c r="G205" s="135">
        <f>INDEX(Daten!$N$7:$N$429,MATCH('2'!B205,Daten!$A$7:$A$429,0))</f>
        <v>131369919.78</v>
      </c>
      <c r="H205" s="135">
        <f>INDEX(Daten!$P$7:$P$429,MATCH('2'!B205,Daten!$A$7:$A$429,0))</f>
        <v>50913111.890000001</v>
      </c>
      <c r="I205" s="135">
        <f>INDEX(Daten!$L$7:$L$429,MATCH('2'!B205,Daten!$A$7:$A$429,0))</f>
        <v>27906288.550000001</v>
      </c>
      <c r="J205" s="135">
        <f>INDEX(Daten!$K$7:$K$429,MATCH('2'!B205,Daten!$A$7:$A$429,0))</f>
        <v>41335507.890000001</v>
      </c>
      <c r="K205" s="135">
        <f>INDEX(Daten!$O$7:$O$429,MATCH('2'!B205,Daten!$A$7:$A$429,0))</f>
        <v>2289789.21</v>
      </c>
      <c r="L205" s="151">
        <f>INDEX(Daten!$Q$7:$Q$429,MATCH('2'!B205,Daten!$A$7:$A$429,0))</f>
        <v>6642780.0699999994</v>
      </c>
    </row>
    <row r="206" spans="1:12" ht="15" customHeight="1">
      <c r="A206" s="172" t="str">
        <f>Daten!C199</f>
        <v>JC Mönchengladbach, Stadt</v>
      </c>
      <c r="B206" s="214" t="str">
        <f>Daten!A199</f>
        <v>36502</v>
      </c>
      <c r="C206" s="172" t="str">
        <f>Daten!F199</f>
        <v>05</v>
      </c>
      <c r="D206" s="145" t="str">
        <f>Daten!E199</f>
        <v>IIIc</v>
      </c>
      <c r="E206" s="282">
        <f>INDEX(Daten!$R$7:$R$429,MATCH('2'!B206,Daten!$A$7:$A$429,0))</f>
        <v>345627031.90999997</v>
      </c>
      <c r="F206" s="175">
        <f>INDEX(Daten!$M$7:$M$429,MATCH('2'!B206,Daten!$A$7:$A$429,0))</f>
        <v>133587787.68999997</v>
      </c>
      <c r="G206" s="135">
        <f>INDEX(Daten!$N$7:$N$429,MATCH('2'!B206,Daten!$A$7:$A$429,0))</f>
        <v>106389755.51000002</v>
      </c>
      <c r="H206" s="135">
        <f>INDEX(Daten!$P$7:$P$429,MATCH('2'!B206,Daten!$A$7:$A$429,0))</f>
        <v>42573029.250000007</v>
      </c>
      <c r="I206" s="135">
        <f>INDEX(Daten!$L$7:$L$429,MATCH('2'!B206,Daten!$A$7:$A$429,0))</f>
        <v>26925171.469999999</v>
      </c>
      <c r="J206" s="135">
        <f>INDEX(Daten!$K$7:$K$429,MATCH('2'!B206,Daten!$A$7:$A$429,0))</f>
        <v>34985371.339999996</v>
      </c>
      <c r="K206" s="135">
        <f>INDEX(Daten!$O$7:$O$429,MATCH('2'!B206,Daten!$A$7:$A$429,0))</f>
        <v>1165916.6499999999</v>
      </c>
      <c r="L206" s="151">
        <f>INDEX(Daten!$Q$7:$Q$429,MATCH('2'!B206,Daten!$A$7:$A$429,0))</f>
        <v>4986664.04</v>
      </c>
    </row>
    <row r="207" spans="1:12" ht="15" customHeight="1">
      <c r="A207" s="172" t="str">
        <f>Daten!C200</f>
        <v>JC Rhein-Kreis Neuss</v>
      </c>
      <c r="B207" s="214" t="str">
        <f>Daten!A200</f>
        <v>36504</v>
      </c>
      <c r="C207" s="172" t="str">
        <f>Daten!F200</f>
        <v>05</v>
      </c>
      <c r="D207" s="145" t="str">
        <f>Daten!E200</f>
        <v>IId</v>
      </c>
      <c r="E207" s="282">
        <f>INDEX(Daten!$R$7:$R$429,MATCH('2'!B207,Daten!$A$7:$A$429,0))</f>
        <v>312880056.16999996</v>
      </c>
      <c r="F207" s="175">
        <f>INDEX(Daten!$M$7:$M$429,MATCH('2'!B207,Daten!$A$7:$A$429,0))</f>
        <v>121777111.49000001</v>
      </c>
      <c r="G207" s="135">
        <f>INDEX(Daten!$N$7:$N$429,MATCH('2'!B207,Daten!$A$7:$A$429,0))</f>
        <v>97685053.549999982</v>
      </c>
      <c r="H207" s="135">
        <f>INDEX(Daten!$P$7:$P$429,MATCH('2'!B207,Daten!$A$7:$A$429,0))</f>
        <v>39711106.349999994</v>
      </c>
      <c r="I207" s="135">
        <f>INDEX(Daten!$L$7:$L$429,MATCH('2'!B207,Daten!$A$7:$A$429,0))</f>
        <v>21959996.520000003</v>
      </c>
      <c r="J207" s="135">
        <f>INDEX(Daten!$K$7:$K$429,MATCH('2'!B207,Daten!$A$7:$A$429,0))</f>
        <v>30084882.079999998</v>
      </c>
      <c r="K207" s="135">
        <f>INDEX(Daten!$O$7:$O$429,MATCH('2'!B207,Daten!$A$7:$A$429,0))</f>
        <v>1661906.1800000002</v>
      </c>
      <c r="L207" s="151">
        <f>INDEX(Daten!$Q$7:$Q$429,MATCH('2'!B207,Daten!$A$7:$A$429,0))</f>
        <v>6334430.8499999996</v>
      </c>
    </row>
    <row r="208" spans="1:12" ht="15" customHeight="1">
      <c r="A208" s="172" t="str">
        <f>Daten!C201</f>
        <v>JC Warendorf</v>
      </c>
      <c r="B208" s="214" t="str">
        <f>Daten!A201</f>
        <v>36704</v>
      </c>
      <c r="C208" s="172" t="str">
        <f>Daten!F201</f>
        <v>05</v>
      </c>
      <c r="D208" s="145" t="str">
        <f>Daten!E201</f>
        <v>IId</v>
      </c>
      <c r="E208" s="282">
        <f>INDEX(Daten!$R$7:$R$429,MATCH('2'!B208,Daten!$A$7:$A$429,0))</f>
        <v>154445513</v>
      </c>
      <c r="F208" s="175">
        <f>INDEX(Daten!$M$7:$M$429,MATCH('2'!B208,Daten!$A$7:$A$429,0))</f>
        <v>62350781</v>
      </c>
      <c r="G208" s="135">
        <f>INDEX(Daten!$N$7:$N$429,MATCH('2'!B208,Daten!$A$7:$A$429,0))</f>
        <v>43851798</v>
      </c>
      <c r="H208" s="135">
        <f>INDEX(Daten!$P$7:$P$429,MATCH('2'!B208,Daten!$A$7:$A$429,0))</f>
        <v>20448074</v>
      </c>
      <c r="I208" s="135">
        <f>INDEX(Daten!$L$7:$L$429,MATCH('2'!B208,Daten!$A$7:$A$429,0))</f>
        <v>10066138</v>
      </c>
      <c r="J208" s="135">
        <f>INDEX(Daten!$K$7:$K$429,MATCH('2'!B208,Daten!$A$7:$A$429,0))</f>
        <v>17075664</v>
      </c>
      <c r="K208" s="135">
        <f>INDEX(Daten!$O$7:$O$429,MATCH('2'!B208,Daten!$A$7:$A$429,0))</f>
        <v>653058</v>
      </c>
      <c r="L208" s="151">
        <f>INDEX(Daten!$Q$7:$Q$429,MATCH('2'!B208,Daten!$A$7:$A$429,0))</f>
        <v>7375447</v>
      </c>
    </row>
    <row r="209" spans="1:12" ht="15" customHeight="1">
      <c r="A209" s="172" t="str">
        <f>Daten!C202</f>
        <v>JC Münster, Stadt</v>
      </c>
      <c r="B209" s="214" t="str">
        <f>Daten!A202</f>
        <v>36748</v>
      </c>
      <c r="C209" s="172" t="str">
        <f>Daten!F202</f>
        <v>05</v>
      </c>
      <c r="D209" s="145" t="str">
        <f>Daten!E202</f>
        <v>IIe</v>
      </c>
      <c r="E209" s="282">
        <f>INDEX(Daten!$R$7:$R$429,MATCH('2'!B209,Daten!$A$7:$A$429,0))</f>
        <v>204028374</v>
      </c>
      <c r="F209" s="175">
        <f>INDEX(Daten!$M$7:$M$429,MATCH('2'!B209,Daten!$A$7:$A$429,0))</f>
        <v>74786056</v>
      </c>
      <c r="G209" s="135">
        <f>INDEX(Daten!$N$7:$N$429,MATCH('2'!B209,Daten!$A$7:$A$429,0))</f>
        <v>65296563</v>
      </c>
      <c r="H209" s="135">
        <f>INDEX(Daten!$P$7:$P$429,MATCH('2'!B209,Daten!$A$7:$A$429,0))</f>
        <v>25611059</v>
      </c>
      <c r="I209" s="135">
        <f>INDEX(Daten!$L$7:$L$429,MATCH('2'!B209,Daten!$A$7:$A$429,0))</f>
        <v>14668106</v>
      </c>
      <c r="J209" s="135">
        <f>INDEX(Daten!$K$7:$K$429,MATCH('2'!B209,Daten!$A$7:$A$429,0))</f>
        <v>22906944</v>
      </c>
      <c r="K209" s="135">
        <f>INDEX(Daten!$O$7:$O$429,MATCH('2'!B209,Daten!$A$7:$A$429,0))</f>
        <v>759646</v>
      </c>
      <c r="L209" s="151">
        <f>INDEX(Daten!$Q$7:$Q$429,MATCH('2'!B209,Daten!$A$7:$A$429,0))</f>
        <v>5267762</v>
      </c>
    </row>
    <row r="210" spans="1:12" ht="15" customHeight="1">
      <c r="A210" s="172" t="str">
        <f>Daten!C203</f>
        <v>JC Mülheim an der Ruhr, Stadt</v>
      </c>
      <c r="B210" s="214" t="str">
        <f>Daten!A203</f>
        <v>37102</v>
      </c>
      <c r="C210" s="172" t="str">
        <f>Daten!F203</f>
        <v>05</v>
      </c>
      <c r="D210" s="145" t="str">
        <f>Daten!E203</f>
        <v>IIIc</v>
      </c>
      <c r="E210" s="282">
        <f>INDEX(Daten!$R$7:$R$429,MATCH('2'!B210,Daten!$A$7:$A$429,0))</f>
        <v>197992512</v>
      </c>
      <c r="F210" s="175">
        <f>INDEX(Daten!$M$7:$M$429,MATCH('2'!B210,Daten!$A$7:$A$429,0))</f>
        <v>77502417</v>
      </c>
      <c r="G210" s="135">
        <f>INDEX(Daten!$N$7:$N$429,MATCH('2'!B210,Daten!$A$7:$A$429,0))</f>
        <v>59177773</v>
      </c>
      <c r="H210" s="135">
        <f>INDEX(Daten!$P$7:$P$429,MATCH('2'!B210,Daten!$A$7:$A$429,0))</f>
        <v>25186363</v>
      </c>
      <c r="I210" s="135">
        <f>INDEX(Daten!$L$7:$L$429,MATCH('2'!B210,Daten!$A$7:$A$429,0))</f>
        <v>16214280</v>
      </c>
      <c r="J210" s="135">
        <f>INDEX(Daten!$K$7:$K$429,MATCH('2'!B210,Daten!$A$7:$A$429,0))</f>
        <v>19215187</v>
      </c>
      <c r="K210" s="135">
        <f>INDEX(Daten!$O$7:$O$429,MATCH('2'!B210,Daten!$A$7:$A$429,0))</f>
        <v>696492</v>
      </c>
      <c r="L210" s="151">
        <f>INDEX(Daten!$Q$7:$Q$429,MATCH('2'!B210,Daten!$A$7:$A$429,0))</f>
        <v>4879734</v>
      </c>
    </row>
    <row r="211" spans="1:12" ht="15" customHeight="1">
      <c r="A211" s="172" t="str">
        <f>Daten!C204</f>
        <v>JC Oberhausen, Stadt</v>
      </c>
      <c r="B211" s="214" t="str">
        <f>Daten!A204</f>
        <v>37106</v>
      </c>
      <c r="C211" s="172" t="str">
        <f>Daten!F204</f>
        <v>05</v>
      </c>
      <c r="D211" s="145" t="str">
        <f>Daten!E204</f>
        <v>IIIc</v>
      </c>
      <c r="E211" s="282">
        <f>INDEX(Daten!$R$7:$R$429,MATCH('2'!B211,Daten!$A$7:$A$429,0))</f>
        <v>279066321.48000002</v>
      </c>
      <c r="F211" s="175">
        <f>INDEX(Daten!$M$7:$M$429,MATCH('2'!B211,Daten!$A$7:$A$429,0))</f>
        <v>113294047.08999999</v>
      </c>
      <c r="G211" s="135">
        <f>INDEX(Daten!$N$7:$N$429,MATCH('2'!B211,Daten!$A$7:$A$429,0))</f>
        <v>76479311.929999992</v>
      </c>
      <c r="H211" s="135">
        <f>INDEX(Daten!$P$7:$P$429,MATCH('2'!B211,Daten!$A$7:$A$429,0))</f>
        <v>34771402.5</v>
      </c>
      <c r="I211" s="135">
        <f>INDEX(Daten!$L$7:$L$429,MATCH('2'!B211,Daten!$A$7:$A$429,0))</f>
        <v>23403645.549999997</v>
      </c>
      <c r="J211" s="135">
        <f>INDEX(Daten!$K$7:$K$429,MATCH('2'!B211,Daten!$A$7:$A$429,0))</f>
        <v>30106368.880000003</v>
      </c>
      <c r="K211" s="135">
        <f>INDEX(Daten!$O$7:$O$429,MATCH('2'!B211,Daten!$A$7:$A$429,0))</f>
        <v>1011545.5299999999</v>
      </c>
      <c r="L211" s="151">
        <f>INDEX(Daten!$Q$7:$Q$429,MATCH('2'!B211,Daten!$A$7:$A$429,0))</f>
        <v>4107547.72</v>
      </c>
    </row>
    <row r="212" spans="1:12" ht="15" customHeight="1">
      <c r="A212" s="172" t="str">
        <f>Daten!C205</f>
        <v>JC Paderborn</v>
      </c>
      <c r="B212" s="214" t="str">
        <f>Daten!A205</f>
        <v>37302</v>
      </c>
      <c r="C212" s="172" t="str">
        <f>Daten!F205</f>
        <v>05</v>
      </c>
      <c r="D212" s="145" t="str">
        <f>Daten!E205</f>
        <v>IId</v>
      </c>
      <c r="E212" s="282">
        <f>INDEX(Daten!$R$7:$R$429,MATCH('2'!B212,Daten!$A$7:$A$429,0))</f>
        <v>192993655.67999995</v>
      </c>
      <c r="F212" s="175">
        <f>INDEX(Daten!$M$7:$M$429,MATCH('2'!B212,Daten!$A$7:$A$429,0))</f>
        <v>77657097.949999943</v>
      </c>
      <c r="G212" s="135">
        <f>INDEX(Daten!$N$7:$N$429,MATCH('2'!B212,Daten!$A$7:$A$429,0))</f>
        <v>53128136.409999996</v>
      </c>
      <c r="H212" s="135">
        <f>INDEX(Daten!$P$7:$P$429,MATCH('2'!B212,Daten!$A$7:$A$429,0))</f>
        <v>25396208.900000002</v>
      </c>
      <c r="I212" s="135">
        <f>INDEX(Daten!$L$7:$L$429,MATCH('2'!B212,Daten!$A$7:$A$429,0))</f>
        <v>13517072.360000003</v>
      </c>
      <c r="J212" s="135">
        <f>INDEX(Daten!$K$7:$K$429,MATCH('2'!B212,Daten!$A$7:$A$429,0))</f>
        <v>22090424.400000002</v>
      </c>
      <c r="K212" s="135">
        <f>INDEX(Daten!$O$7:$O$429,MATCH('2'!B212,Daten!$A$7:$A$429,0))</f>
        <v>1204715.6599999999</v>
      </c>
      <c r="L212" s="151">
        <f>INDEX(Daten!$Q$7:$Q$429,MATCH('2'!B212,Daten!$A$7:$A$429,0))</f>
        <v>3721582.4800000004</v>
      </c>
    </row>
    <row r="213" spans="1:12" ht="15" customHeight="1">
      <c r="A213" s="172" t="str">
        <f>Daten!C206</f>
        <v>JC Höxter</v>
      </c>
      <c r="B213" s="214" t="str">
        <f>Daten!A206</f>
        <v>37338</v>
      </c>
      <c r="C213" s="172" t="str">
        <f>Daten!F206</f>
        <v>05</v>
      </c>
      <c r="D213" s="145" t="str">
        <f>Daten!E206</f>
        <v>IIa</v>
      </c>
      <c r="E213" s="282">
        <f>INDEX(Daten!$R$7:$R$429,MATCH('2'!B213,Daten!$A$7:$A$429,0))</f>
        <v>63579328.769999988</v>
      </c>
      <c r="F213" s="175">
        <f>INDEX(Daten!$M$7:$M$429,MATCH('2'!B213,Daten!$A$7:$A$429,0))</f>
        <v>28239265.409999993</v>
      </c>
      <c r="G213" s="135">
        <f>INDEX(Daten!$N$7:$N$429,MATCH('2'!B213,Daten!$A$7:$A$429,0))</f>
        <v>14997392.209999999</v>
      </c>
      <c r="H213" s="135">
        <f>INDEX(Daten!$P$7:$P$429,MATCH('2'!B213,Daten!$A$7:$A$429,0))</f>
        <v>8857685.3599999994</v>
      </c>
      <c r="I213" s="135">
        <f>INDEX(Daten!$L$7:$L$429,MATCH('2'!B213,Daten!$A$7:$A$429,0))</f>
        <v>4309698.8199999994</v>
      </c>
      <c r="J213" s="135">
        <f>INDEX(Daten!$K$7:$K$429,MATCH('2'!B213,Daten!$A$7:$A$429,0))</f>
        <v>6746949.5</v>
      </c>
      <c r="K213" s="135">
        <f>INDEX(Daten!$O$7:$O$429,MATCH('2'!B213,Daten!$A$7:$A$429,0))</f>
        <v>428337.47000000003</v>
      </c>
      <c r="L213" s="151">
        <f>INDEX(Daten!$Q$7:$Q$429,MATCH('2'!B213,Daten!$A$7:$A$429,0))</f>
        <v>1068651.6100000001</v>
      </c>
    </row>
    <row r="214" spans="1:12" ht="15" customHeight="1">
      <c r="A214" s="172" t="str">
        <f>Daten!C207</f>
        <v>JC Recklinghausen</v>
      </c>
      <c r="B214" s="214" t="str">
        <f>Daten!A207</f>
        <v>37548</v>
      </c>
      <c r="C214" s="172" t="str">
        <f>Daten!F207</f>
        <v>05</v>
      </c>
      <c r="D214" s="145" t="str">
        <f>Daten!E207</f>
        <v>IIIc</v>
      </c>
      <c r="E214" s="282">
        <f>INDEX(Daten!$R$7:$R$429,MATCH('2'!B214,Daten!$A$7:$A$429,0))</f>
        <v>685709571</v>
      </c>
      <c r="F214" s="175">
        <f>INDEX(Daten!$M$7:$M$429,MATCH('2'!B214,Daten!$A$7:$A$429,0))</f>
        <v>265878882</v>
      </c>
      <c r="G214" s="135">
        <f>INDEX(Daten!$N$7:$N$429,MATCH('2'!B214,Daten!$A$7:$A$429,0))</f>
        <v>199714135</v>
      </c>
      <c r="H214" s="135">
        <f>INDEX(Daten!$P$7:$P$429,MATCH('2'!B214,Daten!$A$7:$A$429,0))</f>
        <v>85666579</v>
      </c>
      <c r="I214" s="135">
        <f>INDEX(Daten!$L$7:$L$429,MATCH('2'!B214,Daten!$A$7:$A$429,0))</f>
        <v>58042582</v>
      </c>
      <c r="J214" s="135">
        <f>INDEX(Daten!$K$7:$K$429,MATCH('2'!B214,Daten!$A$7:$A$429,0))</f>
        <v>71789029</v>
      </c>
      <c r="K214" s="135">
        <f>INDEX(Daten!$O$7:$O$429,MATCH('2'!B214,Daten!$A$7:$A$429,0))</f>
        <v>4618364</v>
      </c>
      <c r="L214" s="151">
        <f>INDEX(Daten!$Q$7:$Q$429,MATCH('2'!B214,Daten!$A$7:$A$429,0))</f>
        <v>9594865</v>
      </c>
    </row>
    <row r="215" spans="1:12" ht="15" customHeight="1">
      <c r="A215" s="172" t="str">
        <f>Daten!C208</f>
        <v>JC Steinfurt</v>
      </c>
      <c r="B215" s="214" t="str">
        <f>Daten!A208</f>
        <v>37710</v>
      </c>
      <c r="C215" s="172" t="str">
        <f>Daten!F208</f>
        <v>05</v>
      </c>
      <c r="D215" s="145" t="str">
        <f>Daten!E208</f>
        <v>IId</v>
      </c>
      <c r="E215" s="282">
        <f>INDEX(Daten!$R$7:$R$429,MATCH('2'!B215,Daten!$A$7:$A$429,0))</f>
        <v>223865542</v>
      </c>
      <c r="F215" s="175">
        <f>INDEX(Daten!$M$7:$M$429,MATCH('2'!B215,Daten!$A$7:$A$429,0))</f>
        <v>91154524</v>
      </c>
      <c r="G215" s="135">
        <f>INDEX(Daten!$N$7:$N$429,MATCH('2'!B215,Daten!$A$7:$A$429,0))</f>
        <v>62462420</v>
      </c>
      <c r="H215" s="135">
        <f>INDEX(Daten!$P$7:$P$429,MATCH('2'!B215,Daten!$A$7:$A$429,0))</f>
        <v>30273649</v>
      </c>
      <c r="I215" s="135">
        <f>INDEX(Daten!$L$7:$L$429,MATCH('2'!B215,Daten!$A$7:$A$429,0))</f>
        <v>11275806</v>
      </c>
      <c r="J215" s="135">
        <f>INDEX(Daten!$K$7:$K$429,MATCH('2'!B215,Daten!$A$7:$A$429,0))</f>
        <v>27081069</v>
      </c>
      <c r="K215" s="135">
        <f>INDEX(Daten!$O$7:$O$429,MATCH('2'!B215,Daten!$A$7:$A$429,0))</f>
        <v>1618074</v>
      </c>
      <c r="L215" s="151">
        <f>INDEX(Daten!$Q$7:$Q$429,MATCH('2'!B215,Daten!$A$7:$A$429,0))</f>
        <v>5396962</v>
      </c>
    </row>
    <row r="216" spans="1:12" ht="15" customHeight="1">
      <c r="A216" s="172" t="str">
        <f>Daten!C209</f>
        <v>JC Siegen-Wittgenstein</v>
      </c>
      <c r="B216" s="214" t="str">
        <f>Daten!A209</f>
        <v>38102</v>
      </c>
      <c r="C216" s="172" t="str">
        <f>Daten!F209</f>
        <v>05</v>
      </c>
      <c r="D216" s="145" t="str">
        <f>Daten!E209</f>
        <v>IId</v>
      </c>
      <c r="E216" s="282">
        <f>INDEX(Daten!$R$7:$R$429,MATCH('2'!B216,Daten!$A$7:$A$429,0))</f>
        <v>184868673.15000001</v>
      </c>
      <c r="F216" s="175">
        <f>INDEX(Daten!$M$7:$M$429,MATCH('2'!B216,Daten!$A$7:$A$429,0))</f>
        <v>74669742</v>
      </c>
      <c r="G216" s="135">
        <f>INDEX(Daten!$N$7:$N$429,MATCH('2'!B216,Daten!$A$7:$A$429,0))</f>
        <v>53011619.720000006</v>
      </c>
      <c r="H216" s="135">
        <f>INDEX(Daten!$P$7:$P$429,MATCH('2'!B216,Daten!$A$7:$A$429,0))</f>
        <v>23673649.780000001</v>
      </c>
      <c r="I216" s="135">
        <f>INDEX(Daten!$L$7:$L$429,MATCH('2'!B216,Daten!$A$7:$A$429,0))</f>
        <v>12605416.899999999</v>
      </c>
      <c r="J216" s="135">
        <f>INDEX(Daten!$K$7:$K$429,MATCH('2'!B216,Daten!$A$7:$A$429,0))</f>
        <v>19214565.020000003</v>
      </c>
      <c r="K216" s="135">
        <f>INDEX(Daten!$O$7:$O$429,MATCH('2'!B216,Daten!$A$7:$A$429,0))</f>
        <v>1693679.73</v>
      </c>
      <c r="L216" s="151">
        <f>INDEX(Daten!$Q$7:$Q$429,MATCH('2'!B216,Daten!$A$7:$A$429,0))</f>
        <v>3595453.71</v>
      </c>
    </row>
    <row r="217" spans="1:12" ht="15" customHeight="1">
      <c r="A217" s="172" t="str">
        <f>Daten!C210</f>
        <v>JC Olpe</v>
      </c>
      <c r="B217" s="214" t="str">
        <f>Daten!A210</f>
        <v>38104</v>
      </c>
      <c r="C217" s="172" t="str">
        <f>Daten!F210</f>
        <v>05</v>
      </c>
      <c r="D217" s="145" t="str">
        <f>Daten!E210</f>
        <v>Id</v>
      </c>
      <c r="E217" s="282">
        <f>INDEX(Daten!$R$7:$R$429,MATCH('2'!B217,Daten!$A$7:$A$429,0))</f>
        <v>53889089.32</v>
      </c>
      <c r="F217" s="175">
        <f>INDEX(Daten!$M$7:$M$429,MATCH('2'!B217,Daten!$A$7:$A$429,0))</f>
        <v>23434434.929999996</v>
      </c>
      <c r="G217" s="135">
        <f>INDEX(Daten!$N$7:$N$429,MATCH('2'!B217,Daten!$A$7:$A$429,0))</f>
        <v>14458119.690000003</v>
      </c>
      <c r="H217" s="135">
        <f>INDEX(Daten!$P$7:$P$429,MATCH('2'!B217,Daten!$A$7:$A$429,0))</f>
        <v>7294171.7899999991</v>
      </c>
      <c r="I217" s="135">
        <f>INDEX(Daten!$L$7:$L$429,MATCH('2'!B217,Daten!$A$7:$A$429,0))</f>
        <v>2384109.9900000002</v>
      </c>
      <c r="J217" s="135">
        <f>INDEX(Daten!$K$7:$K$429,MATCH('2'!B217,Daten!$A$7:$A$429,0))</f>
        <v>6113111.8900000006</v>
      </c>
      <c r="K217" s="135">
        <f>INDEX(Daten!$O$7:$O$429,MATCH('2'!B217,Daten!$A$7:$A$429,0))</f>
        <v>205141.03</v>
      </c>
      <c r="L217" s="151">
        <f>INDEX(Daten!$Q$7:$Q$429,MATCH('2'!B217,Daten!$A$7:$A$429,0))</f>
        <v>687160.97999999986</v>
      </c>
    </row>
    <row r="218" spans="1:12" ht="15" customHeight="1">
      <c r="A218" s="172" t="str">
        <f>Daten!C211</f>
        <v>JC Soest</v>
      </c>
      <c r="B218" s="214" t="str">
        <f>Daten!A211</f>
        <v>38302</v>
      </c>
      <c r="C218" s="172" t="str">
        <f>Daten!F211</f>
        <v>05</v>
      </c>
      <c r="D218" s="145" t="str">
        <f>Daten!E211</f>
        <v>IId</v>
      </c>
      <c r="E218" s="282">
        <f>INDEX(Daten!$R$7:$R$429,MATCH('2'!B218,Daten!$A$7:$A$429,0))</f>
        <v>177643263.44999999</v>
      </c>
      <c r="F218" s="175">
        <f>INDEX(Daten!$M$7:$M$429,MATCH('2'!B218,Daten!$A$7:$A$429,0))</f>
        <v>72451244.549999982</v>
      </c>
      <c r="G218" s="135">
        <f>INDEX(Daten!$N$7:$N$429,MATCH('2'!B218,Daten!$A$7:$A$429,0))</f>
        <v>49494444.649999999</v>
      </c>
      <c r="H218" s="135">
        <f>INDEX(Daten!$P$7:$P$429,MATCH('2'!B218,Daten!$A$7:$A$429,0))</f>
        <v>23457965.710000001</v>
      </c>
      <c r="I218" s="135">
        <f>INDEX(Daten!$L$7:$L$429,MATCH('2'!B218,Daten!$A$7:$A$429,0))</f>
        <v>10572399.24</v>
      </c>
      <c r="J218" s="135">
        <f>INDEX(Daten!$K$7:$K$429,MATCH('2'!B218,Daten!$A$7:$A$429,0))</f>
        <v>21079430.520000003</v>
      </c>
      <c r="K218" s="135">
        <f>INDEX(Daten!$O$7:$O$429,MATCH('2'!B218,Daten!$A$7:$A$429,0))</f>
        <v>587778.78</v>
      </c>
      <c r="L218" s="151">
        <f>INDEX(Daten!$Q$7:$Q$429,MATCH('2'!B218,Daten!$A$7:$A$429,0))</f>
        <v>2383131.44</v>
      </c>
    </row>
    <row r="219" spans="1:12" ht="15" customHeight="1">
      <c r="A219" s="172" t="str">
        <f>Daten!C212</f>
        <v>JC Hochsauerlandkreis</v>
      </c>
      <c r="B219" s="214" t="str">
        <f>Daten!A212</f>
        <v>38340</v>
      </c>
      <c r="C219" s="172" t="str">
        <f>Daten!F212</f>
        <v>05</v>
      </c>
      <c r="D219" s="145" t="str">
        <f>Daten!E212</f>
        <v>IId</v>
      </c>
      <c r="E219" s="282">
        <f>INDEX(Daten!$R$7:$R$429,MATCH('2'!B219,Daten!$A$7:$A$429,0))</f>
        <v>128499688</v>
      </c>
      <c r="F219" s="175">
        <f>INDEX(Daten!$M$7:$M$429,MATCH('2'!B219,Daten!$A$7:$A$429,0))</f>
        <v>53135817</v>
      </c>
      <c r="G219" s="135">
        <f>INDEX(Daten!$N$7:$N$429,MATCH('2'!B219,Daten!$A$7:$A$429,0))</f>
        <v>33949359</v>
      </c>
      <c r="H219" s="135">
        <f>INDEX(Daten!$P$7:$P$429,MATCH('2'!B219,Daten!$A$7:$A$429,0))</f>
        <v>16940002</v>
      </c>
      <c r="I219" s="135">
        <f>INDEX(Daten!$L$7:$L$429,MATCH('2'!B219,Daten!$A$7:$A$429,0))</f>
        <v>8774296</v>
      </c>
      <c r="J219" s="135">
        <f>INDEX(Daten!$K$7:$K$429,MATCH('2'!B219,Daten!$A$7:$A$429,0))</f>
        <v>15150828</v>
      </c>
      <c r="K219" s="135">
        <f>INDEX(Daten!$O$7:$O$429,MATCH('2'!B219,Daten!$A$7:$A$429,0))</f>
        <v>549386</v>
      </c>
      <c r="L219" s="151">
        <f>INDEX(Daten!$Q$7:$Q$429,MATCH('2'!B219,Daten!$A$7:$A$429,0))</f>
        <v>1945270</v>
      </c>
    </row>
    <row r="220" spans="1:12" ht="15" customHeight="1">
      <c r="A220" s="172" t="str">
        <f>Daten!C213</f>
        <v>JC Wesel</v>
      </c>
      <c r="B220" s="214" t="str">
        <f>Daten!A213</f>
        <v>38702</v>
      </c>
      <c r="C220" s="172" t="str">
        <f>Daten!F213</f>
        <v>05</v>
      </c>
      <c r="D220" s="145" t="str">
        <f>Daten!E213</f>
        <v>IId</v>
      </c>
      <c r="E220" s="282">
        <f>INDEX(Daten!$R$7:$R$429,MATCH('2'!B220,Daten!$A$7:$A$429,0))</f>
        <v>325446228.52000004</v>
      </c>
      <c r="F220" s="175">
        <f>INDEX(Daten!$M$7:$M$429,MATCH('2'!B220,Daten!$A$7:$A$429,0))</f>
        <v>132429419.77</v>
      </c>
      <c r="G220" s="135">
        <f>INDEX(Daten!$N$7:$N$429,MATCH('2'!B220,Daten!$A$7:$A$429,0))</f>
        <v>89222658.640000015</v>
      </c>
      <c r="H220" s="135">
        <f>INDEX(Daten!$P$7:$P$429,MATCH('2'!B220,Daten!$A$7:$A$429,0))</f>
        <v>43180261.680000007</v>
      </c>
      <c r="I220" s="135">
        <f>INDEX(Daten!$L$7:$L$429,MATCH('2'!B220,Daten!$A$7:$A$429,0))</f>
        <v>22238824.360000003</v>
      </c>
      <c r="J220" s="135">
        <f>INDEX(Daten!$K$7:$K$429,MATCH('2'!B220,Daten!$A$7:$A$429,0))</f>
        <v>37181765.420000002</v>
      </c>
      <c r="K220" s="135">
        <f>INDEX(Daten!$O$7:$O$429,MATCH('2'!B220,Daten!$A$7:$A$429,0))</f>
        <v>1193298.6499999999</v>
      </c>
      <c r="L220" s="151">
        <f>INDEX(Daten!$Q$7:$Q$429,MATCH('2'!B220,Daten!$A$7:$A$429,0))</f>
        <v>8414558.9300000016</v>
      </c>
    </row>
    <row r="221" spans="1:12" ht="15" customHeight="1">
      <c r="A221" s="172" t="str">
        <f>Daten!C214</f>
        <v>JC Kleve</v>
      </c>
      <c r="B221" s="214" t="str">
        <f>Daten!A214</f>
        <v>38704</v>
      </c>
      <c r="C221" s="172" t="str">
        <f>Daten!F214</f>
        <v>05</v>
      </c>
      <c r="D221" s="145" t="str">
        <f>Daten!E214</f>
        <v>IIc</v>
      </c>
      <c r="E221" s="282">
        <f>INDEX(Daten!$R$7:$R$429,MATCH('2'!B221,Daten!$A$7:$A$429,0))</f>
        <v>173981728</v>
      </c>
      <c r="F221" s="175">
        <f>INDEX(Daten!$M$7:$M$429,MATCH('2'!B221,Daten!$A$7:$A$429,0))</f>
        <v>71353093</v>
      </c>
      <c r="G221" s="135">
        <f>INDEX(Daten!$N$7:$N$429,MATCH('2'!B221,Daten!$A$7:$A$429,0))</f>
        <v>48584992</v>
      </c>
      <c r="H221" s="135">
        <f>INDEX(Daten!$P$7:$P$429,MATCH('2'!B221,Daten!$A$7:$A$429,0))</f>
        <v>24021711</v>
      </c>
      <c r="I221" s="135">
        <f>INDEX(Daten!$L$7:$L$429,MATCH('2'!B221,Daten!$A$7:$A$429,0))</f>
        <v>8518106</v>
      </c>
      <c r="J221" s="135">
        <f>INDEX(Daten!$K$7:$K$429,MATCH('2'!B221,Daten!$A$7:$A$429,0))</f>
        <v>20801323</v>
      </c>
      <c r="K221" s="135">
        <f>INDEX(Daten!$O$7:$O$429,MATCH('2'!B221,Daten!$A$7:$A$429,0))</f>
        <v>702503</v>
      </c>
      <c r="L221" s="151">
        <f>INDEX(Daten!$Q$7:$Q$429,MATCH('2'!B221,Daten!$A$7:$A$429,0))</f>
        <v>2174717</v>
      </c>
    </row>
    <row r="222" spans="1:12" ht="15" customHeight="1">
      <c r="A222" s="172" t="str">
        <f>Daten!C215</f>
        <v>JC Remscheid, Stadt</v>
      </c>
      <c r="B222" s="214" t="str">
        <f>Daten!A215</f>
        <v>39104</v>
      </c>
      <c r="C222" s="172" t="str">
        <f>Daten!F215</f>
        <v>05</v>
      </c>
      <c r="D222" s="145" t="str">
        <f>Daten!E215</f>
        <v>IIIc</v>
      </c>
      <c r="E222" s="282">
        <f>INDEX(Daten!$R$7:$R$429,MATCH('2'!B222,Daten!$A$7:$A$429,0))</f>
        <v>109291402.16999999</v>
      </c>
      <c r="F222" s="175">
        <f>INDEX(Daten!$M$7:$M$429,MATCH('2'!B222,Daten!$A$7:$A$429,0))</f>
        <v>43767960.659999989</v>
      </c>
      <c r="G222" s="135">
        <f>INDEX(Daten!$N$7:$N$429,MATCH('2'!B222,Daten!$A$7:$A$429,0))</f>
        <v>31382285.009999998</v>
      </c>
      <c r="H222" s="135">
        <f>INDEX(Daten!$P$7:$P$429,MATCH('2'!B222,Daten!$A$7:$A$429,0))</f>
        <v>14052852.6</v>
      </c>
      <c r="I222" s="135">
        <f>INDEX(Daten!$L$7:$L$429,MATCH('2'!B222,Daten!$A$7:$A$429,0))</f>
        <v>7174599.5</v>
      </c>
      <c r="J222" s="135">
        <f>INDEX(Daten!$K$7:$K$429,MATCH('2'!B222,Daten!$A$7:$A$429,0))</f>
        <v>12261633.950000001</v>
      </c>
      <c r="K222" s="135">
        <f>INDEX(Daten!$O$7:$O$429,MATCH('2'!B222,Daten!$A$7:$A$429,0))</f>
        <v>652070.45000000007</v>
      </c>
      <c r="L222" s="151">
        <f>INDEX(Daten!$Q$7:$Q$429,MATCH('2'!B222,Daten!$A$7:$A$429,0))</f>
        <v>1701012.96</v>
      </c>
    </row>
    <row r="223" spans="1:12" ht="15" customHeight="1">
      <c r="A223" s="172" t="str">
        <f>Daten!C216</f>
        <v>JC Solingen, Stadt</v>
      </c>
      <c r="B223" s="214" t="str">
        <f>Daten!A216</f>
        <v>39106</v>
      </c>
      <c r="C223" s="172" t="str">
        <f>Daten!F216</f>
        <v>05</v>
      </c>
      <c r="D223" s="145" t="str">
        <f>Daten!E216</f>
        <v>IIIc</v>
      </c>
      <c r="E223" s="282">
        <f>INDEX(Daten!$R$7:$R$429,MATCH('2'!B223,Daten!$A$7:$A$429,0))</f>
        <v>152898221</v>
      </c>
      <c r="F223" s="175">
        <f>INDEX(Daten!$M$7:$M$429,MATCH('2'!B223,Daten!$A$7:$A$429,0))</f>
        <v>58959809</v>
      </c>
      <c r="G223" s="135">
        <f>INDEX(Daten!$N$7:$N$429,MATCH('2'!B223,Daten!$A$7:$A$429,0))</f>
        <v>46284094</v>
      </c>
      <c r="H223" s="135">
        <f>INDEX(Daten!$P$7:$P$429,MATCH('2'!B223,Daten!$A$7:$A$429,0))</f>
        <v>19652625</v>
      </c>
      <c r="I223" s="135">
        <f>INDEX(Daten!$L$7:$L$429,MATCH('2'!B223,Daten!$A$7:$A$429,0))</f>
        <v>10455184</v>
      </c>
      <c r="J223" s="135">
        <f>INDEX(Daten!$K$7:$K$429,MATCH('2'!B223,Daten!$A$7:$A$429,0))</f>
        <v>17043030</v>
      </c>
      <c r="K223" s="135">
        <f>INDEX(Daten!$O$7:$O$429,MATCH('2'!B223,Daten!$A$7:$A$429,0))</f>
        <v>503479</v>
      </c>
      <c r="L223" s="151">
        <f>INDEX(Daten!$Q$7:$Q$429,MATCH('2'!B223,Daten!$A$7:$A$429,0))</f>
        <v>3260795</v>
      </c>
    </row>
    <row r="224" spans="1:12" ht="15" customHeight="1">
      <c r="A224" s="172" t="str">
        <f>Daten!C217</f>
        <v>JC Wuppertal, Stadt</v>
      </c>
      <c r="B224" s="214" t="str">
        <f>Daten!A217</f>
        <v>39148</v>
      </c>
      <c r="C224" s="172" t="str">
        <f>Daten!F217</f>
        <v>05</v>
      </c>
      <c r="D224" s="145" t="str">
        <f>Daten!E217</f>
        <v>IIIc</v>
      </c>
      <c r="E224" s="282">
        <f>INDEX(Daten!$R$7:$R$429,MATCH('2'!B224,Daten!$A$7:$A$429,0))</f>
        <v>492025113</v>
      </c>
      <c r="F224" s="175">
        <f>INDEX(Daten!$M$7:$M$429,MATCH('2'!B224,Daten!$A$7:$A$429,0))</f>
        <v>191772215</v>
      </c>
      <c r="G224" s="135">
        <f>INDEX(Daten!$N$7:$N$429,MATCH('2'!B224,Daten!$A$7:$A$429,0))</f>
        <v>153089446</v>
      </c>
      <c r="H224" s="135">
        <f>INDEX(Daten!$P$7:$P$429,MATCH('2'!B224,Daten!$A$7:$A$429,0))</f>
        <v>58960816</v>
      </c>
      <c r="I224" s="135">
        <f>INDEX(Daten!$L$7:$L$429,MATCH('2'!B224,Daten!$A$7:$A$429,0))</f>
        <v>39171752</v>
      </c>
      <c r="J224" s="135">
        <f>INDEX(Daten!$K$7:$K$429,MATCH('2'!B224,Daten!$A$7:$A$429,0))</f>
        <v>47184874</v>
      </c>
      <c r="K224" s="135">
        <f>INDEX(Daten!$O$7:$O$429,MATCH('2'!B224,Daten!$A$7:$A$429,0))</f>
        <v>1846010</v>
      </c>
      <c r="L224" s="151">
        <f>INDEX(Daten!$Q$7:$Q$429,MATCH('2'!B224,Daten!$A$7:$A$429,0))</f>
        <v>8127765</v>
      </c>
    </row>
    <row r="225" spans="1:12" ht="15" customHeight="1">
      <c r="A225" s="172" t="str">
        <f>Daten!C218</f>
        <v>JC Hersfeld-Rotenburg</v>
      </c>
      <c r="B225" s="214" t="str">
        <f>Daten!A218</f>
        <v>41102</v>
      </c>
      <c r="C225" s="172" t="str">
        <f>Daten!F218</f>
        <v>06</v>
      </c>
      <c r="D225" s="145" t="str">
        <f>Daten!E218</f>
        <v>Ie</v>
      </c>
      <c r="E225" s="282" t="str">
        <f>INDEX(Daten!$R$7:$R$429,MATCH('2'!B225,Daten!$A$7:$A$429,0))</f>
        <v>.</v>
      </c>
      <c r="F225" s="175">
        <f>INDEX(Daten!$M$7:$M$429,MATCH('2'!B225,Daten!$A$7:$A$429,0))</f>
        <v>22122763</v>
      </c>
      <c r="G225" s="135">
        <f>INDEX(Daten!$N$7:$N$429,MATCH('2'!B225,Daten!$A$7:$A$429,0))</f>
        <v>15068785</v>
      </c>
      <c r="H225" s="135" t="str">
        <f>INDEX(Daten!$P$7:$P$429,MATCH('2'!B225,Daten!$A$7:$A$429,0))</f>
        <v>.</v>
      </c>
      <c r="I225" s="135">
        <f>INDEX(Daten!$L$7:$L$429,MATCH('2'!B225,Daten!$A$7:$A$429,0))</f>
        <v>1208747</v>
      </c>
      <c r="J225" s="135">
        <f>INDEX(Daten!$K$7:$K$429,MATCH('2'!B225,Daten!$A$7:$A$429,0))</f>
        <v>7875801</v>
      </c>
      <c r="K225" s="135">
        <f>INDEX(Daten!$O$7:$O$429,MATCH('2'!B225,Daten!$A$7:$A$429,0))</f>
        <v>181654</v>
      </c>
      <c r="L225" s="151">
        <f>INDEX(Daten!$Q$7:$Q$429,MATCH('2'!B225,Daten!$A$7:$A$429,0))</f>
        <v>583027</v>
      </c>
    </row>
    <row r="226" spans="1:12" ht="15" customHeight="1">
      <c r="A226" s="172" t="str">
        <f>Daten!C219</f>
        <v>JC Fulda</v>
      </c>
      <c r="B226" s="214" t="str">
        <f>Daten!A219</f>
        <v>41110</v>
      </c>
      <c r="C226" s="172" t="str">
        <f>Daten!F219</f>
        <v>06</v>
      </c>
      <c r="D226" s="145" t="str">
        <f>Daten!E219</f>
        <v>Id</v>
      </c>
      <c r="E226" s="282">
        <f>INDEX(Daten!$R$7:$R$429,MATCH('2'!B226,Daten!$A$7:$A$429,0))</f>
        <v>96486173</v>
      </c>
      <c r="F226" s="175">
        <f>INDEX(Daten!$M$7:$M$429,MATCH('2'!B226,Daten!$A$7:$A$429,0))</f>
        <v>37470577</v>
      </c>
      <c r="G226" s="135">
        <f>INDEX(Daten!$N$7:$N$429,MATCH('2'!B226,Daten!$A$7:$A$429,0))</f>
        <v>28017573</v>
      </c>
      <c r="H226" s="135">
        <f>INDEX(Daten!$P$7:$P$429,MATCH('2'!B226,Daten!$A$7:$A$429,0))</f>
        <v>12484800</v>
      </c>
      <c r="I226" s="135">
        <f>INDEX(Daten!$L$7:$L$429,MATCH('2'!B226,Daten!$A$7:$A$429,0))</f>
        <v>5010821</v>
      </c>
      <c r="J226" s="135">
        <f>INDEX(Daten!$K$7:$K$429,MATCH('2'!B226,Daten!$A$7:$A$429,0))</f>
        <v>12960661</v>
      </c>
      <c r="K226" s="135">
        <f>INDEX(Daten!$O$7:$O$429,MATCH('2'!B226,Daten!$A$7:$A$429,0))</f>
        <v>541741</v>
      </c>
      <c r="L226" s="151">
        <f>INDEX(Daten!$Q$7:$Q$429,MATCH('2'!B226,Daten!$A$7:$A$429,0))</f>
        <v>1362648</v>
      </c>
    </row>
    <row r="227" spans="1:12" ht="15" customHeight="1">
      <c r="A227" s="172" t="str">
        <f>Daten!C220</f>
        <v>JC Bergstraße</v>
      </c>
      <c r="B227" s="214" t="str">
        <f>Daten!A220</f>
        <v>41502</v>
      </c>
      <c r="C227" s="172" t="str">
        <f>Daten!F220</f>
        <v>06</v>
      </c>
      <c r="D227" s="145" t="str">
        <f>Daten!E220</f>
        <v>IId</v>
      </c>
      <c r="E227" s="282">
        <f>INDEX(Daten!$R$7:$R$429,MATCH('2'!B227,Daten!$A$7:$A$429,0))</f>
        <v>151203352</v>
      </c>
      <c r="F227" s="175">
        <f>INDEX(Daten!$M$7:$M$429,MATCH('2'!B227,Daten!$A$7:$A$429,0))</f>
        <v>57220583</v>
      </c>
      <c r="G227" s="135">
        <f>INDEX(Daten!$N$7:$N$429,MATCH('2'!B227,Daten!$A$7:$A$429,0))</f>
        <v>50038027</v>
      </c>
      <c r="H227" s="135">
        <f>INDEX(Daten!$P$7:$P$429,MATCH('2'!B227,Daten!$A$7:$A$429,0))</f>
        <v>18645308</v>
      </c>
      <c r="I227" s="135">
        <f>INDEX(Daten!$L$7:$L$429,MATCH('2'!B227,Daten!$A$7:$A$429,0))</f>
        <v>9967749</v>
      </c>
      <c r="J227" s="135">
        <f>INDEX(Daten!$K$7:$K$429,MATCH('2'!B227,Daten!$A$7:$A$429,0))</f>
        <v>14777721</v>
      </c>
      <c r="K227" s="135">
        <f>INDEX(Daten!$O$7:$O$429,MATCH('2'!B227,Daten!$A$7:$A$429,0))</f>
        <v>553964</v>
      </c>
      <c r="L227" s="151">
        <f>INDEX(Daten!$Q$7:$Q$429,MATCH('2'!B227,Daten!$A$7:$A$429,0))</f>
        <v>2003358</v>
      </c>
    </row>
    <row r="228" spans="1:12" ht="15" customHeight="1">
      <c r="A228" s="172" t="str">
        <f>Daten!C221</f>
        <v>JC Darmstadt-Dieburg</v>
      </c>
      <c r="B228" s="214" t="str">
        <f>Daten!A221</f>
        <v>41506</v>
      </c>
      <c r="C228" s="172" t="str">
        <f>Daten!F221</f>
        <v>06</v>
      </c>
      <c r="D228" s="145" t="str">
        <f>Daten!E221</f>
        <v>IId</v>
      </c>
      <c r="E228" s="282">
        <f>INDEX(Daten!$R$7:$R$429,MATCH('2'!B228,Daten!$A$7:$A$429,0))</f>
        <v>162894601</v>
      </c>
      <c r="F228" s="175">
        <f>INDEX(Daten!$M$7:$M$429,MATCH('2'!B228,Daten!$A$7:$A$429,0))</f>
        <v>62345686</v>
      </c>
      <c r="G228" s="135">
        <f>INDEX(Daten!$N$7:$N$429,MATCH('2'!B228,Daten!$A$7:$A$429,0))</f>
        <v>55202786</v>
      </c>
      <c r="H228" s="135">
        <f>INDEX(Daten!$P$7:$P$429,MATCH('2'!B228,Daten!$A$7:$A$429,0))</f>
        <v>19609992</v>
      </c>
      <c r="I228" s="135">
        <f>INDEX(Daten!$L$7:$L$429,MATCH('2'!B228,Daten!$A$7:$A$429,0))</f>
        <v>5888936</v>
      </c>
      <c r="J228" s="135">
        <f>INDEX(Daten!$K$7:$K$429,MATCH('2'!B228,Daten!$A$7:$A$429,0))</f>
        <v>19162259</v>
      </c>
      <c r="K228" s="135">
        <f>INDEX(Daten!$O$7:$O$429,MATCH('2'!B228,Daten!$A$7:$A$429,0))</f>
        <v>684942</v>
      </c>
      <c r="L228" s="151">
        <f>INDEX(Daten!$Q$7:$Q$429,MATCH('2'!B228,Daten!$A$7:$A$429,0))</f>
        <v>2038640</v>
      </c>
    </row>
    <row r="229" spans="1:12" ht="15" customHeight="1">
      <c r="A229" s="172" t="str">
        <f>Daten!C222</f>
        <v>JC Odenwaldkreis</v>
      </c>
      <c r="B229" s="214" t="str">
        <f>Daten!A222</f>
        <v>41508</v>
      </c>
      <c r="C229" s="172" t="str">
        <f>Daten!F222</f>
        <v>06</v>
      </c>
      <c r="D229" s="145" t="str">
        <f>Daten!E222</f>
        <v>IIa</v>
      </c>
      <c r="E229" s="282">
        <f>INDEX(Daten!$R$7:$R$429,MATCH('2'!B229,Daten!$A$7:$A$429,0))</f>
        <v>48213234</v>
      </c>
      <c r="F229" s="175">
        <f>INDEX(Daten!$M$7:$M$429,MATCH('2'!B229,Daten!$A$7:$A$429,0))</f>
        <v>18354427</v>
      </c>
      <c r="G229" s="135">
        <f>INDEX(Daten!$N$7:$N$429,MATCH('2'!B229,Daten!$A$7:$A$429,0))</f>
        <v>14887767</v>
      </c>
      <c r="H229" s="135">
        <f>INDEX(Daten!$P$7:$P$429,MATCH('2'!B229,Daten!$A$7:$A$429,0))</f>
        <v>6276507</v>
      </c>
      <c r="I229" s="135">
        <f>INDEX(Daten!$L$7:$L$429,MATCH('2'!B229,Daten!$A$7:$A$429,0))</f>
        <v>2337374</v>
      </c>
      <c r="J229" s="135">
        <f>INDEX(Daten!$K$7:$K$429,MATCH('2'!B229,Daten!$A$7:$A$429,0))</f>
        <v>6340527</v>
      </c>
      <c r="K229" s="135">
        <f>INDEX(Daten!$O$7:$O$429,MATCH('2'!B229,Daten!$A$7:$A$429,0))</f>
        <v>16632</v>
      </c>
      <c r="L229" s="151">
        <f>INDEX(Daten!$Q$7:$Q$429,MATCH('2'!B229,Daten!$A$7:$A$429,0))</f>
        <v>590389</v>
      </c>
    </row>
    <row r="230" spans="1:12" ht="15" customHeight="1">
      <c r="A230" s="172" t="str">
        <f>Daten!C223</f>
        <v>JC Darmstadt, Wissenschaftsstadt</v>
      </c>
      <c r="B230" s="214" t="str">
        <f>Daten!A223</f>
        <v>41512</v>
      </c>
      <c r="C230" s="172" t="str">
        <f>Daten!F223</f>
        <v>06</v>
      </c>
      <c r="D230" s="145" t="str">
        <f>Daten!E223</f>
        <v>IIe</v>
      </c>
      <c r="E230" s="282">
        <f>INDEX(Daten!$R$7:$R$429,MATCH('2'!B230,Daten!$A$7:$A$429,0))</f>
        <v>147686658.37</v>
      </c>
      <c r="F230" s="175">
        <f>INDEX(Daten!$M$7:$M$429,MATCH('2'!B230,Daten!$A$7:$A$429,0))</f>
        <v>53288215.640000015</v>
      </c>
      <c r="G230" s="135">
        <f>INDEX(Daten!$N$7:$N$429,MATCH('2'!B230,Daten!$A$7:$A$429,0))</f>
        <v>52061727.790000007</v>
      </c>
      <c r="H230" s="135">
        <f>INDEX(Daten!$P$7:$P$429,MATCH('2'!B230,Daten!$A$7:$A$429,0))</f>
        <v>17471569.019999996</v>
      </c>
      <c r="I230" s="135">
        <f>INDEX(Daten!$L$7:$L$429,MATCH('2'!B230,Daten!$A$7:$A$429,0))</f>
        <v>6875623.0000000009</v>
      </c>
      <c r="J230" s="135">
        <f>INDEX(Daten!$K$7:$K$429,MATCH('2'!B230,Daten!$A$7:$A$429,0))</f>
        <v>16628575.600000001</v>
      </c>
      <c r="K230" s="135">
        <f>INDEX(Daten!$O$7:$O$429,MATCH('2'!B230,Daten!$A$7:$A$429,0))</f>
        <v>1360947.3200000003</v>
      </c>
      <c r="L230" s="151">
        <f>INDEX(Daten!$Q$7:$Q$429,MATCH('2'!B230,Daten!$A$7:$A$429,0))</f>
        <v>558476.09999999986</v>
      </c>
    </row>
    <row r="231" spans="1:12" ht="15" customHeight="1">
      <c r="A231" s="172" t="str">
        <f>Daten!C224</f>
        <v>JC Frankfurt am Main, Stadt</v>
      </c>
      <c r="B231" s="214" t="str">
        <f>Daten!A224</f>
        <v>41920</v>
      </c>
      <c r="C231" s="172" t="str">
        <f>Daten!F224</f>
        <v>06</v>
      </c>
      <c r="D231" s="145" t="str">
        <f>Daten!E224</f>
        <v>IIe</v>
      </c>
      <c r="E231" s="282">
        <f>INDEX(Daten!$R$7:$R$429,MATCH('2'!B231,Daten!$A$7:$A$429,0))</f>
        <v>661283059.5200001</v>
      </c>
      <c r="F231" s="175">
        <f>INDEX(Daten!$M$7:$M$429,MATCH('2'!B231,Daten!$A$7:$A$429,0))</f>
        <v>235747423.02000004</v>
      </c>
      <c r="G231" s="135">
        <f>INDEX(Daten!$N$7:$N$429,MATCH('2'!B231,Daten!$A$7:$A$429,0))</f>
        <v>227149817.91000003</v>
      </c>
      <c r="H231" s="135">
        <f>INDEX(Daten!$P$7:$P$429,MATCH('2'!B231,Daten!$A$7:$A$429,0))</f>
        <v>80025481.159999996</v>
      </c>
      <c r="I231" s="135">
        <f>INDEX(Daten!$L$7:$L$429,MATCH('2'!B231,Daten!$A$7:$A$429,0))</f>
        <v>30051455.699999999</v>
      </c>
      <c r="J231" s="135">
        <f>INDEX(Daten!$K$7:$K$429,MATCH('2'!B231,Daten!$A$7:$A$429,0))</f>
        <v>84809634.289999992</v>
      </c>
      <c r="K231" s="135">
        <f>INDEX(Daten!$O$7:$O$429,MATCH('2'!B231,Daten!$A$7:$A$429,0))</f>
        <v>3499247.44</v>
      </c>
      <c r="L231" s="151">
        <f>INDEX(Daten!$Q$7:$Q$429,MATCH('2'!B231,Daten!$A$7:$A$429,0))</f>
        <v>6453984.2600000007</v>
      </c>
    </row>
    <row r="232" spans="1:12" ht="15" customHeight="1">
      <c r="A232" s="172" t="str">
        <f>Daten!C225</f>
        <v>JC Gießen</v>
      </c>
      <c r="B232" s="214" t="str">
        <f>Daten!A225</f>
        <v>42702</v>
      </c>
      <c r="C232" s="172" t="str">
        <f>Daten!F225</f>
        <v>06</v>
      </c>
      <c r="D232" s="145" t="str">
        <f>Daten!E225</f>
        <v>IId</v>
      </c>
      <c r="E232" s="282">
        <f>INDEX(Daten!$R$7:$R$429,MATCH('2'!B232,Daten!$A$7:$A$429,0))</f>
        <v>227965828.16000003</v>
      </c>
      <c r="F232" s="175">
        <f>INDEX(Daten!$M$7:$M$429,MATCH('2'!B232,Daten!$A$7:$A$429,0))</f>
        <v>87231265.270000011</v>
      </c>
      <c r="G232" s="135">
        <f>INDEX(Daten!$N$7:$N$429,MATCH('2'!B232,Daten!$A$7:$A$429,0))</f>
        <v>74666555.670000002</v>
      </c>
      <c r="H232" s="135">
        <f>INDEX(Daten!$P$7:$P$429,MATCH('2'!B232,Daten!$A$7:$A$429,0))</f>
        <v>28432038.589999989</v>
      </c>
      <c r="I232" s="135">
        <f>INDEX(Daten!$L$7:$L$429,MATCH('2'!B232,Daten!$A$7:$A$429,0))</f>
        <v>13945631.060000001</v>
      </c>
      <c r="J232" s="135">
        <f>INDEX(Daten!$K$7:$K$429,MATCH('2'!B232,Daten!$A$7:$A$429,0))</f>
        <v>22103121.140000001</v>
      </c>
      <c r="K232" s="135">
        <f>INDEX(Daten!$O$7:$O$429,MATCH('2'!B232,Daten!$A$7:$A$429,0))</f>
        <v>1587216.43</v>
      </c>
      <c r="L232" s="151">
        <f>INDEX(Daten!$Q$7:$Q$429,MATCH('2'!B232,Daten!$A$7:$A$429,0))</f>
        <v>2979479.4699999997</v>
      </c>
    </row>
    <row r="233" spans="1:12" ht="15" customHeight="1">
      <c r="A233" s="172" t="str">
        <f>Daten!C226</f>
        <v>JC Vogelsbergkreis</v>
      </c>
      <c r="B233" s="214" t="str">
        <f>Daten!A226</f>
        <v>42704</v>
      </c>
      <c r="C233" s="172" t="str">
        <f>Daten!F226</f>
        <v>06</v>
      </c>
      <c r="D233" s="145" t="str">
        <f>Daten!E226</f>
        <v>IIa</v>
      </c>
      <c r="E233" s="282">
        <f>INDEX(Daten!$R$7:$R$429,MATCH('2'!B233,Daten!$A$7:$A$429,0))</f>
        <v>46944846</v>
      </c>
      <c r="F233" s="175">
        <f>INDEX(Daten!$M$7:$M$429,MATCH('2'!B233,Daten!$A$7:$A$429,0))</f>
        <v>19254943</v>
      </c>
      <c r="G233" s="135">
        <f>INDEX(Daten!$N$7:$N$429,MATCH('2'!B233,Daten!$A$7:$A$429,0))</f>
        <v>13597397</v>
      </c>
      <c r="H233" s="135">
        <f>INDEX(Daten!$P$7:$P$429,MATCH('2'!B233,Daten!$A$7:$A$429,0))</f>
        <v>6070133</v>
      </c>
      <c r="I233" s="135">
        <f>INDEX(Daten!$L$7:$L$429,MATCH('2'!B233,Daten!$A$7:$A$429,0))</f>
        <v>1264354</v>
      </c>
      <c r="J233" s="135">
        <f>INDEX(Daten!$K$7:$K$429,MATCH('2'!B233,Daten!$A$7:$A$429,0))</f>
        <v>6389272</v>
      </c>
      <c r="K233" s="135">
        <f>INDEX(Daten!$O$7:$O$429,MATCH('2'!B233,Daten!$A$7:$A$429,0))</f>
        <v>368747</v>
      </c>
      <c r="L233" s="151">
        <f>INDEX(Daten!$Q$7:$Q$429,MATCH('2'!B233,Daten!$A$7:$A$429,0))</f>
        <v>551882</v>
      </c>
    </row>
    <row r="234" spans="1:12" ht="15" customHeight="1">
      <c r="A234" s="172" t="str">
        <f>Daten!C227</f>
        <v>JC Wetteraukreis</v>
      </c>
      <c r="B234" s="214" t="str">
        <f>Daten!A227</f>
        <v>42708</v>
      </c>
      <c r="C234" s="172" t="str">
        <f>Daten!F227</f>
        <v>06</v>
      </c>
      <c r="D234" s="145" t="str">
        <f>Daten!E227</f>
        <v>IId</v>
      </c>
      <c r="E234" s="282">
        <f>INDEX(Daten!$R$7:$R$429,MATCH('2'!B234,Daten!$A$7:$A$429,0))</f>
        <v>157888742.38</v>
      </c>
      <c r="F234" s="175">
        <f>INDEX(Daten!$M$7:$M$429,MATCH('2'!B234,Daten!$A$7:$A$429,0))</f>
        <v>59944704.859999985</v>
      </c>
      <c r="G234" s="135">
        <f>INDEX(Daten!$N$7:$N$429,MATCH('2'!B234,Daten!$A$7:$A$429,0))</f>
        <v>50323940.57</v>
      </c>
      <c r="H234" s="135">
        <f>INDEX(Daten!$P$7:$P$429,MATCH('2'!B234,Daten!$A$7:$A$429,0))</f>
        <v>20161668.27</v>
      </c>
      <c r="I234" s="135">
        <f>INDEX(Daten!$L$7:$L$429,MATCH('2'!B234,Daten!$A$7:$A$429,0))</f>
        <v>10321974.640000002</v>
      </c>
      <c r="J234" s="135">
        <f>INDEX(Daten!$K$7:$K$429,MATCH('2'!B234,Daten!$A$7:$A$429,0))</f>
        <v>16466189.740000002</v>
      </c>
      <c r="K234" s="135">
        <f>INDEX(Daten!$O$7:$O$429,MATCH('2'!B234,Daten!$A$7:$A$429,0))</f>
        <v>670264.29999999993</v>
      </c>
      <c r="L234" s="151">
        <f>INDEX(Daten!$Q$7:$Q$429,MATCH('2'!B234,Daten!$A$7:$A$429,0))</f>
        <v>1646946.9099999997</v>
      </c>
    </row>
    <row r="235" spans="1:12" ht="15" customHeight="1">
      <c r="A235" s="172" t="str">
        <f>Daten!C228</f>
        <v>JC Main-Kinzig-Kreis</v>
      </c>
      <c r="B235" s="214" t="str">
        <f>Daten!A228</f>
        <v>43102</v>
      </c>
      <c r="C235" s="172" t="str">
        <f>Daten!F228</f>
        <v>06</v>
      </c>
      <c r="D235" s="145" t="str">
        <f>Daten!E228</f>
        <v>IId</v>
      </c>
      <c r="E235" s="282">
        <f>INDEX(Daten!$R$7:$R$429,MATCH('2'!B235,Daten!$A$7:$A$429,0))</f>
        <v>288953137</v>
      </c>
      <c r="F235" s="175">
        <f>INDEX(Daten!$M$7:$M$429,MATCH('2'!B235,Daten!$A$7:$A$429,0))</f>
        <v>112937844</v>
      </c>
      <c r="G235" s="135">
        <f>INDEX(Daten!$N$7:$N$429,MATCH('2'!B235,Daten!$A$7:$A$429,0))</f>
        <v>95737653</v>
      </c>
      <c r="H235" s="135">
        <f>INDEX(Daten!$P$7:$P$429,MATCH('2'!B235,Daten!$A$7:$A$429,0))</f>
        <v>33563757</v>
      </c>
      <c r="I235" s="135">
        <f>INDEX(Daten!$L$7:$L$429,MATCH('2'!B235,Daten!$A$7:$A$429,0))</f>
        <v>19847987</v>
      </c>
      <c r="J235" s="135">
        <f>INDEX(Daten!$K$7:$K$429,MATCH('2'!B235,Daten!$A$7:$A$429,0))</f>
        <v>25067652</v>
      </c>
      <c r="K235" s="135">
        <f>INDEX(Daten!$O$7:$O$429,MATCH('2'!B235,Daten!$A$7:$A$429,0))</f>
        <v>1798244</v>
      </c>
      <c r="L235" s="151">
        <f>INDEX(Daten!$Q$7:$Q$429,MATCH('2'!B235,Daten!$A$7:$A$429,0))</f>
        <v>2630848</v>
      </c>
    </row>
    <row r="236" spans="1:12" ht="15" customHeight="1">
      <c r="A236" s="172" t="str">
        <f>Daten!C229</f>
        <v>JC Hochtaunuskreis</v>
      </c>
      <c r="B236" s="214" t="str">
        <f>Daten!A229</f>
        <v>43302</v>
      </c>
      <c r="C236" s="172" t="str">
        <f>Daten!F229</f>
        <v>06</v>
      </c>
      <c r="D236" s="145" t="str">
        <f>Daten!E229</f>
        <v>IIe</v>
      </c>
      <c r="E236" s="282">
        <f>INDEX(Daten!$R$7:$R$429,MATCH('2'!B236,Daten!$A$7:$A$429,0))</f>
        <v>110665572</v>
      </c>
      <c r="F236" s="175">
        <f>INDEX(Daten!$M$7:$M$429,MATCH('2'!B236,Daten!$A$7:$A$429,0))</f>
        <v>42032662</v>
      </c>
      <c r="G236" s="135">
        <f>INDEX(Daten!$N$7:$N$429,MATCH('2'!B236,Daten!$A$7:$A$429,0))</f>
        <v>38332805</v>
      </c>
      <c r="H236" s="135">
        <f>INDEX(Daten!$P$7:$P$429,MATCH('2'!B236,Daten!$A$7:$A$429,0))</f>
        <v>14103192</v>
      </c>
      <c r="I236" s="135">
        <f>INDEX(Daten!$L$7:$L$429,MATCH('2'!B236,Daten!$A$7:$A$429,0))</f>
        <v>5366058</v>
      </c>
      <c r="J236" s="135">
        <f>INDEX(Daten!$K$7:$K$429,MATCH('2'!B236,Daten!$A$7:$A$429,0))</f>
        <v>10391686</v>
      </c>
      <c r="K236" s="135">
        <f>INDEX(Daten!$O$7:$O$429,MATCH('2'!B236,Daten!$A$7:$A$429,0))</f>
        <v>439169</v>
      </c>
      <c r="L236" s="151">
        <f>INDEX(Daten!$Q$7:$Q$429,MATCH('2'!B236,Daten!$A$7:$A$429,0))</f>
        <v>1491531</v>
      </c>
    </row>
    <row r="237" spans="1:12" ht="15" customHeight="1">
      <c r="A237" s="172" t="str">
        <f>Daten!C230</f>
        <v>JC Main-Taunus-Kreis</v>
      </c>
      <c r="B237" s="214" t="str">
        <f>Daten!A230</f>
        <v>43304</v>
      </c>
      <c r="C237" s="172" t="str">
        <f>Daten!F230</f>
        <v>06</v>
      </c>
      <c r="D237" s="145" t="str">
        <f>Daten!E230</f>
        <v>IIe</v>
      </c>
      <c r="E237" s="282">
        <f>INDEX(Daten!$R$7:$R$429,MATCH('2'!B237,Daten!$A$7:$A$429,0))</f>
        <v>131000663</v>
      </c>
      <c r="F237" s="175">
        <f>INDEX(Daten!$M$7:$M$429,MATCH('2'!B237,Daten!$A$7:$A$429,0))</f>
        <v>46780032</v>
      </c>
      <c r="G237" s="135">
        <f>INDEX(Daten!$N$7:$N$429,MATCH('2'!B237,Daten!$A$7:$A$429,0))</f>
        <v>52082556</v>
      </c>
      <c r="H237" s="135">
        <f>INDEX(Daten!$P$7:$P$429,MATCH('2'!B237,Daten!$A$7:$A$429,0))</f>
        <v>15074862</v>
      </c>
      <c r="I237" s="135">
        <f>INDEX(Daten!$L$7:$L$429,MATCH('2'!B237,Daten!$A$7:$A$429,0))</f>
        <v>5394194</v>
      </c>
      <c r="J237" s="135">
        <f>INDEX(Daten!$K$7:$K$429,MATCH('2'!B237,Daten!$A$7:$A$429,0))</f>
        <v>11174493</v>
      </c>
      <c r="K237" s="135">
        <f>INDEX(Daten!$O$7:$O$429,MATCH('2'!B237,Daten!$A$7:$A$429,0))</f>
        <v>494526</v>
      </c>
      <c r="L237" s="151">
        <f>INDEX(Daten!$Q$7:$Q$429,MATCH('2'!B237,Daten!$A$7:$A$429,0))</f>
        <v>1744389</v>
      </c>
    </row>
    <row r="238" spans="1:12" ht="15" customHeight="1">
      <c r="A238" s="172" t="str">
        <f>Daten!C231</f>
        <v>JC Groß-Gerau</v>
      </c>
      <c r="B238" s="214" t="str">
        <f>Daten!A231</f>
        <v>43306</v>
      </c>
      <c r="C238" s="172" t="str">
        <f>Daten!F231</f>
        <v>06</v>
      </c>
      <c r="D238" s="145" t="str">
        <f>Daten!E231</f>
        <v>IIe</v>
      </c>
      <c r="E238" s="282">
        <f>INDEX(Daten!$R$7:$R$429,MATCH('2'!B238,Daten!$A$7:$A$429,0))</f>
        <v>212855673</v>
      </c>
      <c r="F238" s="175">
        <f>INDEX(Daten!$M$7:$M$429,MATCH('2'!B238,Daten!$A$7:$A$429,0))</f>
        <v>75682625</v>
      </c>
      <c r="G238" s="135">
        <f>INDEX(Daten!$N$7:$N$429,MATCH('2'!B238,Daten!$A$7:$A$429,0))</f>
        <v>78568456</v>
      </c>
      <c r="H238" s="135">
        <f>INDEX(Daten!$P$7:$P$429,MATCH('2'!B238,Daten!$A$7:$A$429,0))</f>
        <v>25632636</v>
      </c>
      <c r="I238" s="135">
        <f>INDEX(Daten!$L$7:$L$429,MATCH('2'!B238,Daten!$A$7:$A$429,0))</f>
        <v>6679709</v>
      </c>
      <c r="J238" s="135">
        <f>INDEX(Daten!$K$7:$K$429,MATCH('2'!B238,Daten!$A$7:$A$429,0))</f>
        <v>25551145</v>
      </c>
      <c r="K238" s="135">
        <f>INDEX(Daten!$O$7:$O$429,MATCH('2'!B238,Daten!$A$7:$A$429,0))</f>
        <v>741102</v>
      </c>
      <c r="L238" s="151">
        <f>INDEX(Daten!$Q$7:$Q$429,MATCH('2'!B238,Daten!$A$7:$A$429,0))</f>
        <v>1894060</v>
      </c>
    </row>
    <row r="239" spans="1:12" ht="15" customHeight="1">
      <c r="A239" s="172" t="str">
        <f>Daten!C232</f>
        <v>JC Kassel, documenta-Stadt</v>
      </c>
      <c r="B239" s="214" t="str">
        <f>Daten!A232</f>
        <v>43502</v>
      </c>
      <c r="C239" s="172" t="str">
        <f>Daten!F232</f>
        <v>06</v>
      </c>
      <c r="D239" s="145" t="str">
        <f>Daten!E232</f>
        <v>IIIb</v>
      </c>
      <c r="E239" s="282">
        <f>INDEX(Daten!$R$7:$R$429,MATCH('2'!B239,Daten!$A$7:$A$429,0))</f>
        <v>240065339.25999999</v>
      </c>
      <c r="F239" s="175">
        <f>INDEX(Daten!$M$7:$M$429,MATCH('2'!B239,Daten!$A$7:$A$429,0))</f>
        <v>92139007.999999985</v>
      </c>
      <c r="G239" s="135">
        <f>INDEX(Daten!$N$7:$N$429,MATCH('2'!B239,Daten!$A$7:$A$429,0))</f>
        <v>71638960.550000012</v>
      </c>
      <c r="H239" s="135">
        <f>INDEX(Daten!$P$7:$P$429,MATCH('2'!B239,Daten!$A$7:$A$429,0))</f>
        <v>30506452.030000005</v>
      </c>
      <c r="I239" s="135">
        <f>INDEX(Daten!$L$7:$L$429,MATCH('2'!B239,Daten!$A$7:$A$429,0))</f>
        <v>17301967.579999998</v>
      </c>
      <c r="J239" s="135">
        <f>INDEX(Daten!$K$7:$K$429,MATCH('2'!B239,Daten!$A$7:$A$429,0))</f>
        <v>27342964.450000003</v>
      </c>
      <c r="K239" s="135">
        <f>INDEX(Daten!$O$7:$O$429,MATCH('2'!B239,Daten!$A$7:$A$429,0))</f>
        <v>1135986.6499999999</v>
      </c>
      <c r="L239" s="151">
        <f>INDEX(Daten!$Q$7:$Q$429,MATCH('2'!B239,Daten!$A$7:$A$429,0))</f>
        <v>4388687.1500000004</v>
      </c>
    </row>
    <row r="240" spans="1:12" ht="15" customHeight="1">
      <c r="A240" s="172" t="str">
        <f>Daten!C233</f>
        <v>JC Kassel</v>
      </c>
      <c r="B240" s="214" t="str">
        <f>Daten!A233</f>
        <v>43504</v>
      </c>
      <c r="C240" s="172" t="str">
        <f>Daten!F233</f>
        <v>06</v>
      </c>
      <c r="D240" s="145" t="str">
        <f>Daten!E233</f>
        <v>IId</v>
      </c>
      <c r="E240" s="282">
        <f>INDEX(Daten!$R$7:$R$429,MATCH('2'!B240,Daten!$A$7:$A$429,0))</f>
        <v>112469372.44000001</v>
      </c>
      <c r="F240" s="175">
        <f>INDEX(Daten!$M$7:$M$429,MATCH('2'!B240,Daten!$A$7:$A$429,0))</f>
        <v>45578622.499999993</v>
      </c>
      <c r="G240" s="135">
        <f>INDEX(Daten!$N$7:$N$429,MATCH('2'!B240,Daten!$A$7:$A$429,0))</f>
        <v>32226832.210000001</v>
      </c>
      <c r="H240" s="135">
        <f>INDEX(Daten!$P$7:$P$429,MATCH('2'!B240,Daten!$A$7:$A$429,0))</f>
        <v>14382969.540000003</v>
      </c>
      <c r="I240" s="135">
        <f>INDEX(Daten!$L$7:$L$429,MATCH('2'!B240,Daten!$A$7:$A$429,0))</f>
        <v>6570997.5399999991</v>
      </c>
      <c r="J240" s="135">
        <f>INDEX(Daten!$K$7:$K$429,MATCH('2'!B240,Daten!$A$7:$A$429,0))</f>
        <v>13255260.620000001</v>
      </c>
      <c r="K240" s="135">
        <f>INDEX(Daten!$O$7:$O$429,MATCH('2'!B240,Daten!$A$7:$A$429,0))</f>
        <v>454690.02999999997</v>
      </c>
      <c r="L240" s="151">
        <f>INDEX(Daten!$Q$7:$Q$429,MATCH('2'!B240,Daten!$A$7:$A$429,0))</f>
        <v>1490918.3700000003</v>
      </c>
    </row>
    <row r="241" spans="1:12" ht="15" customHeight="1">
      <c r="A241" s="172" t="str">
        <f>Daten!C234</f>
        <v>JC Werra-Meißner-Kreis</v>
      </c>
      <c r="B241" s="214" t="str">
        <f>Daten!A234</f>
        <v>43520</v>
      </c>
      <c r="C241" s="172" t="str">
        <f>Daten!F234</f>
        <v>06</v>
      </c>
      <c r="D241" s="145" t="str">
        <f>Daten!E234</f>
        <v>IIa</v>
      </c>
      <c r="E241" s="282">
        <f>INDEX(Daten!$R$7:$R$429,MATCH('2'!B241,Daten!$A$7:$A$429,0))</f>
        <v>54691004.119999997</v>
      </c>
      <c r="F241" s="175">
        <f>INDEX(Daten!$M$7:$M$429,MATCH('2'!B241,Daten!$A$7:$A$429,0))</f>
        <v>22360199.469999995</v>
      </c>
      <c r="G241" s="135">
        <f>INDEX(Daten!$N$7:$N$429,MATCH('2'!B241,Daten!$A$7:$A$429,0))</f>
        <v>13915323.629999999</v>
      </c>
      <c r="H241" s="135">
        <f>INDEX(Daten!$P$7:$P$429,MATCH('2'!B241,Daten!$A$7:$A$429,0))</f>
        <v>7290006.3400000017</v>
      </c>
      <c r="I241" s="135">
        <f>INDEX(Daten!$L$7:$L$429,MATCH('2'!B241,Daten!$A$7:$A$429,0))</f>
        <v>4007637.4699999997</v>
      </c>
      <c r="J241" s="135">
        <f>INDEX(Daten!$K$7:$K$429,MATCH('2'!B241,Daten!$A$7:$A$429,0))</f>
        <v>6756010.3200000003</v>
      </c>
      <c r="K241" s="135">
        <f>INDEX(Daten!$O$7:$O$429,MATCH('2'!B241,Daten!$A$7:$A$429,0))</f>
        <v>361826.88999999996</v>
      </c>
      <c r="L241" s="151">
        <f>INDEX(Daten!$Q$7:$Q$429,MATCH('2'!B241,Daten!$A$7:$A$429,0))</f>
        <v>645393.86</v>
      </c>
    </row>
    <row r="242" spans="1:12" ht="15" customHeight="1">
      <c r="A242" s="172" t="str">
        <f>Daten!C235</f>
        <v>JC Waldeck-Frankenberg</v>
      </c>
      <c r="B242" s="214" t="str">
        <f>Daten!A235</f>
        <v>43902</v>
      </c>
      <c r="C242" s="172" t="str">
        <f>Daten!F235</f>
        <v>06</v>
      </c>
      <c r="D242" s="145" t="str">
        <f>Daten!E235</f>
        <v>Ie</v>
      </c>
      <c r="E242" s="282">
        <f>INDEX(Daten!$R$7:$R$429,MATCH('2'!B242,Daten!$A$7:$A$429,0))</f>
        <v>73713140.260000005</v>
      </c>
      <c r="F242" s="175">
        <f>INDEX(Daten!$M$7:$M$429,MATCH('2'!B242,Daten!$A$7:$A$429,0))</f>
        <v>30048444.469999999</v>
      </c>
      <c r="G242" s="135">
        <f>INDEX(Daten!$N$7:$N$429,MATCH('2'!B242,Daten!$A$7:$A$429,0))</f>
        <v>21045032.199999999</v>
      </c>
      <c r="H242" s="135">
        <f>INDEX(Daten!$P$7:$P$429,MATCH('2'!B242,Daten!$A$7:$A$429,0))</f>
        <v>9431900.8699999992</v>
      </c>
      <c r="I242" s="135">
        <f>INDEX(Daten!$L$7:$L$429,MATCH('2'!B242,Daten!$A$7:$A$429,0))</f>
        <v>4143883.3200000003</v>
      </c>
      <c r="J242" s="135">
        <f>INDEX(Daten!$K$7:$K$429,MATCH('2'!B242,Daten!$A$7:$A$429,0))</f>
        <v>8635458.5999999996</v>
      </c>
      <c r="K242" s="135">
        <f>INDEX(Daten!$O$7:$O$429,MATCH('2'!B242,Daten!$A$7:$A$429,0))</f>
        <v>408420.8</v>
      </c>
      <c r="L242" s="151">
        <f>INDEX(Daten!$Q$7:$Q$429,MATCH('2'!B242,Daten!$A$7:$A$429,0))</f>
        <v>801847.2</v>
      </c>
    </row>
    <row r="243" spans="1:12" ht="15" customHeight="1">
      <c r="A243" s="172" t="str">
        <f>Daten!C236</f>
        <v>JC Schwalm-Eder-Kreis</v>
      </c>
      <c r="B243" s="214" t="str">
        <f>Daten!A236</f>
        <v>43904</v>
      </c>
      <c r="C243" s="172" t="str">
        <f>Daten!F236</f>
        <v>06</v>
      </c>
      <c r="D243" s="145" t="str">
        <f>Daten!E236</f>
        <v>IIa</v>
      </c>
      <c r="E243" s="282">
        <f>INDEX(Daten!$R$7:$R$429,MATCH('2'!B243,Daten!$A$7:$A$429,0))</f>
        <v>81508015.019999996</v>
      </c>
      <c r="F243" s="175">
        <f>INDEX(Daten!$M$7:$M$429,MATCH('2'!B243,Daten!$A$7:$A$429,0))</f>
        <v>34031131.450000003</v>
      </c>
      <c r="G243" s="135">
        <f>INDEX(Daten!$N$7:$N$429,MATCH('2'!B243,Daten!$A$7:$A$429,0))</f>
        <v>21983259.77</v>
      </c>
      <c r="H243" s="135">
        <f>INDEX(Daten!$P$7:$P$429,MATCH('2'!B243,Daten!$A$7:$A$429,0))</f>
        <v>10818892.800000001</v>
      </c>
      <c r="I243" s="135">
        <f>INDEX(Daten!$L$7:$L$429,MATCH('2'!B243,Daten!$A$7:$A$429,0))</f>
        <v>4227165.74</v>
      </c>
      <c r="J243" s="135">
        <f>INDEX(Daten!$K$7:$K$429,MATCH('2'!B243,Daten!$A$7:$A$429,0))</f>
        <v>9885304.8200000003</v>
      </c>
      <c r="K243" s="135">
        <f>INDEX(Daten!$O$7:$O$429,MATCH('2'!B243,Daten!$A$7:$A$429,0))</f>
        <v>562260.44000000006</v>
      </c>
      <c r="L243" s="151">
        <f>INDEX(Daten!$Q$7:$Q$429,MATCH('2'!B243,Daten!$A$7:$A$429,0))</f>
        <v>520677.29</v>
      </c>
    </row>
    <row r="244" spans="1:12" ht="15" customHeight="1">
      <c r="A244" s="172" t="str">
        <f>Daten!C237</f>
        <v>JC Limburg-Weilburg</v>
      </c>
      <c r="B244" s="214" t="str">
        <f>Daten!A237</f>
        <v>44302</v>
      </c>
      <c r="C244" s="172" t="str">
        <f>Daten!F237</f>
        <v>06</v>
      </c>
      <c r="D244" s="145" t="str">
        <f>Daten!E237</f>
        <v>IIc</v>
      </c>
      <c r="E244" s="282">
        <f>INDEX(Daten!$R$7:$R$429,MATCH('2'!B244,Daten!$A$7:$A$429,0))</f>
        <v>102679333.44</v>
      </c>
      <c r="F244" s="175">
        <f>INDEX(Daten!$M$7:$M$429,MATCH('2'!B244,Daten!$A$7:$A$429,0))</f>
        <v>40301523.5</v>
      </c>
      <c r="G244" s="135">
        <f>INDEX(Daten!$N$7:$N$429,MATCH('2'!B244,Daten!$A$7:$A$429,0))</f>
        <v>32124287.839999992</v>
      </c>
      <c r="H244" s="135">
        <f>INDEX(Daten!$P$7:$P$429,MATCH('2'!B244,Daten!$A$7:$A$429,0))</f>
        <v>13330221.440000001</v>
      </c>
      <c r="I244" s="135">
        <f>INDEX(Daten!$L$7:$L$429,MATCH('2'!B244,Daten!$A$7:$A$429,0))</f>
        <v>4973622.0699999994</v>
      </c>
      <c r="J244" s="135">
        <f>INDEX(Daten!$K$7:$K$429,MATCH('2'!B244,Daten!$A$7:$A$429,0))</f>
        <v>11285805.689999999</v>
      </c>
      <c r="K244" s="135">
        <f>INDEX(Daten!$O$7:$O$429,MATCH('2'!B244,Daten!$A$7:$A$429,0))</f>
        <v>663872.9</v>
      </c>
      <c r="L244" s="151">
        <f>INDEX(Daten!$Q$7:$Q$429,MATCH('2'!B244,Daten!$A$7:$A$429,0))</f>
        <v>1069875.6900000002</v>
      </c>
    </row>
    <row r="245" spans="1:12" ht="15" customHeight="1">
      <c r="A245" s="172" t="str">
        <f>Daten!C238</f>
        <v>JC Lahn-Dill-Kreis</v>
      </c>
      <c r="B245" s="214" t="str">
        <f>Daten!A238</f>
        <v>44304</v>
      </c>
      <c r="C245" s="172" t="str">
        <f>Daten!F238</f>
        <v>06</v>
      </c>
      <c r="D245" s="145" t="str">
        <f>Daten!E238</f>
        <v>IId</v>
      </c>
      <c r="E245" s="282">
        <f>INDEX(Daten!$R$7:$R$429,MATCH('2'!B245,Daten!$A$7:$A$429,0))</f>
        <v>176236178</v>
      </c>
      <c r="F245" s="175">
        <f>INDEX(Daten!$M$7:$M$429,MATCH('2'!B245,Daten!$A$7:$A$429,0))</f>
        <v>68959648</v>
      </c>
      <c r="G245" s="135">
        <f>INDEX(Daten!$N$7:$N$429,MATCH('2'!B245,Daten!$A$7:$A$429,0))</f>
        <v>54344782</v>
      </c>
      <c r="H245" s="135">
        <f>INDEX(Daten!$P$7:$P$429,MATCH('2'!B245,Daten!$A$7:$A$429,0))</f>
        <v>22630643</v>
      </c>
      <c r="I245" s="135">
        <f>INDEX(Daten!$L$7:$L$429,MATCH('2'!B245,Daten!$A$7:$A$429,0))</f>
        <v>8023521</v>
      </c>
      <c r="J245" s="135">
        <f>INDEX(Daten!$K$7:$K$429,MATCH('2'!B245,Daten!$A$7:$A$429,0))</f>
        <v>20997277</v>
      </c>
      <c r="K245" s="135">
        <f>INDEX(Daten!$O$7:$O$429,MATCH('2'!B245,Daten!$A$7:$A$429,0))</f>
        <v>1280307</v>
      </c>
      <c r="L245" s="151">
        <f>INDEX(Daten!$Q$7:$Q$429,MATCH('2'!B245,Daten!$A$7:$A$429,0))</f>
        <v>2189139</v>
      </c>
    </row>
    <row r="246" spans="1:12" ht="15" customHeight="1">
      <c r="A246" s="172" t="str">
        <f>Daten!C239</f>
        <v>JC Marburg-Biedenkopf</v>
      </c>
      <c r="B246" s="214" t="str">
        <f>Daten!A239</f>
        <v>44702</v>
      </c>
      <c r="C246" s="172" t="str">
        <f>Daten!F239</f>
        <v>06</v>
      </c>
      <c r="D246" s="145" t="str">
        <f>Daten!E239</f>
        <v>IId</v>
      </c>
      <c r="E246" s="282">
        <f>INDEX(Daten!$R$7:$R$429,MATCH('2'!B246,Daten!$A$7:$A$429,0))</f>
        <v>141517042</v>
      </c>
      <c r="F246" s="175">
        <f>INDEX(Daten!$M$7:$M$429,MATCH('2'!B246,Daten!$A$7:$A$429,0))</f>
        <v>54334471</v>
      </c>
      <c r="G246" s="135">
        <f>INDEX(Daten!$N$7:$N$429,MATCH('2'!B246,Daten!$A$7:$A$429,0))</f>
        <v>44992284</v>
      </c>
      <c r="H246" s="135">
        <f>INDEX(Daten!$P$7:$P$429,MATCH('2'!B246,Daten!$A$7:$A$429,0))</f>
        <v>18219119</v>
      </c>
      <c r="I246" s="135">
        <f>INDEX(Daten!$L$7:$L$429,MATCH('2'!B246,Daten!$A$7:$A$429,0))</f>
        <v>8976625</v>
      </c>
      <c r="J246" s="135">
        <f>INDEX(Daten!$K$7:$K$429,MATCH('2'!B246,Daten!$A$7:$A$429,0))</f>
        <v>14219278</v>
      </c>
      <c r="K246" s="135">
        <f>INDEX(Daten!$O$7:$O$429,MATCH('2'!B246,Daten!$A$7:$A$429,0))</f>
        <v>775265</v>
      </c>
      <c r="L246" s="151">
        <f>INDEX(Daten!$Q$7:$Q$429,MATCH('2'!B246,Daten!$A$7:$A$429,0))</f>
        <v>2050950</v>
      </c>
    </row>
    <row r="247" spans="1:12" ht="15" customHeight="1">
      <c r="A247" s="172" t="str">
        <f>Daten!C240</f>
        <v>JC Offenbach</v>
      </c>
      <c r="B247" s="214" t="str">
        <f>Daten!A240</f>
        <v>45108</v>
      </c>
      <c r="C247" s="172" t="str">
        <f>Daten!F240</f>
        <v>06</v>
      </c>
      <c r="D247" s="145" t="str">
        <f>Daten!E240</f>
        <v>IIe</v>
      </c>
      <c r="E247" s="282">
        <f>INDEX(Daten!$R$7:$R$429,MATCH('2'!B247,Daten!$A$7:$A$429,0))</f>
        <v>239055004</v>
      </c>
      <c r="F247" s="175">
        <f>INDEX(Daten!$M$7:$M$429,MATCH('2'!B247,Daten!$A$7:$A$429,0))</f>
        <v>86107046</v>
      </c>
      <c r="G247" s="135">
        <f>INDEX(Daten!$N$7:$N$429,MATCH('2'!B247,Daten!$A$7:$A$429,0))</f>
        <v>86249533</v>
      </c>
      <c r="H247" s="135">
        <f>INDEX(Daten!$P$7:$P$429,MATCH('2'!B247,Daten!$A$7:$A$429,0))</f>
        <v>27753819</v>
      </c>
      <c r="I247" s="135">
        <f>INDEX(Daten!$L$7:$L$429,MATCH('2'!B247,Daten!$A$7:$A$429,0))</f>
        <v>8458571</v>
      </c>
      <c r="J247" s="135">
        <f>INDEX(Daten!$K$7:$K$429,MATCH('2'!B247,Daten!$A$7:$A$429,0))</f>
        <v>29289243</v>
      </c>
      <c r="K247" s="135">
        <f>INDEX(Daten!$O$7:$O$429,MATCH('2'!B247,Daten!$A$7:$A$429,0))</f>
        <v>1196792</v>
      </c>
      <c r="L247" s="151">
        <f>INDEX(Daten!$Q$7:$Q$429,MATCH('2'!B247,Daten!$A$7:$A$429,0))</f>
        <v>3329797</v>
      </c>
    </row>
    <row r="248" spans="1:12" ht="15" customHeight="1">
      <c r="A248" s="172" t="str">
        <f>Daten!C241</f>
        <v>JC Offenbach am Main, Stadt</v>
      </c>
      <c r="B248" s="214" t="str">
        <f>Daten!A241</f>
        <v>45148</v>
      </c>
      <c r="C248" s="172" t="str">
        <f>Daten!F241</f>
        <v>06</v>
      </c>
      <c r="D248" s="145" t="str">
        <f>Daten!E241</f>
        <v>IIIb</v>
      </c>
      <c r="E248" s="282">
        <f>INDEX(Daten!$R$7:$R$429,MATCH('2'!B248,Daten!$A$7:$A$429,0))</f>
        <v>142310551</v>
      </c>
      <c r="F248" s="175">
        <f>INDEX(Daten!$M$7:$M$429,MATCH('2'!B248,Daten!$A$7:$A$429,0))</f>
        <v>50771981</v>
      </c>
      <c r="G248" s="135">
        <f>INDEX(Daten!$N$7:$N$429,MATCH('2'!B248,Daten!$A$7:$A$429,0))</f>
        <v>49953300</v>
      </c>
      <c r="H248" s="135">
        <f>INDEX(Daten!$P$7:$P$429,MATCH('2'!B248,Daten!$A$7:$A$429,0))</f>
        <v>17870317</v>
      </c>
      <c r="I248" s="135">
        <f>INDEX(Daten!$L$7:$L$429,MATCH('2'!B248,Daten!$A$7:$A$429,0))</f>
        <v>5947329</v>
      </c>
      <c r="J248" s="135">
        <f>INDEX(Daten!$K$7:$K$429,MATCH('2'!B248,Daten!$A$7:$A$429,0))</f>
        <v>17373532</v>
      </c>
      <c r="K248" s="135">
        <f>INDEX(Daten!$O$7:$O$429,MATCH('2'!B248,Daten!$A$7:$A$429,0))</f>
        <v>394092</v>
      </c>
      <c r="L248" s="151">
        <f>INDEX(Daten!$Q$7:$Q$429,MATCH('2'!B248,Daten!$A$7:$A$429,0))</f>
        <v>2954079</v>
      </c>
    </row>
    <row r="249" spans="1:12" ht="15" customHeight="1">
      <c r="A249" s="172" t="str">
        <f>Daten!C242</f>
        <v>JC Wiesbaden, Landeshauptstadt</v>
      </c>
      <c r="B249" s="214" t="str">
        <f>Daten!A242</f>
        <v>45902</v>
      </c>
      <c r="C249" s="172" t="str">
        <f>Daten!F242</f>
        <v>06</v>
      </c>
      <c r="D249" s="145" t="str">
        <f>Daten!E242</f>
        <v>IIe</v>
      </c>
      <c r="E249" s="282">
        <f>INDEX(Daten!$R$7:$R$429,MATCH('2'!B249,Daten!$A$7:$A$429,0))</f>
        <v>312571859</v>
      </c>
      <c r="F249" s="175">
        <f>INDEX(Daten!$M$7:$M$429,MATCH('2'!B249,Daten!$A$7:$A$429,0))</f>
        <v>109698503</v>
      </c>
      <c r="G249" s="135">
        <f>INDEX(Daten!$N$7:$N$429,MATCH('2'!B249,Daten!$A$7:$A$429,0))</f>
        <v>109451432</v>
      </c>
      <c r="H249" s="135">
        <f>INDEX(Daten!$P$7:$P$429,MATCH('2'!B249,Daten!$A$7:$A$429,0))</f>
        <v>38246956</v>
      </c>
      <c r="I249" s="135">
        <f>INDEX(Daten!$L$7:$L$429,MATCH('2'!B249,Daten!$A$7:$A$429,0))</f>
        <v>20292415</v>
      </c>
      <c r="J249" s="135">
        <f>INDEX(Daten!$K$7:$K$429,MATCH('2'!B249,Daten!$A$7:$A$429,0))</f>
        <v>33140361</v>
      </c>
      <c r="K249" s="135">
        <f>INDEX(Daten!$O$7:$O$429,MATCH('2'!B249,Daten!$A$7:$A$429,0))</f>
        <v>1742192</v>
      </c>
      <c r="L249" s="151">
        <f>INDEX(Daten!$Q$7:$Q$429,MATCH('2'!B249,Daten!$A$7:$A$429,0))</f>
        <v>7615721</v>
      </c>
    </row>
    <row r="250" spans="1:12" ht="15" customHeight="1">
      <c r="A250" s="172" t="str">
        <f>Daten!C243</f>
        <v>JC Rheingau-Taunus-Kreis</v>
      </c>
      <c r="B250" s="214" t="str">
        <f>Daten!A243</f>
        <v>45904</v>
      </c>
      <c r="C250" s="172" t="str">
        <f>Daten!F243</f>
        <v>06</v>
      </c>
      <c r="D250" s="145" t="str">
        <f>Daten!E243</f>
        <v>IIc</v>
      </c>
      <c r="E250" s="282">
        <f>INDEX(Daten!$R$7:$R$429,MATCH('2'!B250,Daten!$A$7:$A$429,0))</f>
        <v>101663460</v>
      </c>
      <c r="F250" s="175">
        <f>INDEX(Daten!$M$7:$M$429,MATCH('2'!B250,Daten!$A$7:$A$429,0))</f>
        <v>38215237</v>
      </c>
      <c r="G250" s="135">
        <f>INDEX(Daten!$N$7:$N$429,MATCH('2'!B250,Daten!$A$7:$A$429,0))</f>
        <v>35953174</v>
      </c>
      <c r="H250" s="135">
        <f>INDEX(Daten!$P$7:$P$429,MATCH('2'!B250,Daten!$A$7:$A$429,0))</f>
        <v>12740503</v>
      </c>
      <c r="I250" s="135">
        <f>INDEX(Daten!$L$7:$L$429,MATCH('2'!B250,Daten!$A$7:$A$429,0))</f>
        <v>4607020</v>
      </c>
      <c r="J250" s="135">
        <f>INDEX(Daten!$K$7:$K$429,MATCH('2'!B250,Daten!$A$7:$A$429,0))</f>
        <v>9663005</v>
      </c>
      <c r="K250" s="135">
        <f>INDEX(Daten!$O$7:$O$429,MATCH('2'!B250,Daten!$A$7:$A$429,0))</f>
        <v>484521</v>
      </c>
      <c r="L250" s="151">
        <f>INDEX(Daten!$Q$7:$Q$429,MATCH('2'!B250,Daten!$A$7:$A$429,0))</f>
        <v>1416958</v>
      </c>
    </row>
    <row r="251" spans="1:12" ht="15" customHeight="1">
      <c r="A251" s="172" t="str">
        <f>Daten!C244</f>
        <v>JC Bad Kreuznach</v>
      </c>
      <c r="B251" s="214" t="str">
        <f>Daten!A244</f>
        <v>51102</v>
      </c>
      <c r="C251" s="172" t="str">
        <f>Daten!F244</f>
        <v>07</v>
      </c>
      <c r="D251" s="145" t="str">
        <f>Daten!E244</f>
        <v>IIa</v>
      </c>
      <c r="E251" s="282">
        <f>INDEX(Daten!$R$7:$R$429,MATCH('2'!B251,Daten!$A$7:$A$429,0))</f>
        <v>99239244.090000004</v>
      </c>
      <c r="F251" s="175">
        <f>INDEX(Daten!$M$7:$M$429,MATCH('2'!B251,Daten!$A$7:$A$429,0))</f>
        <v>40326654.219999999</v>
      </c>
      <c r="G251" s="135">
        <f>INDEX(Daten!$N$7:$N$429,MATCH('2'!B251,Daten!$A$7:$A$429,0))</f>
        <v>27552294.750000004</v>
      </c>
      <c r="H251" s="135">
        <f>INDEX(Daten!$P$7:$P$429,MATCH('2'!B251,Daten!$A$7:$A$429,0))</f>
        <v>13060887.01</v>
      </c>
      <c r="I251" s="135">
        <f>INDEX(Daten!$L$7:$L$429,MATCH('2'!B251,Daten!$A$7:$A$429,0))</f>
        <v>5233775.5100000007</v>
      </c>
      <c r="J251" s="135">
        <f>INDEX(Daten!$K$7:$K$429,MATCH('2'!B251,Daten!$A$7:$A$429,0))</f>
        <v>12726286.27</v>
      </c>
      <c r="K251" s="135">
        <f>INDEX(Daten!$O$7:$O$429,MATCH('2'!B251,Daten!$A$7:$A$429,0))</f>
        <v>339346.33</v>
      </c>
      <c r="L251" s="151">
        <f>INDEX(Daten!$Q$7:$Q$429,MATCH('2'!B251,Daten!$A$7:$A$429,0))</f>
        <v>1323780.33</v>
      </c>
    </row>
    <row r="252" spans="1:12" ht="15" customHeight="1">
      <c r="A252" s="172" t="str">
        <f>Daten!C245</f>
        <v>JC Birkenfeld</v>
      </c>
      <c r="B252" s="214" t="str">
        <f>Daten!A245</f>
        <v>51106</v>
      </c>
      <c r="C252" s="172" t="str">
        <f>Daten!F245</f>
        <v>07</v>
      </c>
      <c r="D252" s="145" t="str">
        <f>Daten!E245</f>
        <v>IIa</v>
      </c>
      <c r="E252" s="282">
        <f>INDEX(Daten!$R$7:$R$429,MATCH('2'!B252,Daten!$A$7:$A$429,0))</f>
        <v>54772180.229999997</v>
      </c>
      <c r="F252" s="175">
        <f>INDEX(Daten!$M$7:$M$429,MATCH('2'!B252,Daten!$A$7:$A$429,0))</f>
        <v>23268875.359999999</v>
      </c>
      <c r="G252" s="135">
        <f>INDEX(Daten!$N$7:$N$429,MATCH('2'!B252,Daten!$A$7:$A$429,0))</f>
        <v>14337936.280000001</v>
      </c>
      <c r="H252" s="135">
        <f>INDEX(Daten!$P$7:$P$429,MATCH('2'!B252,Daten!$A$7:$A$429,0))</f>
        <v>7029552.2199999988</v>
      </c>
      <c r="I252" s="135">
        <f>INDEX(Daten!$L$7:$L$429,MATCH('2'!B252,Daten!$A$7:$A$429,0))</f>
        <v>3113123.44</v>
      </c>
      <c r="J252" s="135">
        <f>INDEX(Daten!$K$7:$K$429,MATCH('2'!B252,Daten!$A$7:$A$429,0))</f>
        <v>6757102.7700000005</v>
      </c>
      <c r="K252" s="135">
        <f>INDEX(Daten!$O$7:$O$429,MATCH('2'!B252,Daten!$A$7:$A$429,0))</f>
        <v>265590.16000000003</v>
      </c>
      <c r="L252" s="151">
        <f>INDEX(Daten!$Q$7:$Q$429,MATCH('2'!B252,Daten!$A$7:$A$429,0))</f>
        <v>616401.94999999995</v>
      </c>
    </row>
    <row r="253" spans="1:12" ht="15" customHeight="1">
      <c r="A253" s="172" t="str">
        <f>Daten!C246</f>
        <v>JC Rhein-Hunsrück-Kreis</v>
      </c>
      <c r="B253" s="214" t="str">
        <f>Daten!A246</f>
        <v>51110</v>
      </c>
      <c r="C253" s="172" t="str">
        <f>Daten!F246</f>
        <v>07</v>
      </c>
      <c r="D253" s="145" t="str">
        <f>Daten!E246</f>
        <v>Ie</v>
      </c>
      <c r="E253" s="282">
        <f>INDEX(Daten!$R$7:$R$429,MATCH('2'!B253,Daten!$A$7:$A$429,0))</f>
        <v>36003551.770000003</v>
      </c>
      <c r="F253" s="175">
        <f>INDEX(Daten!$M$7:$M$429,MATCH('2'!B253,Daten!$A$7:$A$429,0))</f>
        <v>14569568.35</v>
      </c>
      <c r="G253" s="135">
        <f>INDEX(Daten!$N$7:$N$429,MATCH('2'!B253,Daten!$A$7:$A$429,0))</f>
        <v>9617258.3600000013</v>
      </c>
      <c r="H253" s="135">
        <f>INDEX(Daten!$P$7:$P$429,MATCH('2'!B253,Daten!$A$7:$A$429,0))</f>
        <v>4907254.330000001</v>
      </c>
      <c r="I253" s="135">
        <f>INDEX(Daten!$L$7:$L$429,MATCH('2'!B253,Daten!$A$7:$A$429,0))</f>
        <v>1840711.86</v>
      </c>
      <c r="J253" s="135">
        <f>INDEX(Daten!$K$7:$K$429,MATCH('2'!B253,Daten!$A$7:$A$429,0))</f>
        <v>4904348.9499999993</v>
      </c>
      <c r="K253" s="135">
        <f>INDEX(Daten!$O$7:$O$429,MATCH('2'!B253,Daten!$A$7:$A$429,0))</f>
        <v>164409.91999999998</v>
      </c>
      <c r="L253" s="151">
        <f>INDEX(Daten!$Q$7:$Q$429,MATCH('2'!B253,Daten!$A$7:$A$429,0))</f>
        <v>657031.56000000006</v>
      </c>
    </row>
    <row r="254" spans="1:12" ht="15" customHeight="1">
      <c r="A254" s="172" t="str">
        <f>Daten!C247</f>
        <v>JC Donnersbergkreis</v>
      </c>
      <c r="B254" s="214" t="str">
        <f>Daten!A247</f>
        <v>51502</v>
      </c>
      <c r="C254" s="172" t="str">
        <f>Daten!F247</f>
        <v>07</v>
      </c>
      <c r="D254" s="145" t="str">
        <f>Daten!E247</f>
        <v>IIa</v>
      </c>
      <c r="E254" s="282">
        <f>INDEX(Daten!$R$7:$R$429,MATCH('2'!B254,Daten!$A$7:$A$429,0))</f>
        <v>35691764.039999999</v>
      </c>
      <c r="F254" s="175">
        <f>INDEX(Daten!$M$7:$M$429,MATCH('2'!B254,Daten!$A$7:$A$429,0))</f>
        <v>15037601.189999999</v>
      </c>
      <c r="G254" s="135">
        <f>INDEX(Daten!$N$7:$N$429,MATCH('2'!B254,Daten!$A$7:$A$429,0))</f>
        <v>10102599.180000002</v>
      </c>
      <c r="H254" s="135">
        <f>INDEX(Daten!$P$7:$P$429,MATCH('2'!B254,Daten!$A$7:$A$429,0))</f>
        <v>4785063.5699999994</v>
      </c>
      <c r="I254" s="135">
        <f>INDEX(Daten!$L$7:$L$429,MATCH('2'!B254,Daten!$A$7:$A$429,0))</f>
        <v>1193424.24</v>
      </c>
      <c r="J254" s="135">
        <f>INDEX(Daten!$K$7:$K$429,MATCH('2'!B254,Daten!$A$7:$A$429,0))</f>
        <v>4408630.6999999993</v>
      </c>
      <c r="K254" s="135">
        <f>INDEX(Daten!$O$7:$O$429,MATCH('2'!B254,Daten!$A$7:$A$429,0))</f>
        <v>164445.16</v>
      </c>
      <c r="L254" s="151">
        <f>INDEX(Daten!$Q$7:$Q$429,MATCH('2'!B254,Daten!$A$7:$A$429,0))</f>
        <v>369758.62</v>
      </c>
    </row>
    <row r="255" spans="1:12" ht="15" customHeight="1">
      <c r="A255" s="172" t="str">
        <f>Daten!C248</f>
        <v>JC Kaiserslautern, Stadt</v>
      </c>
      <c r="B255" s="214" t="str">
        <f>Daten!A248</f>
        <v>51506</v>
      </c>
      <c r="C255" s="172" t="str">
        <f>Daten!F248</f>
        <v>07</v>
      </c>
      <c r="D255" s="145" t="str">
        <f>Daten!E248</f>
        <v>IIIb</v>
      </c>
      <c r="E255" s="282">
        <f>INDEX(Daten!$R$7:$R$429,MATCH('2'!B255,Daten!$A$7:$A$429,0))</f>
        <v>93461555.610000014</v>
      </c>
      <c r="F255" s="175">
        <f>INDEX(Daten!$M$7:$M$429,MATCH('2'!B255,Daten!$A$7:$A$429,0))</f>
        <v>36173882.63000001</v>
      </c>
      <c r="G255" s="135">
        <f>INDEX(Daten!$N$7:$N$429,MATCH('2'!B255,Daten!$A$7:$A$429,0))</f>
        <v>27122808.370000001</v>
      </c>
      <c r="H255" s="135">
        <f>INDEX(Daten!$P$7:$P$429,MATCH('2'!B255,Daten!$A$7:$A$429,0))</f>
        <v>11973736.810000001</v>
      </c>
      <c r="I255" s="135">
        <f>INDEX(Daten!$L$7:$L$429,MATCH('2'!B255,Daten!$A$7:$A$429,0))</f>
        <v>4639026.0100000007</v>
      </c>
      <c r="J255" s="135">
        <f>INDEX(Daten!$K$7:$K$429,MATCH('2'!B255,Daten!$A$7:$A$429,0))</f>
        <v>13258379.080000002</v>
      </c>
      <c r="K255" s="135">
        <f>INDEX(Daten!$O$7:$O$429,MATCH('2'!B255,Daten!$A$7:$A$429,0))</f>
        <v>293722.71000000002</v>
      </c>
      <c r="L255" s="151">
        <f>INDEX(Daten!$Q$7:$Q$429,MATCH('2'!B255,Daten!$A$7:$A$429,0))</f>
        <v>1167692.1000000001</v>
      </c>
    </row>
    <row r="256" spans="1:12" ht="15" customHeight="1">
      <c r="A256" s="172" t="str">
        <f>Daten!C249</f>
        <v>JC Kaiserslautern</v>
      </c>
      <c r="B256" s="214" t="str">
        <f>Daten!A249</f>
        <v>51510</v>
      </c>
      <c r="C256" s="172" t="str">
        <f>Daten!F249</f>
        <v>07</v>
      </c>
      <c r="D256" s="145" t="str">
        <f>Daten!E249</f>
        <v>IIc</v>
      </c>
      <c r="E256" s="282">
        <f>INDEX(Daten!$R$7:$R$429,MATCH('2'!B256,Daten!$A$7:$A$429,0))</f>
        <v>45637182.37999998</v>
      </c>
      <c r="F256" s="175">
        <f>INDEX(Daten!$M$7:$M$429,MATCH('2'!B256,Daten!$A$7:$A$429,0))</f>
        <v>18725132.519999992</v>
      </c>
      <c r="G256" s="135">
        <f>INDEX(Daten!$N$7:$N$429,MATCH('2'!B256,Daten!$A$7:$A$429,0))</f>
        <v>12755012.649999999</v>
      </c>
      <c r="H256" s="135">
        <f>INDEX(Daten!$P$7:$P$429,MATCH('2'!B256,Daten!$A$7:$A$429,0))</f>
        <v>6036211.629999999</v>
      </c>
      <c r="I256" s="135">
        <f>INDEX(Daten!$L$7:$L$429,MATCH('2'!B256,Daten!$A$7:$A$429,0))</f>
        <v>1380217.93</v>
      </c>
      <c r="J256" s="135">
        <f>INDEX(Daten!$K$7:$K$429,MATCH('2'!B256,Daten!$A$7:$A$429,0))</f>
        <v>6600497.209999999</v>
      </c>
      <c r="K256" s="135">
        <f>INDEX(Daten!$O$7:$O$429,MATCH('2'!B256,Daten!$A$7:$A$429,0))</f>
        <v>140110.44</v>
      </c>
      <c r="L256" s="151">
        <f>INDEX(Daten!$Q$7:$Q$429,MATCH('2'!B256,Daten!$A$7:$A$429,0))</f>
        <v>521785.26</v>
      </c>
    </row>
    <row r="257" spans="1:12" ht="15" customHeight="1">
      <c r="A257" s="172" t="str">
        <f>Daten!C250</f>
        <v>JC Pirmasens, Stadt</v>
      </c>
      <c r="B257" s="214" t="str">
        <f>Daten!A250</f>
        <v>51516</v>
      </c>
      <c r="C257" s="172" t="str">
        <f>Daten!F250</f>
        <v>07</v>
      </c>
      <c r="D257" s="145" t="str">
        <f>Daten!E250</f>
        <v>IIa</v>
      </c>
      <c r="E257" s="282">
        <f>INDEX(Daten!$R$7:$R$429,MATCH('2'!B257,Daten!$A$7:$A$429,0))</f>
        <v>49364126.829999998</v>
      </c>
      <c r="F257" s="175">
        <f>INDEX(Daten!$M$7:$M$429,MATCH('2'!B257,Daten!$A$7:$A$429,0))</f>
        <v>20421756.530000001</v>
      </c>
      <c r="G257" s="135">
        <f>INDEX(Daten!$N$7:$N$429,MATCH('2'!B257,Daten!$A$7:$A$429,0))</f>
        <v>12952217.100000001</v>
      </c>
      <c r="H257" s="135">
        <f>INDEX(Daten!$P$7:$P$429,MATCH('2'!B257,Daten!$A$7:$A$429,0))</f>
        <v>6416946.6799999988</v>
      </c>
      <c r="I257" s="135">
        <f>INDEX(Daten!$L$7:$L$429,MATCH('2'!B257,Daten!$A$7:$A$429,0))</f>
        <v>3171721.1999999997</v>
      </c>
      <c r="J257" s="135">
        <f>INDEX(Daten!$K$7:$K$429,MATCH('2'!B257,Daten!$A$7:$A$429,0))</f>
        <v>6091842.1999999983</v>
      </c>
      <c r="K257" s="135">
        <f>INDEX(Daten!$O$7:$O$429,MATCH('2'!B257,Daten!$A$7:$A$429,0))</f>
        <v>309643.12</v>
      </c>
      <c r="L257" s="151">
        <f>INDEX(Daten!$Q$7:$Q$429,MATCH('2'!B257,Daten!$A$7:$A$429,0))</f>
        <v>401979.51999999996</v>
      </c>
    </row>
    <row r="258" spans="1:12" ht="15" customHeight="1">
      <c r="A258" s="172" t="str">
        <f>Daten!C251</f>
        <v>JC Zweibrücken, Stadt</v>
      </c>
      <c r="B258" s="214" t="str">
        <f>Daten!A251</f>
        <v>51518</v>
      </c>
      <c r="C258" s="172" t="str">
        <f>Daten!F251</f>
        <v>07</v>
      </c>
      <c r="D258" s="145" t="str">
        <f>Daten!E251</f>
        <v>IIa</v>
      </c>
      <c r="E258" s="282">
        <f>INDEX(Daten!$R$7:$R$429,MATCH('2'!B258,Daten!$A$7:$A$429,0))</f>
        <v>24254504.68</v>
      </c>
      <c r="F258" s="175">
        <f>INDEX(Daten!$M$7:$M$429,MATCH('2'!B258,Daten!$A$7:$A$429,0))</f>
        <v>9861229.4800000023</v>
      </c>
      <c r="G258" s="135">
        <f>INDEX(Daten!$N$7:$N$429,MATCH('2'!B258,Daten!$A$7:$A$429,0))</f>
        <v>6728335.0599999996</v>
      </c>
      <c r="H258" s="135">
        <f>INDEX(Daten!$P$7:$P$429,MATCH('2'!B258,Daten!$A$7:$A$429,0))</f>
        <v>3259370.5599999991</v>
      </c>
      <c r="I258" s="135">
        <f>INDEX(Daten!$L$7:$L$429,MATCH('2'!B258,Daten!$A$7:$A$429,0))</f>
        <v>1034417.2599999999</v>
      </c>
      <c r="J258" s="135">
        <f>INDEX(Daten!$K$7:$K$429,MATCH('2'!B258,Daten!$A$7:$A$429,0))</f>
        <v>3176914.53</v>
      </c>
      <c r="K258" s="135">
        <f>INDEX(Daten!$O$7:$O$429,MATCH('2'!B258,Daten!$A$7:$A$429,0))</f>
        <v>194237.79</v>
      </c>
      <c r="L258" s="151">
        <f>INDEX(Daten!$Q$7:$Q$429,MATCH('2'!B258,Daten!$A$7:$A$429,0))</f>
        <v>248423.06</v>
      </c>
    </row>
    <row r="259" spans="1:12" ht="15" customHeight="1">
      <c r="A259" s="172" t="str">
        <f>Daten!C252</f>
        <v>JC Südwestpfalz</v>
      </c>
      <c r="B259" s="214" t="str">
        <f>Daten!A252</f>
        <v>51520</v>
      </c>
      <c r="C259" s="172" t="str">
        <f>Daten!F252</f>
        <v>07</v>
      </c>
      <c r="D259" s="145" t="str">
        <f>Daten!E252</f>
        <v>IIc</v>
      </c>
      <c r="E259" s="282">
        <f>INDEX(Daten!$R$7:$R$429,MATCH('2'!B259,Daten!$A$7:$A$429,0))</f>
        <v>26094869</v>
      </c>
      <c r="F259" s="175">
        <f>INDEX(Daten!$M$7:$M$429,MATCH('2'!B259,Daten!$A$7:$A$429,0))</f>
        <v>12168935</v>
      </c>
      <c r="G259" s="135">
        <f>INDEX(Daten!$N$7:$N$429,MATCH('2'!B259,Daten!$A$7:$A$429,0))</f>
        <v>6965908</v>
      </c>
      <c r="H259" s="135">
        <f>INDEX(Daten!$P$7:$P$429,MATCH('2'!B259,Daten!$A$7:$A$429,0))</f>
        <v>3299676</v>
      </c>
      <c r="I259" s="135">
        <f>INDEX(Daten!$L$7:$L$429,MATCH('2'!B259,Daten!$A$7:$A$429,0))</f>
        <v>598803</v>
      </c>
      <c r="J259" s="135">
        <f>INDEX(Daten!$K$7:$K$429,MATCH('2'!B259,Daten!$A$7:$A$429,0))</f>
        <v>2957828</v>
      </c>
      <c r="K259" s="135">
        <f>INDEX(Daten!$O$7:$O$429,MATCH('2'!B259,Daten!$A$7:$A$429,0))</f>
        <v>103719</v>
      </c>
      <c r="L259" s="151">
        <f>INDEX(Daten!$Q$7:$Q$429,MATCH('2'!B259,Daten!$A$7:$A$429,0))</f>
        <v>256135</v>
      </c>
    </row>
    <row r="260" spans="1:12" ht="15" customHeight="1">
      <c r="A260" s="172" t="str">
        <f>Daten!C253</f>
        <v>JC Kusel</v>
      </c>
      <c r="B260" s="214" t="str">
        <f>Daten!A253</f>
        <v>51542</v>
      </c>
      <c r="C260" s="172" t="str">
        <f>Daten!F253</f>
        <v>07</v>
      </c>
      <c r="D260" s="145" t="str">
        <f>Daten!E253</f>
        <v>IIa</v>
      </c>
      <c r="E260" s="282">
        <f>INDEX(Daten!$R$7:$R$429,MATCH('2'!B260,Daten!$A$7:$A$429,0))</f>
        <v>37452672</v>
      </c>
      <c r="F260" s="175">
        <f>INDEX(Daten!$M$7:$M$429,MATCH('2'!B260,Daten!$A$7:$A$429,0))</f>
        <v>15659846</v>
      </c>
      <c r="G260" s="135">
        <f>INDEX(Daten!$N$7:$N$429,MATCH('2'!B260,Daten!$A$7:$A$429,0))</f>
        <v>10004352</v>
      </c>
      <c r="H260" s="135">
        <f>INDEX(Daten!$P$7:$P$429,MATCH('2'!B260,Daten!$A$7:$A$429,0))</f>
        <v>4728971</v>
      </c>
      <c r="I260" s="135">
        <f>INDEX(Daten!$L$7:$L$429,MATCH('2'!B260,Daten!$A$7:$A$429,0))</f>
        <v>2891123</v>
      </c>
      <c r="J260" s="135">
        <f>INDEX(Daten!$K$7:$K$429,MATCH('2'!B260,Daten!$A$7:$A$429,0))</f>
        <v>4085067</v>
      </c>
      <c r="K260" s="135">
        <f>INDEX(Daten!$O$7:$O$429,MATCH('2'!B260,Daten!$A$7:$A$429,0))</f>
        <v>83313</v>
      </c>
      <c r="L260" s="151">
        <f>INDEX(Daten!$Q$7:$Q$429,MATCH('2'!B260,Daten!$A$7:$A$429,0))</f>
        <v>425389</v>
      </c>
    </row>
    <row r="261" spans="1:12" ht="15" customHeight="1">
      <c r="A261" s="172" t="str">
        <f>Daten!C254</f>
        <v>JC Koblenz, Stadt</v>
      </c>
      <c r="B261" s="214" t="str">
        <f>Daten!A254</f>
        <v>51902</v>
      </c>
      <c r="C261" s="172" t="str">
        <f>Daten!F254</f>
        <v>07</v>
      </c>
      <c r="D261" s="145" t="str">
        <f>Daten!E254</f>
        <v>IIIb</v>
      </c>
      <c r="E261" s="282">
        <f>INDEX(Daten!$R$7:$R$429,MATCH('2'!B261,Daten!$A$7:$A$429,0))</f>
        <v>92904592.420000002</v>
      </c>
      <c r="F261" s="175">
        <f>INDEX(Daten!$M$7:$M$429,MATCH('2'!B261,Daten!$A$7:$A$429,0))</f>
        <v>36192739.529999994</v>
      </c>
      <c r="G261" s="135">
        <f>INDEX(Daten!$N$7:$N$429,MATCH('2'!B261,Daten!$A$7:$A$429,0))</f>
        <v>27725713.830000002</v>
      </c>
      <c r="H261" s="135">
        <f>INDEX(Daten!$P$7:$P$429,MATCH('2'!B261,Daten!$A$7:$A$429,0))</f>
        <v>12073143.580000002</v>
      </c>
      <c r="I261" s="135">
        <f>INDEX(Daten!$L$7:$L$429,MATCH('2'!B261,Daten!$A$7:$A$429,0))</f>
        <v>5271108.049999998</v>
      </c>
      <c r="J261" s="135">
        <f>INDEX(Daten!$K$7:$K$429,MATCH('2'!B261,Daten!$A$7:$A$429,0))</f>
        <v>11396548.92</v>
      </c>
      <c r="K261" s="135">
        <f>INDEX(Daten!$O$7:$O$429,MATCH('2'!B261,Daten!$A$7:$A$429,0))</f>
        <v>245338.51</v>
      </c>
      <c r="L261" s="151">
        <f>INDEX(Daten!$Q$7:$Q$429,MATCH('2'!B261,Daten!$A$7:$A$429,0))</f>
        <v>868943.77</v>
      </c>
    </row>
    <row r="262" spans="1:12" ht="15" customHeight="1">
      <c r="A262" s="172" t="str">
        <f>Daten!C255</f>
        <v>JC Cochem-Zell</v>
      </c>
      <c r="B262" s="214" t="str">
        <f>Daten!A255</f>
        <v>51904</v>
      </c>
      <c r="C262" s="172" t="str">
        <f>Daten!F255</f>
        <v>07</v>
      </c>
      <c r="D262" s="145" t="str">
        <f>Daten!E255</f>
        <v>Ie</v>
      </c>
      <c r="E262" s="282">
        <f>INDEX(Daten!$R$7:$R$429,MATCH('2'!B262,Daten!$A$7:$A$429,0))</f>
        <v>22088032.890000001</v>
      </c>
      <c r="F262" s="175">
        <f>INDEX(Daten!$M$7:$M$429,MATCH('2'!B262,Daten!$A$7:$A$429,0))</f>
        <v>9414062.1500000004</v>
      </c>
      <c r="G262" s="135">
        <f>INDEX(Daten!$N$7:$N$429,MATCH('2'!B262,Daten!$A$7:$A$429,0))</f>
        <v>5777188.9900000002</v>
      </c>
      <c r="H262" s="135">
        <f>INDEX(Daten!$P$7:$P$429,MATCH('2'!B262,Daten!$A$7:$A$429,0))</f>
        <v>3031203.4699999997</v>
      </c>
      <c r="I262" s="135">
        <f>INDEX(Daten!$L$7:$L$429,MATCH('2'!B262,Daten!$A$7:$A$429,0))</f>
        <v>729778.76000000013</v>
      </c>
      <c r="J262" s="135">
        <f>INDEX(Daten!$K$7:$K$429,MATCH('2'!B262,Daten!$A$7:$A$429,0))</f>
        <v>3055997.3299999996</v>
      </c>
      <c r="K262" s="135">
        <f>INDEX(Daten!$O$7:$O$429,MATCH('2'!B262,Daten!$A$7:$A$429,0))</f>
        <v>79802.19</v>
      </c>
      <c r="L262" s="151">
        <f>INDEX(Daten!$Q$7:$Q$429,MATCH('2'!B262,Daten!$A$7:$A$429,0))</f>
        <v>230504.99</v>
      </c>
    </row>
    <row r="263" spans="1:12" ht="15" customHeight="1">
      <c r="A263" s="172" t="str">
        <f>Daten!C256</f>
        <v>JC Ahrweiler</v>
      </c>
      <c r="B263" s="214" t="str">
        <f>Daten!A256</f>
        <v>51906</v>
      </c>
      <c r="C263" s="172" t="str">
        <f>Daten!F256</f>
        <v>07</v>
      </c>
      <c r="D263" s="145" t="str">
        <f>Daten!E256</f>
        <v>IIc</v>
      </c>
      <c r="E263" s="282">
        <f>INDEX(Daten!$R$7:$R$429,MATCH('2'!B263,Daten!$A$7:$A$429,0))</f>
        <v>46346658.449999996</v>
      </c>
      <c r="F263" s="175">
        <f>INDEX(Daten!$M$7:$M$429,MATCH('2'!B263,Daten!$A$7:$A$429,0))</f>
        <v>17743829.279999997</v>
      </c>
      <c r="G263" s="135">
        <f>INDEX(Daten!$N$7:$N$429,MATCH('2'!B263,Daten!$A$7:$A$429,0))</f>
        <v>13793532.049999999</v>
      </c>
      <c r="H263" s="135">
        <f>INDEX(Daten!$P$7:$P$429,MATCH('2'!B263,Daten!$A$7:$A$429,0))</f>
        <v>6325147.6899999995</v>
      </c>
      <c r="I263" s="135">
        <f>INDEX(Daten!$L$7:$L$429,MATCH('2'!B263,Daten!$A$7:$A$429,0))</f>
        <v>2227827.6199999996</v>
      </c>
      <c r="J263" s="135">
        <f>INDEX(Daten!$K$7:$K$429,MATCH('2'!B263,Daten!$A$7:$A$429,0))</f>
        <v>6188037.2700000005</v>
      </c>
      <c r="K263" s="135">
        <f>INDEX(Daten!$O$7:$O$429,MATCH('2'!B263,Daten!$A$7:$A$429,0))</f>
        <v>68284.540000000008</v>
      </c>
      <c r="L263" s="151">
        <f>INDEX(Daten!$Q$7:$Q$429,MATCH('2'!B263,Daten!$A$7:$A$429,0))</f>
        <v>517167.08</v>
      </c>
    </row>
    <row r="264" spans="1:12" ht="15" customHeight="1">
      <c r="A264" s="172" t="str">
        <f>Daten!C257</f>
        <v>JC Mayen-Koblenz</v>
      </c>
      <c r="B264" s="214" t="str">
        <f>Daten!A257</f>
        <v>51908</v>
      </c>
      <c r="C264" s="172" t="str">
        <f>Daten!F257</f>
        <v>07</v>
      </c>
      <c r="D264" s="145" t="str">
        <f>Daten!E257</f>
        <v>IIa</v>
      </c>
      <c r="E264" s="282">
        <f>INDEX(Daten!$R$7:$R$429,MATCH('2'!B264,Daten!$A$7:$A$429,0))</f>
        <v>97576582</v>
      </c>
      <c r="F264" s="175">
        <f>INDEX(Daten!$M$7:$M$429,MATCH('2'!B264,Daten!$A$7:$A$429,0))</f>
        <v>39501502</v>
      </c>
      <c r="G264" s="135">
        <f>INDEX(Daten!$N$7:$N$429,MATCH('2'!B264,Daten!$A$7:$A$429,0))</f>
        <v>27959630</v>
      </c>
      <c r="H264" s="135">
        <f>INDEX(Daten!$P$7:$P$429,MATCH('2'!B264,Daten!$A$7:$A$429,0))</f>
        <v>13545664</v>
      </c>
      <c r="I264" s="135">
        <f>INDEX(Daten!$L$7:$L$429,MATCH('2'!B264,Daten!$A$7:$A$429,0))</f>
        <v>4299778</v>
      </c>
      <c r="J264" s="135">
        <f>INDEX(Daten!$K$7:$K$429,MATCH('2'!B264,Daten!$A$7:$A$429,0))</f>
        <v>12230324</v>
      </c>
      <c r="K264" s="135">
        <f>INDEX(Daten!$O$7:$O$429,MATCH('2'!B264,Daten!$A$7:$A$429,0))</f>
        <v>39684</v>
      </c>
      <c r="L264" s="151">
        <f>INDEX(Daten!$Q$7:$Q$429,MATCH('2'!B264,Daten!$A$7:$A$429,0))</f>
        <v>1596851</v>
      </c>
    </row>
    <row r="265" spans="1:12" ht="15" customHeight="1">
      <c r="A265" s="172" t="str">
        <f>Daten!C258</f>
        <v>JC Vorderpfalz-Ludwigshafen</v>
      </c>
      <c r="B265" s="214" t="str">
        <f>Daten!A258</f>
        <v>52302</v>
      </c>
      <c r="C265" s="172" t="str">
        <f>Daten!F258</f>
        <v>07</v>
      </c>
      <c r="D265" s="145" t="str">
        <f>Daten!E258</f>
        <v>IId</v>
      </c>
      <c r="E265" s="282">
        <f>INDEX(Daten!$R$7:$R$429,MATCH('2'!B265,Daten!$A$7:$A$429,0))</f>
        <v>329478685.65000004</v>
      </c>
      <c r="F265" s="175">
        <f>INDEX(Daten!$M$7:$M$429,MATCH('2'!B265,Daten!$A$7:$A$429,0))</f>
        <v>129928888.14000002</v>
      </c>
      <c r="G265" s="135">
        <f>INDEX(Daten!$N$7:$N$429,MATCH('2'!B265,Daten!$A$7:$A$429,0))</f>
        <v>98185578.349999994</v>
      </c>
      <c r="H265" s="135">
        <f>INDEX(Daten!$P$7:$P$429,MATCH('2'!B265,Daten!$A$7:$A$429,0))</f>
        <v>42973872.729999997</v>
      </c>
      <c r="I265" s="135">
        <f>INDEX(Daten!$L$7:$L$429,MATCH('2'!B265,Daten!$A$7:$A$429,0))</f>
        <v>25408426.609999999</v>
      </c>
      <c r="J265" s="135">
        <f>INDEX(Daten!$K$7:$K$429,MATCH('2'!B265,Daten!$A$7:$A$429,0))</f>
        <v>31676846.839999996</v>
      </c>
      <c r="K265" s="135">
        <f>INDEX(Daten!$O$7:$O$429,MATCH('2'!B265,Daten!$A$7:$A$429,0))</f>
        <v>1305072.98</v>
      </c>
      <c r="L265" s="151">
        <f>INDEX(Daten!$Q$7:$Q$429,MATCH('2'!B265,Daten!$A$7:$A$429,0))</f>
        <v>2207448.27</v>
      </c>
    </row>
    <row r="266" spans="1:12" ht="15" customHeight="1">
      <c r="A266" s="172" t="str">
        <f>Daten!C259</f>
        <v>JC Alzey-Worms</v>
      </c>
      <c r="B266" s="214" t="str">
        <f>Daten!A259</f>
        <v>52704</v>
      </c>
      <c r="C266" s="172" t="str">
        <f>Daten!F259</f>
        <v>07</v>
      </c>
      <c r="D266" s="145" t="str">
        <f>Daten!E259</f>
        <v>IIc</v>
      </c>
      <c r="E266" s="282">
        <f>INDEX(Daten!$R$7:$R$429,MATCH('2'!B266,Daten!$A$7:$A$429,0))</f>
        <v>52620449.100000001</v>
      </c>
      <c r="F266" s="175">
        <f>INDEX(Daten!$M$7:$M$429,MATCH('2'!B266,Daten!$A$7:$A$429,0))</f>
        <v>20477130.610000003</v>
      </c>
      <c r="G266" s="135">
        <f>INDEX(Daten!$N$7:$N$429,MATCH('2'!B266,Daten!$A$7:$A$429,0))</f>
        <v>15568419.050000001</v>
      </c>
      <c r="H266" s="135">
        <f>INDEX(Daten!$P$7:$P$429,MATCH('2'!B266,Daten!$A$7:$A$429,0))</f>
        <v>6946109.1300000018</v>
      </c>
      <c r="I266" s="135">
        <f>INDEX(Daten!$L$7:$L$429,MATCH('2'!B266,Daten!$A$7:$A$429,0))</f>
        <v>2230890.6999999997</v>
      </c>
      <c r="J266" s="135">
        <f>INDEX(Daten!$K$7:$K$429,MATCH('2'!B266,Daten!$A$7:$A$429,0))</f>
        <v>7168374.3900000006</v>
      </c>
      <c r="K266" s="135">
        <f>INDEX(Daten!$O$7:$O$429,MATCH('2'!B266,Daten!$A$7:$A$429,0))</f>
        <v>229525.21999999997</v>
      </c>
      <c r="L266" s="151">
        <f>INDEX(Daten!$Q$7:$Q$429,MATCH('2'!B266,Daten!$A$7:$A$429,0))</f>
        <v>707478.18000000017</v>
      </c>
    </row>
    <row r="267" spans="1:12" ht="15" customHeight="1">
      <c r="A267" s="172" t="str">
        <f>Daten!C260</f>
        <v>JC Mainz, Stadt</v>
      </c>
      <c r="B267" s="214" t="str">
        <f>Daten!A260</f>
        <v>52706</v>
      </c>
      <c r="C267" s="172" t="str">
        <f>Daten!F260</f>
        <v>07</v>
      </c>
      <c r="D267" s="145" t="str">
        <f>Daten!E260</f>
        <v>IIe</v>
      </c>
      <c r="E267" s="282">
        <f>INDEX(Daten!$R$7:$R$429,MATCH('2'!B267,Daten!$A$7:$A$429,0))</f>
        <v>161311897.77000004</v>
      </c>
      <c r="F267" s="175">
        <f>INDEX(Daten!$M$7:$M$429,MATCH('2'!B267,Daten!$A$7:$A$429,0))</f>
        <v>60214017.470000021</v>
      </c>
      <c r="G267" s="135">
        <f>INDEX(Daten!$N$7:$N$429,MATCH('2'!B267,Daten!$A$7:$A$429,0))</f>
        <v>51529154.170000002</v>
      </c>
      <c r="H267" s="135">
        <f>INDEX(Daten!$P$7:$P$429,MATCH('2'!B267,Daten!$A$7:$A$429,0))</f>
        <v>20262325.860000007</v>
      </c>
      <c r="I267" s="135">
        <f>INDEX(Daten!$L$7:$L$429,MATCH('2'!B267,Daten!$A$7:$A$429,0))</f>
        <v>9367561.4800000004</v>
      </c>
      <c r="J267" s="135">
        <f>INDEX(Daten!$K$7:$K$429,MATCH('2'!B267,Daten!$A$7:$A$429,0))</f>
        <v>19188009.359999999</v>
      </c>
      <c r="K267" s="135">
        <f>INDEX(Daten!$O$7:$O$429,MATCH('2'!B267,Daten!$A$7:$A$429,0))</f>
        <v>750829.42999999993</v>
      </c>
      <c r="L267" s="151">
        <f>INDEX(Daten!$Q$7:$Q$429,MATCH('2'!B267,Daten!$A$7:$A$429,0))</f>
        <v>1150463.2400000002</v>
      </c>
    </row>
    <row r="268" spans="1:12" ht="15" customHeight="1">
      <c r="A268" s="172" t="str">
        <f>Daten!C261</f>
        <v>JC Worms, Stadt</v>
      </c>
      <c r="B268" s="214" t="str">
        <f>Daten!A261</f>
        <v>52710</v>
      </c>
      <c r="C268" s="172" t="str">
        <f>Daten!F261</f>
        <v>07</v>
      </c>
      <c r="D268" s="145" t="str">
        <f>Daten!E261</f>
        <v>IIIb</v>
      </c>
      <c r="E268" s="282">
        <f>INDEX(Daten!$R$7:$R$429,MATCH('2'!B268,Daten!$A$7:$A$429,0))</f>
        <v>74628784.689999998</v>
      </c>
      <c r="F268" s="175">
        <f>INDEX(Daten!$M$7:$M$429,MATCH('2'!B268,Daten!$A$7:$A$429,0))</f>
        <v>29543003.380000003</v>
      </c>
      <c r="G268" s="135">
        <f>INDEX(Daten!$N$7:$N$429,MATCH('2'!B268,Daten!$A$7:$A$429,0))</f>
        <v>22116882.009999998</v>
      </c>
      <c r="H268" s="135">
        <f>INDEX(Daten!$P$7:$P$429,MATCH('2'!B268,Daten!$A$7:$A$429,0))</f>
        <v>9659549.4599999972</v>
      </c>
      <c r="I268" s="135">
        <f>INDEX(Daten!$L$7:$L$429,MATCH('2'!B268,Daten!$A$7:$A$429,0))</f>
        <v>3054584.92</v>
      </c>
      <c r="J268" s="135">
        <f>INDEX(Daten!$K$7:$K$429,MATCH('2'!B268,Daten!$A$7:$A$429,0))</f>
        <v>9978419.4500000011</v>
      </c>
      <c r="K268" s="135">
        <f>INDEX(Daten!$O$7:$O$429,MATCH('2'!B268,Daten!$A$7:$A$429,0))</f>
        <v>276345.46999999997</v>
      </c>
      <c r="L268" s="151">
        <f>INDEX(Daten!$Q$7:$Q$429,MATCH('2'!B268,Daten!$A$7:$A$429,0))</f>
        <v>703917.64</v>
      </c>
    </row>
    <row r="269" spans="1:12" ht="15" customHeight="1">
      <c r="A269" s="172" t="str">
        <f>Daten!C262</f>
        <v>JC Mainz-Bingen</v>
      </c>
      <c r="B269" s="214" t="str">
        <f>Daten!A262</f>
        <v>52744</v>
      </c>
      <c r="C269" s="172" t="str">
        <f>Daten!F262</f>
        <v>07</v>
      </c>
      <c r="D269" s="145" t="str">
        <f>Daten!E262</f>
        <v>Id</v>
      </c>
      <c r="E269" s="282">
        <f>INDEX(Daten!$R$7:$R$429,MATCH('2'!B269,Daten!$A$7:$A$429,0))</f>
        <v>96531462</v>
      </c>
      <c r="F269" s="175">
        <f>INDEX(Daten!$M$7:$M$429,MATCH('2'!B269,Daten!$A$7:$A$429,0))</f>
        <v>38531444</v>
      </c>
      <c r="G269" s="135">
        <f>INDEX(Daten!$N$7:$N$429,MATCH('2'!B269,Daten!$A$7:$A$429,0))</f>
        <v>31613033</v>
      </c>
      <c r="H269" s="135">
        <f>INDEX(Daten!$P$7:$P$429,MATCH('2'!B269,Daten!$A$7:$A$429,0))</f>
        <v>11531791</v>
      </c>
      <c r="I269" s="135">
        <f>INDEX(Daten!$L$7:$L$429,MATCH('2'!B269,Daten!$A$7:$A$429,0))</f>
        <v>5768746</v>
      </c>
      <c r="J269" s="135">
        <f>INDEX(Daten!$K$7:$K$429,MATCH('2'!B269,Daten!$A$7:$A$429,0))</f>
        <v>8818827</v>
      </c>
      <c r="K269" s="135">
        <f>INDEX(Daten!$O$7:$O$429,MATCH('2'!B269,Daten!$A$7:$A$429,0))</f>
        <v>267621</v>
      </c>
      <c r="L269" s="151">
        <f>INDEX(Daten!$Q$7:$Q$429,MATCH('2'!B269,Daten!$A$7:$A$429,0))</f>
        <v>2387302</v>
      </c>
    </row>
    <row r="270" spans="1:12" ht="15" customHeight="1">
      <c r="A270" s="172" t="str">
        <f>Daten!C263</f>
        <v>JC Rhein-Lahn-Kreis</v>
      </c>
      <c r="B270" s="214" t="str">
        <f>Daten!A263</f>
        <v>53502</v>
      </c>
      <c r="C270" s="172" t="str">
        <f>Daten!F263</f>
        <v>07</v>
      </c>
      <c r="D270" s="145" t="str">
        <f>Daten!E263</f>
        <v>IIa</v>
      </c>
      <c r="E270" s="282">
        <f>INDEX(Daten!$R$7:$R$429,MATCH('2'!B270,Daten!$A$7:$A$429,0))</f>
        <v>52183795.169999987</v>
      </c>
      <c r="F270" s="175">
        <f>INDEX(Daten!$M$7:$M$429,MATCH('2'!B270,Daten!$A$7:$A$429,0))</f>
        <v>21545989.79999999</v>
      </c>
      <c r="G270" s="135">
        <f>INDEX(Daten!$N$7:$N$429,MATCH('2'!B270,Daten!$A$7:$A$429,0))</f>
        <v>13930505.970000001</v>
      </c>
      <c r="H270" s="135">
        <f>INDEX(Daten!$P$7:$P$429,MATCH('2'!B270,Daten!$A$7:$A$429,0))</f>
        <v>7031629.4699999997</v>
      </c>
      <c r="I270" s="135">
        <f>INDEX(Daten!$L$7:$L$429,MATCH('2'!B270,Daten!$A$7:$A$429,0))</f>
        <v>3014610.77</v>
      </c>
      <c r="J270" s="135">
        <f>INDEX(Daten!$K$7:$K$429,MATCH('2'!B270,Daten!$A$7:$A$429,0))</f>
        <v>6412353.0600000005</v>
      </c>
      <c r="K270" s="135">
        <f>INDEX(Daten!$O$7:$O$429,MATCH('2'!B270,Daten!$A$7:$A$429,0))</f>
        <v>248706.1</v>
      </c>
      <c r="L270" s="151">
        <f>INDEX(Daten!$Q$7:$Q$429,MATCH('2'!B270,Daten!$A$7:$A$429,0))</f>
        <v>621668.01</v>
      </c>
    </row>
    <row r="271" spans="1:12" ht="15" customHeight="1">
      <c r="A271" s="172" t="str">
        <f>Daten!C264</f>
        <v>JC Westerwaldkreis</v>
      </c>
      <c r="B271" s="214" t="str">
        <f>Daten!A264</f>
        <v>53504</v>
      </c>
      <c r="C271" s="172" t="str">
        <f>Daten!F264</f>
        <v>07</v>
      </c>
      <c r="D271" s="145" t="str">
        <f>Daten!E264</f>
        <v>IIa</v>
      </c>
      <c r="E271" s="282">
        <f>INDEX(Daten!$R$7:$R$429,MATCH('2'!B271,Daten!$A$7:$A$429,0))</f>
        <v>73977025.289999992</v>
      </c>
      <c r="F271" s="175">
        <f>INDEX(Daten!$M$7:$M$429,MATCH('2'!B271,Daten!$A$7:$A$429,0))</f>
        <v>30813530.829999994</v>
      </c>
      <c r="G271" s="135">
        <f>INDEX(Daten!$N$7:$N$429,MATCH('2'!B271,Daten!$A$7:$A$429,0))</f>
        <v>19961742.190000001</v>
      </c>
      <c r="H271" s="135">
        <f>INDEX(Daten!$P$7:$P$429,MATCH('2'!B271,Daten!$A$7:$A$429,0))</f>
        <v>10022750.5</v>
      </c>
      <c r="I271" s="135">
        <f>INDEX(Daten!$L$7:$L$429,MATCH('2'!B271,Daten!$A$7:$A$429,0))</f>
        <v>4205044.59</v>
      </c>
      <c r="J271" s="135">
        <f>INDEX(Daten!$K$7:$K$429,MATCH('2'!B271,Daten!$A$7:$A$429,0))</f>
        <v>8739410.5500000007</v>
      </c>
      <c r="K271" s="135">
        <f>INDEX(Daten!$O$7:$O$429,MATCH('2'!B271,Daten!$A$7:$A$429,0))</f>
        <v>234546.63</v>
      </c>
      <c r="L271" s="151">
        <f>INDEX(Daten!$Q$7:$Q$429,MATCH('2'!B271,Daten!$A$7:$A$429,0))</f>
        <v>773185.7</v>
      </c>
    </row>
    <row r="272" spans="1:12" ht="15" customHeight="1">
      <c r="A272" s="172" t="str">
        <f>Daten!C265</f>
        <v>JC Germersheim</v>
      </c>
      <c r="B272" s="214" t="str">
        <f>Daten!A265</f>
        <v>54302</v>
      </c>
      <c r="C272" s="172" t="str">
        <f>Daten!F265</f>
        <v>07</v>
      </c>
      <c r="D272" s="145" t="str">
        <f>Daten!E265</f>
        <v>Id</v>
      </c>
      <c r="E272" s="282">
        <f>INDEX(Daten!$R$7:$R$429,MATCH('2'!B272,Daten!$A$7:$A$429,0))</f>
        <v>56929890.760000013</v>
      </c>
      <c r="F272" s="175">
        <f>INDEX(Daten!$M$7:$M$429,MATCH('2'!B272,Daten!$A$7:$A$429,0))</f>
        <v>22622972.230000008</v>
      </c>
      <c r="G272" s="135">
        <f>INDEX(Daten!$N$7:$N$429,MATCH('2'!B272,Daten!$A$7:$A$429,0))</f>
        <v>17451471.940000001</v>
      </c>
      <c r="H272" s="135">
        <f>INDEX(Daten!$P$7:$P$429,MATCH('2'!B272,Daten!$A$7:$A$429,0))</f>
        <v>7663871.5200000005</v>
      </c>
      <c r="I272" s="135">
        <f>INDEX(Daten!$L$7:$L$429,MATCH('2'!B272,Daten!$A$7:$A$429,0))</f>
        <v>2730105.0000000005</v>
      </c>
      <c r="J272" s="135">
        <f>INDEX(Daten!$K$7:$K$429,MATCH('2'!B272,Daten!$A$7:$A$429,0))</f>
        <v>6309870</v>
      </c>
      <c r="K272" s="135">
        <f>INDEX(Daten!$O$7:$O$429,MATCH('2'!B272,Daten!$A$7:$A$429,0))</f>
        <v>151600.07</v>
      </c>
      <c r="L272" s="151">
        <f>INDEX(Daten!$Q$7:$Q$429,MATCH('2'!B272,Daten!$A$7:$A$429,0))</f>
        <v>573841.13</v>
      </c>
    </row>
    <row r="273" spans="1:12" ht="15" customHeight="1">
      <c r="A273" s="172" t="str">
        <f>Daten!C266</f>
        <v>JC Landau-Südliche Weinstraße</v>
      </c>
      <c r="B273" s="214" t="str">
        <f>Daten!A266</f>
        <v>54308</v>
      </c>
      <c r="C273" s="172" t="str">
        <f>Daten!F266</f>
        <v>07</v>
      </c>
      <c r="D273" s="145" t="str">
        <f>Daten!E266</f>
        <v>Id</v>
      </c>
      <c r="E273" s="282">
        <f>INDEX(Daten!$R$7:$R$429,MATCH('2'!B273,Daten!$A$7:$A$429,0))</f>
        <v>83546220.829999998</v>
      </c>
      <c r="F273" s="175">
        <f>INDEX(Daten!$M$7:$M$429,MATCH('2'!B273,Daten!$A$7:$A$429,0))</f>
        <v>32730498.800000001</v>
      </c>
      <c r="G273" s="135">
        <f>INDEX(Daten!$N$7:$N$429,MATCH('2'!B273,Daten!$A$7:$A$429,0))</f>
        <v>25838549.030000005</v>
      </c>
      <c r="H273" s="135">
        <f>INDEX(Daten!$P$7:$P$429,MATCH('2'!B273,Daten!$A$7:$A$429,0))</f>
        <v>10561281.880000001</v>
      </c>
      <c r="I273" s="135">
        <f>INDEX(Daten!$L$7:$L$429,MATCH('2'!B273,Daten!$A$7:$A$429,0))</f>
        <v>5545909.3399999999</v>
      </c>
      <c r="J273" s="135">
        <f>INDEX(Daten!$K$7:$K$429,MATCH('2'!B273,Daten!$A$7:$A$429,0))</f>
        <v>8622573</v>
      </c>
      <c r="K273" s="135">
        <f>INDEX(Daten!$O$7:$O$429,MATCH('2'!B273,Daten!$A$7:$A$429,0))</f>
        <v>247408.78</v>
      </c>
      <c r="L273" s="151">
        <f>INDEX(Daten!$Q$7:$Q$429,MATCH('2'!B273,Daten!$A$7:$A$429,0))</f>
        <v>907502.12</v>
      </c>
    </row>
    <row r="274" spans="1:12" ht="15" customHeight="1">
      <c r="A274" s="172" t="str">
        <f>Daten!C267</f>
        <v>JC Deutsche Weinstraße</v>
      </c>
      <c r="B274" s="214" t="str">
        <f>Daten!A267</f>
        <v>54312</v>
      </c>
      <c r="C274" s="172" t="str">
        <f>Daten!F267</f>
        <v>07</v>
      </c>
      <c r="D274" s="145" t="str">
        <f>Daten!E267</f>
        <v>IIa</v>
      </c>
      <c r="E274" s="282">
        <f>INDEX(Daten!$R$7:$R$429,MATCH('2'!B274,Daten!$A$7:$A$429,0))</f>
        <v>86640545.5</v>
      </c>
      <c r="F274" s="175">
        <f>INDEX(Daten!$M$7:$M$429,MATCH('2'!B274,Daten!$A$7:$A$429,0))</f>
        <v>34960773.249999993</v>
      </c>
      <c r="G274" s="135">
        <f>INDEX(Daten!$N$7:$N$429,MATCH('2'!B274,Daten!$A$7:$A$429,0))</f>
        <v>25513451.120000001</v>
      </c>
      <c r="H274" s="135">
        <f>INDEX(Daten!$P$7:$P$429,MATCH('2'!B274,Daten!$A$7:$A$429,0))</f>
        <v>11645710.910000002</v>
      </c>
      <c r="I274" s="135">
        <f>INDEX(Daten!$L$7:$L$429,MATCH('2'!B274,Daten!$A$7:$A$429,0))</f>
        <v>3838102.09</v>
      </c>
      <c r="J274" s="135">
        <f>INDEX(Daten!$K$7:$K$429,MATCH('2'!B274,Daten!$A$7:$A$429,0))</f>
        <v>10434959.68</v>
      </c>
      <c r="K274" s="135">
        <f>INDEX(Daten!$O$7:$O$429,MATCH('2'!B274,Daten!$A$7:$A$429,0))</f>
        <v>247548.44999999998</v>
      </c>
      <c r="L274" s="151">
        <f>INDEX(Daten!$Q$7:$Q$429,MATCH('2'!B274,Daten!$A$7:$A$429,0))</f>
        <v>1103253.22</v>
      </c>
    </row>
    <row r="275" spans="1:12" ht="15" customHeight="1">
      <c r="A275" s="172" t="str">
        <f>Daten!C268</f>
        <v>JC Altenkirchen (Westerwald)</v>
      </c>
      <c r="B275" s="214" t="str">
        <f>Daten!A268</f>
        <v>54702</v>
      </c>
      <c r="C275" s="172" t="str">
        <f>Daten!F268</f>
        <v>07</v>
      </c>
      <c r="D275" s="145" t="str">
        <f>Daten!E268</f>
        <v>IIa</v>
      </c>
      <c r="E275" s="282">
        <f>INDEX(Daten!$R$7:$R$429,MATCH('2'!B275,Daten!$A$7:$A$429,0))</f>
        <v>68070324.50999999</v>
      </c>
      <c r="F275" s="175">
        <f>INDEX(Daten!$M$7:$M$429,MATCH('2'!B275,Daten!$A$7:$A$429,0))</f>
        <v>29202766</v>
      </c>
      <c r="G275" s="135">
        <f>INDEX(Daten!$N$7:$N$429,MATCH('2'!B275,Daten!$A$7:$A$429,0))</f>
        <v>18435061.349999998</v>
      </c>
      <c r="H275" s="135">
        <f>INDEX(Daten!$P$7:$P$429,MATCH('2'!B275,Daten!$A$7:$A$429,0))</f>
        <v>9134229.3400000017</v>
      </c>
      <c r="I275" s="135">
        <f>INDEX(Daten!$L$7:$L$429,MATCH('2'!B275,Daten!$A$7:$A$429,0))</f>
        <v>4575771.5500000007</v>
      </c>
      <c r="J275" s="135">
        <f>INDEX(Daten!$K$7:$K$429,MATCH('2'!B275,Daten!$A$7:$A$429,0))</f>
        <v>6405811.0399999991</v>
      </c>
      <c r="K275" s="135">
        <f>INDEX(Daten!$O$7:$O$429,MATCH('2'!B275,Daten!$A$7:$A$429,0))</f>
        <v>316685.23</v>
      </c>
      <c r="L275" s="151">
        <f>INDEX(Daten!$Q$7:$Q$429,MATCH('2'!B275,Daten!$A$7:$A$429,0))</f>
        <v>665518.55000000005</v>
      </c>
    </row>
    <row r="276" spans="1:12" ht="15" customHeight="1">
      <c r="A276" s="172" t="str">
        <f>Daten!C269</f>
        <v>JC Neuwied</v>
      </c>
      <c r="B276" s="214" t="str">
        <f>Daten!A269</f>
        <v>54708</v>
      </c>
      <c r="C276" s="172" t="str">
        <f>Daten!F269</f>
        <v>07</v>
      </c>
      <c r="D276" s="145" t="str">
        <f>Daten!E269</f>
        <v>IId</v>
      </c>
      <c r="E276" s="282">
        <f>INDEX(Daten!$R$7:$R$429,MATCH('2'!B276,Daten!$A$7:$A$429,0))</f>
        <v>101485750.92</v>
      </c>
      <c r="F276" s="175">
        <f>INDEX(Daten!$M$7:$M$429,MATCH('2'!B276,Daten!$A$7:$A$429,0))</f>
        <v>40751796.600000016</v>
      </c>
      <c r="G276" s="135">
        <f>INDEX(Daten!$N$7:$N$429,MATCH('2'!B276,Daten!$A$7:$A$429,0))</f>
        <v>28387801.260000005</v>
      </c>
      <c r="H276" s="135">
        <f>INDEX(Daten!$P$7:$P$429,MATCH('2'!B276,Daten!$A$7:$A$429,0))</f>
        <v>13615139.209999999</v>
      </c>
      <c r="I276" s="135">
        <f>INDEX(Daten!$L$7:$L$429,MATCH('2'!B276,Daten!$A$7:$A$429,0))</f>
        <v>6800445.4300000006</v>
      </c>
      <c r="J276" s="135">
        <f>INDEX(Daten!$K$7:$K$429,MATCH('2'!B276,Daten!$A$7:$A$429,0))</f>
        <v>11634666.850000001</v>
      </c>
      <c r="K276" s="135">
        <f>INDEX(Daten!$O$7:$O$429,MATCH('2'!B276,Daten!$A$7:$A$429,0))</f>
        <v>295901.57</v>
      </c>
      <c r="L276" s="151">
        <f>INDEX(Daten!$Q$7:$Q$429,MATCH('2'!B276,Daten!$A$7:$A$429,0))</f>
        <v>734198.48</v>
      </c>
    </row>
    <row r="277" spans="1:12" ht="15" customHeight="1">
      <c r="A277" s="172" t="str">
        <f>Daten!C270</f>
        <v>JC Regionalverband Saarbrücken</v>
      </c>
      <c r="B277" s="214" t="str">
        <f>Daten!A270</f>
        <v>55502</v>
      </c>
      <c r="C277" s="172" t="str">
        <f>Daten!F270</f>
        <v>10</v>
      </c>
      <c r="D277" s="145" t="str">
        <f>Daten!E270</f>
        <v>IIIb</v>
      </c>
      <c r="E277" s="282">
        <f>INDEX(Daten!$R$7:$R$429,MATCH('2'!B277,Daten!$A$7:$A$429,0))</f>
        <v>422015489.61000001</v>
      </c>
      <c r="F277" s="175">
        <f>INDEX(Daten!$M$7:$M$429,MATCH('2'!B277,Daten!$A$7:$A$429,0))</f>
        <v>163736532.45999998</v>
      </c>
      <c r="G277" s="135">
        <f>INDEX(Daten!$N$7:$N$429,MATCH('2'!B277,Daten!$A$7:$A$429,0))</f>
        <v>126809129.22999997</v>
      </c>
      <c r="H277" s="135">
        <f>INDEX(Daten!$P$7:$P$429,MATCH('2'!B277,Daten!$A$7:$A$429,0))</f>
        <v>52222533.920000009</v>
      </c>
      <c r="I277" s="135">
        <f>INDEX(Daten!$L$7:$L$429,MATCH('2'!B277,Daten!$A$7:$A$429,0))</f>
        <v>33827660.079999998</v>
      </c>
      <c r="J277" s="135">
        <f>INDEX(Daten!$K$7:$K$429,MATCH('2'!B277,Daten!$A$7:$A$429,0))</f>
        <v>43895253.700000003</v>
      </c>
      <c r="K277" s="135">
        <f>INDEX(Daten!$O$7:$O$429,MATCH('2'!B277,Daten!$A$7:$A$429,0))</f>
        <v>1524380.2200000002</v>
      </c>
      <c r="L277" s="151">
        <f>INDEX(Daten!$Q$7:$Q$429,MATCH('2'!B277,Daten!$A$7:$A$429,0))</f>
        <v>5452256.2599999998</v>
      </c>
    </row>
    <row r="278" spans="1:12" ht="15" customHeight="1">
      <c r="A278" s="172" t="str">
        <f>Daten!C271</f>
        <v>JC Neunkirchen</v>
      </c>
      <c r="B278" s="214" t="str">
        <f>Daten!A271</f>
        <v>55514</v>
      </c>
      <c r="C278" s="172" t="str">
        <f>Daten!F271</f>
        <v>10</v>
      </c>
      <c r="D278" s="145" t="str">
        <f>Daten!E271</f>
        <v>IId</v>
      </c>
      <c r="E278" s="282">
        <f>INDEX(Daten!$R$7:$R$429,MATCH('2'!B278,Daten!$A$7:$A$429,0))</f>
        <v>123360977.73999999</v>
      </c>
      <c r="F278" s="175">
        <f>INDEX(Daten!$M$7:$M$429,MATCH('2'!B278,Daten!$A$7:$A$429,0))</f>
        <v>49191793.829999998</v>
      </c>
      <c r="G278" s="135">
        <f>INDEX(Daten!$N$7:$N$429,MATCH('2'!B278,Daten!$A$7:$A$429,0))</f>
        <v>35927491.890000001</v>
      </c>
      <c r="H278" s="135">
        <f>INDEX(Daten!$P$7:$P$429,MATCH('2'!B278,Daten!$A$7:$A$429,0))</f>
        <v>15626061.969999997</v>
      </c>
      <c r="I278" s="135">
        <f>INDEX(Daten!$L$7:$L$429,MATCH('2'!B278,Daten!$A$7:$A$429,0))</f>
        <v>8019563.7600000007</v>
      </c>
      <c r="J278" s="135">
        <f>INDEX(Daten!$K$7:$K$429,MATCH('2'!B278,Daten!$A$7:$A$429,0))</f>
        <v>13801259.41</v>
      </c>
      <c r="K278" s="135">
        <f>INDEX(Daten!$O$7:$O$429,MATCH('2'!B278,Daten!$A$7:$A$429,0))</f>
        <v>794806.88</v>
      </c>
      <c r="L278" s="151">
        <f>INDEX(Daten!$Q$7:$Q$429,MATCH('2'!B278,Daten!$A$7:$A$429,0))</f>
        <v>1926265.42</v>
      </c>
    </row>
    <row r="279" spans="1:12" ht="15" customHeight="1">
      <c r="A279" s="172" t="str">
        <f>Daten!C272</f>
        <v>JC St. Wendel</v>
      </c>
      <c r="B279" s="214" t="str">
        <f>Daten!A272</f>
        <v>55516</v>
      </c>
      <c r="C279" s="172" t="str">
        <f>Daten!F272</f>
        <v>10</v>
      </c>
      <c r="D279" s="145" t="str">
        <f>Daten!E272</f>
        <v>IIa</v>
      </c>
      <c r="E279" s="282">
        <f>INDEX(Daten!$R$7:$R$429,MATCH('2'!B279,Daten!$A$7:$A$429,0))</f>
        <v>39921290</v>
      </c>
      <c r="F279" s="175">
        <f>INDEX(Daten!$M$7:$M$429,MATCH('2'!B279,Daten!$A$7:$A$429,0))</f>
        <v>16735361</v>
      </c>
      <c r="G279" s="135">
        <f>INDEX(Daten!$N$7:$N$429,MATCH('2'!B279,Daten!$A$7:$A$429,0))</f>
        <v>10722690</v>
      </c>
      <c r="H279" s="135">
        <f>INDEX(Daten!$P$7:$P$429,MATCH('2'!B279,Daten!$A$7:$A$429,0))</f>
        <v>5260787</v>
      </c>
      <c r="I279" s="135">
        <f>INDEX(Daten!$L$7:$L$429,MATCH('2'!B279,Daten!$A$7:$A$429,0))</f>
        <v>1127185</v>
      </c>
      <c r="J279" s="135">
        <f>INDEX(Daten!$K$7:$K$429,MATCH('2'!B279,Daten!$A$7:$A$429,0))</f>
        <v>5992296</v>
      </c>
      <c r="K279" s="135">
        <f>INDEX(Daten!$O$7:$O$429,MATCH('2'!B279,Daten!$A$7:$A$429,0))</f>
        <v>82971</v>
      </c>
      <c r="L279" s="151">
        <f>INDEX(Daten!$Q$7:$Q$429,MATCH('2'!B279,Daten!$A$7:$A$429,0))</f>
        <v>796448</v>
      </c>
    </row>
    <row r="280" spans="1:12" ht="15" customHeight="1">
      <c r="A280" s="172" t="str">
        <f>Daten!C273</f>
        <v>JC Saarpfalz-Kreis</v>
      </c>
      <c r="B280" s="214" t="str">
        <f>Daten!A273</f>
        <v>55518</v>
      </c>
      <c r="C280" s="172" t="str">
        <f>Daten!F273</f>
        <v>10</v>
      </c>
      <c r="D280" s="145" t="str">
        <f>Daten!E273</f>
        <v>IId</v>
      </c>
      <c r="E280" s="282">
        <f>INDEX(Daten!$R$7:$R$429,MATCH('2'!B280,Daten!$A$7:$A$429,0))</f>
        <v>78524231</v>
      </c>
      <c r="F280" s="175">
        <f>INDEX(Daten!$M$7:$M$429,MATCH('2'!B280,Daten!$A$7:$A$429,0))</f>
        <v>31847807</v>
      </c>
      <c r="G280" s="135">
        <f>INDEX(Daten!$N$7:$N$429,MATCH('2'!B280,Daten!$A$7:$A$429,0))</f>
        <v>22116092</v>
      </c>
      <c r="H280" s="135">
        <f>INDEX(Daten!$P$7:$P$429,MATCH('2'!B280,Daten!$A$7:$A$429,0))</f>
        <v>10392894</v>
      </c>
      <c r="I280" s="135">
        <f>INDEX(Daten!$L$7:$L$429,MATCH('2'!B280,Daten!$A$7:$A$429,0))</f>
        <v>5279548</v>
      </c>
      <c r="J280" s="135">
        <f>INDEX(Daten!$K$7:$K$429,MATCH('2'!B280,Daten!$A$7:$A$429,0))</f>
        <v>8553269</v>
      </c>
      <c r="K280" s="135">
        <f>INDEX(Daten!$O$7:$O$429,MATCH('2'!B280,Daten!$A$7:$A$429,0))</f>
        <v>334621</v>
      </c>
      <c r="L280" s="151">
        <f>INDEX(Daten!$Q$7:$Q$429,MATCH('2'!B280,Daten!$A$7:$A$429,0))</f>
        <v>1164115</v>
      </c>
    </row>
    <row r="281" spans="1:12" ht="15" customHeight="1">
      <c r="A281" s="172" t="str">
        <f>Daten!C274</f>
        <v>JC Merzig-Wadern</v>
      </c>
      <c r="B281" s="214" t="str">
        <f>Daten!A274</f>
        <v>55520</v>
      </c>
      <c r="C281" s="172" t="str">
        <f>Daten!F274</f>
        <v>10</v>
      </c>
      <c r="D281" s="145" t="str">
        <f>Daten!E274</f>
        <v>IIa</v>
      </c>
      <c r="E281" s="282">
        <f>INDEX(Daten!$R$7:$R$429,MATCH('2'!B281,Daten!$A$7:$A$429,0))</f>
        <v>49037706.659999996</v>
      </c>
      <c r="F281" s="175">
        <f>INDEX(Daten!$M$7:$M$429,MATCH('2'!B281,Daten!$A$7:$A$429,0))</f>
        <v>19394017.530000001</v>
      </c>
      <c r="G281" s="135">
        <f>INDEX(Daten!$N$7:$N$429,MATCH('2'!B281,Daten!$A$7:$A$429,0))</f>
        <v>14079573.309999999</v>
      </c>
      <c r="H281" s="135">
        <f>INDEX(Daten!$P$7:$P$429,MATCH('2'!B281,Daten!$A$7:$A$429,0))</f>
        <v>6299324.5399999991</v>
      </c>
      <c r="I281" s="135">
        <f>INDEX(Daten!$L$7:$L$429,MATCH('2'!B281,Daten!$A$7:$A$429,0))</f>
        <v>2843570.3899999992</v>
      </c>
      <c r="J281" s="135">
        <f>INDEX(Daten!$K$7:$K$429,MATCH('2'!B281,Daten!$A$7:$A$429,0))</f>
        <v>6187377.9000000004</v>
      </c>
      <c r="K281" s="135">
        <f>INDEX(Daten!$O$7:$O$429,MATCH('2'!B281,Daten!$A$7:$A$429,0))</f>
        <v>233842.99000000002</v>
      </c>
      <c r="L281" s="151">
        <f>INDEX(Daten!$Q$7:$Q$429,MATCH('2'!B281,Daten!$A$7:$A$429,0))</f>
        <v>740682.45</v>
      </c>
    </row>
    <row r="282" spans="1:12" ht="15" customHeight="1">
      <c r="A282" s="172" t="str">
        <f>Daten!C275</f>
        <v>JC Saarlouis</v>
      </c>
      <c r="B282" s="214" t="str">
        <f>Daten!A275</f>
        <v>55522</v>
      </c>
      <c r="C282" s="172" t="str">
        <f>Daten!F275</f>
        <v>10</v>
      </c>
      <c r="D282" s="145" t="str">
        <f>Daten!E275</f>
        <v>IIa</v>
      </c>
      <c r="E282" s="282">
        <f>INDEX(Daten!$R$7:$R$429,MATCH('2'!B282,Daten!$A$7:$A$429,0))</f>
        <v>129313768</v>
      </c>
      <c r="F282" s="175">
        <f>INDEX(Daten!$M$7:$M$429,MATCH('2'!B282,Daten!$A$7:$A$429,0))</f>
        <v>53004594</v>
      </c>
      <c r="G282" s="135">
        <f>INDEX(Daten!$N$7:$N$429,MATCH('2'!B282,Daten!$A$7:$A$429,0))</f>
        <v>36482583</v>
      </c>
      <c r="H282" s="135">
        <f>INDEX(Daten!$P$7:$P$429,MATCH('2'!B282,Daten!$A$7:$A$429,0))</f>
        <v>16607162</v>
      </c>
      <c r="I282" s="135">
        <f>INDEX(Daten!$L$7:$L$429,MATCH('2'!B282,Daten!$A$7:$A$429,0))</f>
        <v>6439836</v>
      </c>
      <c r="J282" s="135">
        <f>INDEX(Daten!$K$7:$K$429,MATCH('2'!B282,Daten!$A$7:$A$429,0))</f>
        <v>16090330</v>
      </c>
      <c r="K282" s="135">
        <f>INDEX(Daten!$O$7:$O$429,MATCH('2'!B282,Daten!$A$7:$A$429,0))</f>
        <v>689263</v>
      </c>
      <c r="L282" s="151">
        <f>INDEX(Daten!$Q$7:$Q$429,MATCH('2'!B282,Daten!$A$7:$A$429,0))</f>
        <v>3890436</v>
      </c>
    </row>
    <row r="283" spans="1:12" ht="15" customHeight="1">
      <c r="A283" s="172" t="str">
        <f>Daten!C276</f>
        <v>JC Bernkastel-Wittlich</v>
      </c>
      <c r="B283" s="214" t="str">
        <f>Daten!A276</f>
        <v>56302</v>
      </c>
      <c r="C283" s="172" t="str">
        <f>Daten!F276</f>
        <v>07</v>
      </c>
      <c r="D283" s="145" t="str">
        <f>Daten!E276</f>
        <v>Ib</v>
      </c>
      <c r="E283" s="282">
        <f>INDEX(Daten!$R$7:$R$429,MATCH('2'!B283,Daten!$A$7:$A$429,0))</f>
        <v>38935042.719999999</v>
      </c>
      <c r="F283" s="175">
        <f>INDEX(Daten!$M$7:$M$429,MATCH('2'!B283,Daten!$A$7:$A$429,0))</f>
        <v>15958460.669999998</v>
      </c>
      <c r="G283" s="135">
        <f>INDEX(Daten!$N$7:$N$429,MATCH('2'!B283,Daten!$A$7:$A$429,0))</f>
        <v>11595738.110000001</v>
      </c>
      <c r="H283" s="135">
        <f>INDEX(Daten!$P$7:$P$429,MATCH('2'!B283,Daten!$A$7:$A$429,0))</f>
        <v>5410382.3200000012</v>
      </c>
      <c r="I283" s="135">
        <f>INDEX(Daten!$L$7:$L$429,MATCH('2'!B283,Daten!$A$7:$A$429,0))</f>
        <v>1611562.6199999999</v>
      </c>
      <c r="J283" s="135">
        <f>INDEX(Daten!$K$7:$K$429,MATCH('2'!B283,Daten!$A$7:$A$429,0))</f>
        <v>4239208.8599999994</v>
      </c>
      <c r="K283" s="135">
        <f>INDEX(Daten!$O$7:$O$429,MATCH('2'!B283,Daten!$A$7:$A$429,0))</f>
        <v>119690.14</v>
      </c>
      <c r="L283" s="151">
        <f>INDEX(Daten!$Q$7:$Q$429,MATCH('2'!B283,Daten!$A$7:$A$429,0))</f>
        <v>489885.13</v>
      </c>
    </row>
    <row r="284" spans="1:12" ht="15" customHeight="1">
      <c r="A284" s="172" t="str">
        <f>Daten!C277</f>
        <v>JC Bitburg-Prüm</v>
      </c>
      <c r="B284" s="214" t="str">
        <f>Daten!A277</f>
        <v>56304</v>
      </c>
      <c r="C284" s="172" t="str">
        <f>Daten!F277</f>
        <v>07</v>
      </c>
      <c r="D284" s="145" t="str">
        <f>Daten!E277</f>
        <v>Ib</v>
      </c>
      <c r="E284" s="282">
        <f>INDEX(Daten!$R$7:$R$429,MATCH('2'!B284,Daten!$A$7:$A$429,0))</f>
        <v>29603524.190000001</v>
      </c>
      <c r="F284" s="175">
        <f>INDEX(Daten!$M$7:$M$429,MATCH('2'!B284,Daten!$A$7:$A$429,0))</f>
        <v>12422923.690000001</v>
      </c>
      <c r="G284" s="135">
        <f>INDEX(Daten!$N$7:$N$429,MATCH('2'!B284,Daten!$A$7:$A$429,0))</f>
        <v>9094471.9000000004</v>
      </c>
      <c r="H284" s="135">
        <f>INDEX(Daten!$P$7:$P$429,MATCH('2'!B284,Daten!$A$7:$A$429,0))</f>
        <v>4040108.61</v>
      </c>
      <c r="I284" s="135">
        <f>INDEX(Daten!$L$7:$L$429,MATCH('2'!B284,Daten!$A$7:$A$429,0))</f>
        <v>884218.99000000011</v>
      </c>
      <c r="J284" s="135">
        <f>INDEX(Daten!$K$7:$K$429,MATCH('2'!B284,Daten!$A$7:$A$429,0))</f>
        <v>3049165.3400000003</v>
      </c>
      <c r="K284" s="135">
        <f>INDEX(Daten!$O$7:$O$429,MATCH('2'!B284,Daten!$A$7:$A$429,0))</f>
        <v>112635.66</v>
      </c>
      <c r="L284" s="151">
        <f>INDEX(Daten!$Q$7:$Q$429,MATCH('2'!B284,Daten!$A$7:$A$429,0))</f>
        <v>290038.24000000005</v>
      </c>
    </row>
    <row r="285" spans="1:12" ht="15" customHeight="1">
      <c r="A285" s="172" t="str">
        <f>Daten!C278</f>
        <v>JC Trier, Stadt</v>
      </c>
      <c r="B285" s="214" t="str">
        <f>Daten!A278</f>
        <v>56306</v>
      </c>
      <c r="C285" s="172" t="str">
        <f>Daten!F278</f>
        <v>07</v>
      </c>
      <c r="D285" s="145" t="str">
        <f>Daten!E278</f>
        <v>IIb</v>
      </c>
      <c r="E285" s="282">
        <f>INDEX(Daten!$R$7:$R$429,MATCH('2'!B285,Daten!$A$7:$A$429,0))</f>
        <v>91384912.929999977</v>
      </c>
      <c r="F285" s="175">
        <f>INDEX(Daten!$M$7:$M$429,MATCH('2'!B285,Daten!$A$7:$A$429,0))</f>
        <v>34983695.739999995</v>
      </c>
      <c r="G285" s="135">
        <f>INDEX(Daten!$N$7:$N$429,MATCH('2'!B285,Daten!$A$7:$A$429,0))</f>
        <v>30901185.549999993</v>
      </c>
      <c r="H285" s="135">
        <f>INDEX(Daten!$P$7:$P$429,MATCH('2'!B285,Daten!$A$7:$A$429,0))</f>
        <v>11453580.02</v>
      </c>
      <c r="I285" s="135">
        <f>INDEX(Daten!$L$7:$L$429,MATCH('2'!B285,Daten!$A$7:$A$429,0))</f>
        <v>4414995.1100000003</v>
      </c>
      <c r="J285" s="135">
        <f>INDEX(Daten!$K$7:$K$429,MATCH('2'!B285,Daten!$A$7:$A$429,0))</f>
        <v>9043402.9399999995</v>
      </c>
      <c r="K285" s="135">
        <f>INDEX(Daten!$O$7:$O$429,MATCH('2'!B285,Daten!$A$7:$A$429,0))</f>
        <v>588053.56999999995</v>
      </c>
      <c r="L285" s="151">
        <f>INDEX(Daten!$Q$7:$Q$429,MATCH('2'!B285,Daten!$A$7:$A$429,0))</f>
        <v>1001014.52</v>
      </c>
    </row>
    <row r="286" spans="1:12" ht="15" customHeight="1">
      <c r="A286" s="172" t="str">
        <f>Daten!C279</f>
        <v>JC Trier-Saarburg</v>
      </c>
      <c r="B286" s="214" t="str">
        <f>Daten!A279</f>
        <v>56308</v>
      </c>
      <c r="C286" s="172" t="str">
        <f>Daten!F279</f>
        <v>07</v>
      </c>
      <c r="D286" s="145" t="str">
        <f>Daten!E279</f>
        <v>Ib</v>
      </c>
      <c r="E286" s="282">
        <f>INDEX(Daten!$R$7:$R$429,MATCH('2'!B286,Daten!$A$7:$A$429,0))</f>
        <v>36929201.189999998</v>
      </c>
      <c r="F286" s="175">
        <f>INDEX(Daten!$M$7:$M$429,MATCH('2'!B286,Daten!$A$7:$A$429,0))</f>
        <v>14971053.529999997</v>
      </c>
      <c r="G286" s="135">
        <f>INDEX(Daten!$N$7:$N$429,MATCH('2'!B286,Daten!$A$7:$A$429,0))</f>
        <v>10681992.209999999</v>
      </c>
      <c r="H286" s="135">
        <f>INDEX(Daten!$P$7:$P$429,MATCH('2'!B286,Daten!$A$7:$A$429,0))</f>
        <v>5153799.1400000006</v>
      </c>
      <c r="I286" s="135">
        <f>INDEX(Daten!$L$7:$L$429,MATCH('2'!B286,Daten!$A$7:$A$429,0))</f>
        <v>1468500.2300000004</v>
      </c>
      <c r="J286" s="135">
        <f>INDEX(Daten!$K$7:$K$429,MATCH('2'!B286,Daten!$A$7:$A$429,0))</f>
        <v>4530709.8999999994</v>
      </c>
      <c r="K286" s="135">
        <f>INDEX(Daten!$O$7:$O$429,MATCH('2'!B286,Daten!$A$7:$A$429,0))</f>
        <v>123146.18</v>
      </c>
      <c r="L286" s="151">
        <f>INDEX(Daten!$Q$7:$Q$429,MATCH('2'!B286,Daten!$A$7:$A$429,0))</f>
        <v>348833.22000000003</v>
      </c>
    </row>
    <row r="287" spans="1:12" ht="15" customHeight="1">
      <c r="A287" s="172" t="str">
        <f>Daten!C280</f>
        <v>JC Vulkaneifel</v>
      </c>
      <c r="B287" s="214" t="str">
        <f>Daten!A280</f>
        <v>56310</v>
      </c>
      <c r="C287" s="172" t="str">
        <f>Daten!F280</f>
        <v>07</v>
      </c>
      <c r="D287" s="145" t="str">
        <f>Daten!E280</f>
        <v>Ie</v>
      </c>
      <c r="E287" s="282">
        <f>INDEX(Daten!$R$7:$R$429,MATCH('2'!B287,Daten!$A$7:$A$429,0))</f>
        <v>19524641</v>
      </c>
      <c r="F287" s="175">
        <f>INDEX(Daten!$M$7:$M$429,MATCH('2'!B287,Daten!$A$7:$A$429,0))</f>
        <v>7886392</v>
      </c>
      <c r="G287" s="135">
        <f>INDEX(Daten!$N$7:$N$429,MATCH('2'!B287,Daten!$A$7:$A$429,0))</f>
        <v>5520771</v>
      </c>
      <c r="H287" s="135">
        <f>INDEX(Daten!$P$7:$P$429,MATCH('2'!B287,Daten!$A$7:$A$429,0))</f>
        <v>2672556</v>
      </c>
      <c r="I287" s="135">
        <f>INDEX(Daten!$L$7:$L$429,MATCH('2'!B287,Daten!$A$7:$A$429,0))</f>
        <v>862007</v>
      </c>
      <c r="J287" s="135">
        <f>INDEX(Daten!$K$7:$K$429,MATCH('2'!B287,Daten!$A$7:$A$429,0))</f>
        <v>2494962</v>
      </c>
      <c r="K287" s="135">
        <f>INDEX(Daten!$O$7:$O$429,MATCH('2'!B287,Daten!$A$7:$A$429,0))</f>
        <v>87953</v>
      </c>
      <c r="L287" s="151">
        <f>INDEX(Daten!$Q$7:$Q$429,MATCH('2'!B287,Daten!$A$7:$A$429,0))</f>
        <v>255529</v>
      </c>
    </row>
    <row r="288" spans="1:12" ht="15" customHeight="1">
      <c r="A288" s="172" t="str">
        <f>Daten!C281</f>
        <v>JC Heidenheim</v>
      </c>
      <c r="B288" s="214" t="str">
        <f>Daten!A281</f>
        <v>61108</v>
      </c>
      <c r="C288" s="172" t="str">
        <f>Daten!F281</f>
        <v>08</v>
      </c>
      <c r="D288" s="145" t="str">
        <f>Daten!E281</f>
        <v>Id</v>
      </c>
      <c r="E288" s="282">
        <f>INDEX(Daten!$R$7:$R$429,MATCH('2'!B288,Daten!$A$7:$A$429,0))</f>
        <v>59493495.75</v>
      </c>
      <c r="F288" s="175">
        <f>INDEX(Daten!$M$7:$M$429,MATCH('2'!B288,Daten!$A$7:$A$429,0))</f>
        <v>23236051.489999998</v>
      </c>
      <c r="G288" s="135">
        <f>INDEX(Daten!$N$7:$N$429,MATCH('2'!B288,Daten!$A$7:$A$429,0))</f>
        <v>17962420.18</v>
      </c>
      <c r="H288" s="135">
        <f>INDEX(Daten!$P$7:$P$429,MATCH('2'!B288,Daten!$A$7:$A$429,0))</f>
        <v>7787064.4600000009</v>
      </c>
      <c r="I288" s="135">
        <f>INDEX(Daten!$L$7:$L$429,MATCH('2'!B288,Daten!$A$7:$A$429,0))</f>
        <v>3056175.6699999995</v>
      </c>
      <c r="J288" s="135">
        <f>INDEX(Daten!$K$7:$K$429,MATCH('2'!B288,Daten!$A$7:$A$429,0))</f>
        <v>7081919.6399999987</v>
      </c>
      <c r="K288" s="135">
        <f>INDEX(Daten!$O$7:$O$429,MATCH('2'!B288,Daten!$A$7:$A$429,0))</f>
        <v>369864.31</v>
      </c>
      <c r="L288" s="151">
        <f>INDEX(Daten!$Q$7:$Q$429,MATCH('2'!B288,Daten!$A$7:$A$429,0))</f>
        <v>584117.93000000005</v>
      </c>
    </row>
    <row r="289" spans="1:12" ht="15" customHeight="1">
      <c r="A289" s="172" t="str">
        <f>Daten!C282</f>
        <v>JC Ostalbkreis</v>
      </c>
      <c r="B289" s="214" t="str">
        <f>Daten!A282</f>
        <v>61146</v>
      </c>
      <c r="C289" s="172" t="str">
        <f>Daten!F282</f>
        <v>08</v>
      </c>
      <c r="D289" s="145" t="str">
        <f>Daten!E282</f>
        <v>Id</v>
      </c>
      <c r="E289" s="282">
        <f>INDEX(Daten!$R$7:$R$429,MATCH('2'!B289,Daten!$A$7:$A$429,0))</f>
        <v>121328870</v>
      </c>
      <c r="F289" s="175">
        <f>INDEX(Daten!$M$7:$M$429,MATCH('2'!B289,Daten!$A$7:$A$429,0))</f>
        <v>48764944</v>
      </c>
      <c r="G289" s="135">
        <f>INDEX(Daten!$N$7:$N$429,MATCH('2'!B289,Daten!$A$7:$A$429,0))</f>
        <v>36158724</v>
      </c>
      <c r="H289" s="135">
        <f>INDEX(Daten!$P$7:$P$429,MATCH('2'!B289,Daten!$A$7:$A$429,0))</f>
        <v>15162176</v>
      </c>
      <c r="I289" s="135">
        <f>INDEX(Daten!$L$7:$L$429,MATCH('2'!B289,Daten!$A$7:$A$429,0))</f>
        <v>6955929</v>
      </c>
      <c r="J289" s="135">
        <f>INDEX(Daten!$K$7:$K$429,MATCH('2'!B289,Daten!$A$7:$A$429,0))</f>
        <v>13284791</v>
      </c>
      <c r="K289" s="135">
        <f>INDEX(Daten!$O$7:$O$429,MATCH('2'!B289,Daten!$A$7:$A$429,0))</f>
        <v>1002306</v>
      </c>
      <c r="L289" s="151">
        <f>INDEX(Daten!$Q$7:$Q$429,MATCH('2'!B289,Daten!$A$7:$A$429,0))</f>
        <v>1509952</v>
      </c>
    </row>
    <row r="290" spans="1:12" ht="15" customHeight="1">
      <c r="A290" s="172" t="str">
        <f>Daten!C283</f>
        <v>JC Zollernalbkreis</v>
      </c>
      <c r="B290" s="214" t="str">
        <f>Daten!A283</f>
        <v>61402</v>
      </c>
      <c r="C290" s="172" t="str">
        <f>Daten!F283</f>
        <v>08</v>
      </c>
      <c r="D290" s="145" t="str">
        <f>Daten!E283</f>
        <v>Ic</v>
      </c>
      <c r="E290" s="282">
        <f>INDEX(Daten!$R$7:$R$429,MATCH('2'!B290,Daten!$A$7:$A$429,0))</f>
        <v>67844817.090000004</v>
      </c>
      <c r="F290" s="175">
        <f>INDEX(Daten!$M$7:$M$429,MATCH('2'!B290,Daten!$A$7:$A$429,0))</f>
        <v>28066477.859999999</v>
      </c>
      <c r="G290" s="135">
        <f>INDEX(Daten!$N$7:$N$429,MATCH('2'!B290,Daten!$A$7:$A$429,0))</f>
        <v>19008087.840000004</v>
      </c>
      <c r="H290" s="135">
        <f>INDEX(Daten!$P$7:$P$429,MATCH('2'!B290,Daten!$A$7:$A$429,0))</f>
        <v>8926261.040000001</v>
      </c>
      <c r="I290" s="135">
        <f>INDEX(Daten!$L$7:$L$429,MATCH('2'!B290,Daten!$A$7:$A$429,0))</f>
        <v>4268964.790000001</v>
      </c>
      <c r="J290" s="135">
        <f>INDEX(Daten!$K$7:$K$429,MATCH('2'!B290,Daten!$A$7:$A$429,0))</f>
        <v>7214683.9699999979</v>
      </c>
      <c r="K290" s="135">
        <f>INDEX(Daten!$O$7:$O$429,MATCH('2'!B290,Daten!$A$7:$A$429,0))</f>
        <v>360341.58999999997</v>
      </c>
      <c r="L290" s="151">
        <f>INDEX(Daten!$Q$7:$Q$429,MATCH('2'!B290,Daten!$A$7:$A$429,0))</f>
        <v>599396.48999999987</v>
      </c>
    </row>
    <row r="291" spans="1:12" ht="15" customHeight="1">
      <c r="A291" s="172" t="str">
        <f>Daten!C284</f>
        <v>JC Sigmaringen</v>
      </c>
      <c r="B291" s="214" t="str">
        <f>Daten!A284</f>
        <v>61406</v>
      </c>
      <c r="C291" s="172" t="str">
        <f>Daten!F284</f>
        <v>08</v>
      </c>
      <c r="D291" s="145" t="str">
        <f>Daten!E284</f>
        <v>Ic</v>
      </c>
      <c r="E291" s="282">
        <f>INDEX(Daten!$R$7:$R$429,MATCH('2'!B291,Daten!$A$7:$A$429,0))</f>
        <v>37278468.430000007</v>
      </c>
      <c r="F291" s="175">
        <f>INDEX(Daten!$M$7:$M$429,MATCH('2'!B291,Daten!$A$7:$A$429,0))</f>
        <v>15241830.270000001</v>
      </c>
      <c r="G291" s="135">
        <f>INDEX(Daten!$N$7:$N$429,MATCH('2'!B291,Daten!$A$7:$A$429,0))</f>
        <v>10416442.880000001</v>
      </c>
      <c r="H291" s="135">
        <f>INDEX(Daten!$P$7:$P$429,MATCH('2'!B291,Daten!$A$7:$A$429,0))</f>
        <v>5034903.419999999</v>
      </c>
      <c r="I291" s="135">
        <f>INDEX(Daten!$L$7:$L$429,MATCH('2'!B291,Daten!$A$7:$A$429,0))</f>
        <v>1783427.4000000001</v>
      </c>
      <c r="J291" s="135">
        <f>INDEX(Daten!$K$7:$K$429,MATCH('2'!B291,Daten!$A$7:$A$429,0))</f>
        <v>4654981.1099999994</v>
      </c>
      <c r="K291" s="135">
        <f>INDEX(Daten!$O$7:$O$429,MATCH('2'!B291,Daten!$A$7:$A$429,0))</f>
        <v>146883.35</v>
      </c>
      <c r="L291" s="151">
        <f>INDEX(Daten!$Q$7:$Q$429,MATCH('2'!B291,Daten!$A$7:$A$429,0))</f>
        <v>344529.02</v>
      </c>
    </row>
    <row r="292" spans="1:12" ht="15" customHeight="1">
      <c r="A292" s="172" t="str">
        <f>Daten!C285</f>
        <v>JC Breisgau-Hochschwarzwald</v>
      </c>
      <c r="B292" s="214" t="str">
        <f>Daten!A285</f>
        <v>61702</v>
      </c>
      <c r="C292" s="172" t="str">
        <f>Daten!F285</f>
        <v>08</v>
      </c>
      <c r="D292" s="145" t="str">
        <f>Daten!E285</f>
        <v>Id</v>
      </c>
      <c r="E292" s="282">
        <f>INDEX(Daten!$R$7:$R$429,MATCH('2'!B292,Daten!$A$7:$A$429,0))</f>
        <v>97048931.040000007</v>
      </c>
      <c r="F292" s="175">
        <f>INDEX(Daten!$M$7:$M$429,MATCH('2'!B292,Daten!$A$7:$A$429,0))</f>
        <v>35453865.220000006</v>
      </c>
      <c r="G292" s="135">
        <f>INDEX(Daten!$N$7:$N$429,MATCH('2'!B292,Daten!$A$7:$A$429,0))</f>
        <v>32533494.159999996</v>
      </c>
      <c r="H292" s="135">
        <f>INDEX(Daten!$P$7:$P$429,MATCH('2'!B292,Daten!$A$7:$A$429,0))</f>
        <v>12633810.710000003</v>
      </c>
      <c r="I292" s="135">
        <f>INDEX(Daten!$L$7:$L$429,MATCH('2'!B292,Daten!$A$7:$A$429,0))</f>
        <v>5352170.3999999994</v>
      </c>
      <c r="J292" s="135">
        <f>INDEX(Daten!$K$7:$K$429,MATCH('2'!B292,Daten!$A$7:$A$429,0))</f>
        <v>10594910.199999999</v>
      </c>
      <c r="K292" s="135">
        <f>INDEX(Daten!$O$7:$O$429,MATCH('2'!B292,Daten!$A$7:$A$429,0))</f>
        <v>480680.35</v>
      </c>
      <c r="L292" s="151">
        <f>INDEX(Daten!$Q$7:$Q$429,MATCH('2'!B292,Daten!$A$7:$A$429,0))</f>
        <v>1094077.25</v>
      </c>
    </row>
    <row r="293" spans="1:12" ht="15" customHeight="1">
      <c r="A293" s="172" t="str">
        <f>Daten!C286</f>
        <v>JC Emmendingen</v>
      </c>
      <c r="B293" s="214" t="str">
        <f>Daten!A286</f>
        <v>61704</v>
      </c>
      <c r="C293" s="172" t="str">
        <f>Daten!F286</f>
        <v>08</v>
      </c>
      <c r="D293" s="145" t="str">
        <f>Daten!E286</f>
        <v>Ib</v>
      </c>
      <c r="E293" s="282">
        <f>INDEX(Daten!$R$7:$R$429,MATCH('2'!B293,Daten!$A$7:$A$429,0))</f>
        <v>52858648.830000006</v>
      </c>
      <c r="F293" s="175">
        <f>INDEX(Daten!$M$7:$M$429,MATCH('2'!B293,Daten!$A$7:$A$429,0))</f>
        <v>20460980.800000008</v>
      </c>
      <c r="G293" s="135">
        <f>INDEX(Daten!$N$7:$N$429,MATCH('2'!B293,Daten!$A$7:$A$429,0))</f>
        <v>16158560.049999999</v>
      </c>
      <c r="H293" s="135">
        <f>INDEX(Daten!$P$7:$P$429,MATCH('2'!B293,Daten!$A$7:$A$429,0))</f>
        <v>6887180.6599999992</v>
      </c>
      <c r="I293" s="135">
        <f>INDEX(Daten!$L$7:$L$429,MATCH('2'!B293,Daten!$A$7:$A$429,0))</f>
        <v>3134015.3200000008</v>
      </c>
      <c r="J293" s="135">
        <f>INDEX(Daten!$K$7:$K$429,MATCH('2'!B293,Daten!$A$7:$A$429,0))</f>
        <v>6070072.4299999997</v>
      </c>
      <c r="K293" s="135">
        <f>INDEX(Daten!$O$7:$O$429,MATCH('2'!B293,Daten!$A$7:$A$429,0))</f>
        <v>147839.57</v>
      </c>
      <c r="L293" s="151">
        <f>INDEX(Daten!$Q$7:$Q$429,MATCH('2'!B293,Daten!$A$7:$A$429,0))</f>
        <v>534919.76</v>
      </c>
    </row>
    <row r="294" spans="1:12" ht="15" customHeight="1">
      <c r="A294" s="172" t="str">
        <f>Daten!C287</f>
        <v>JC Freiburg im Breisgau, Stadt</v>
      </c>
      <c r="B294" s="214" t="str">
        <f>Daten!A287</f>
        <v>61706</v>
      </c>
      <c r="C294" s="172" t="str">
        <f>Daten!F287</f>
        <v>08</v>
      </c>
      <c r="D294" s="145" t="str">
        <f>Daten!E287</f>
        <v>IIb</v>
      </c>
      <c r="E294" s="282">
        <f>INDEX(Daten!$R$7:$R$429,MATCH('2'!B294,Daten!$A$7:$A$429,0))</f>
        <v>151326327.43000004</v>
      </c>
      <c r="F294" s="175">
        <f>INDEX(Daten!$M$7:$M$429,MATCH('2'!B294,Daten!$A$7:$A$429,0))</f>
        <v>54428771.170000017</v>
      </c>
      <c r="G294" s="135">
        <f>INDEX(Daten!$N$7:$N$429,MATCH('2'!B294,Daten!$A$7:$A$429,0))</f>
        <v>50290818.410000011</v>
      </c>
      <c r="H294" s="135">
        <f>INDEX(Daten!$P$7:$P$429,MATCH('2'!B294,Daten!$A$7:$A$429,0))</f>
        <v>18833871.949999996</v>
      </c>
      <c r="I294" s="135">
        <f>INDEX(Daten!$L$7:$L$429,MATCH('2'!B294,Daten!$A$7:$A$429,0))</f>
        <v>9178528.6199999992</v>
      </c>
      <c r="J294" s="135">
        <f>INDEX(Daten!$K$7:$K$429,MATCH('2'!B294,Daten!$A$7:$A$429,0))</f>
        <v>18150778.630000003</v>
      </c>
      <c r="K294" s="135">
        <f>INDEX(Daten!$O$7:$O$429,MATCH('2'!B294,Daten!$A$7:$A$429,0))</f>
        <v>443558.65</v>
      </c>
      <c r="L294" s="151">
        <f>INDEX(Daten!$Q$7:$Q$429,MATCH('2'!B294,Daten!$A$7:$A$429,0))</f>
        <v>2841120.52</v>
      </c>
    </row>
    <row r="295" spans="1:12" ht="15" customHeight="1">
      <c r="A295" s="172" t="str">
        <f>Daten!C288</f>
        <v>JC Esslingen</v>
      </c>
      <c r="B295" s="214" t="str">
        <f>Daten!A288</f>
        <v>62102</v>
      </c>
      <c r="C295" s="172" t="str">
        <f>Daten!F288</f>
        <v>08</v>
      </c>
      <c r="D295" s="145" t="str">
        <f>Daten!E288</f>
        <v>Id</v>
      </c>
      <c r="E295" s="282">
        <f>INDEX(Daten!$R$7:$R$429,MATCH('2'!B295,Daten!$A$7:$A$429,0))</f>
        <v>257010685.97</v>
      </c>
      <c r="F295" s="175">
        <f>INDEX(Daten!$M$7:$M$429,MATCH('2'!B295,Daten!$A$7:$A$429,0))</f>
        <v>95517295.399999991</v>
      </c>
      <c r="G295" s="135">
        <f>INDEX(Daten!$N$7:$N$429,MATCH('2'!B295,Daten!$A$7:$A$429,0))</f>
        <v>87773326.890000001</v>
      </c>
      <c r="H295" s="135">
        <f>INDEX(Daten!$P$7:$P$429,MATCH('2'!B295,Daten!$A$7:$A$429,0))</f>
        <v>31691214.920000009</v>
      </c>
      <c r="I295" s="135">
        <f>INDEX(Daten!$L$7:$L$429,MATCH('2'!B295,Daten!$A$7:$A$429,0))</f>
        <v>16635388.069999997</v>
      </c>
      <c r="J295" s="135">
        <f>INDEX(Daten!$K$7:$K$429,MATCH('2'!B295,Daten!$A$7:$A$429,0))</f>
        <v>24321025.589999996</v>
      </c>
      <c r="K295" s="135">
        <f>INDEX(Daten!$O$7:$O$429,MATCH('2'!B295,Daten!$A$7:$A$429,0))</f>
        <v>1072435.0999999999</v>
      </c>
      <c r="L295" s="151">
        <f>INDEX(Daten!$Q$7:$Q$429,MATCH('2'!B295,Daten!$A$7:$A$429,0))</f>
        <v>2444179.4599999995</v>
      </c>
    </row>
    <row r="296" spans="1:12" ht="15" customHeight="1">
      <c r="A296" s="172" t="str">
        <f>Daten!C289</f>
        <v>JC Göppingen</v>
      </c>
      <c r="B296" s="214" t="str">
        <f>Daten!A289</f>
        <v>62106</v>
      </c>
      <c r="C296" s="172" t="str">
        <f>Daten!F289</f>
        <v>08</v>
      </c>
      <c r="D296" s="145" t="str">
        <f>Daten!E289</f>
        <v>Id</v>
      </c>
      <c r="E296" s="282">
        <f>INDEX(Daten!$R$7:$R$429,MATCH('2'!B296,Daten!$A$7:$A$429,0))</f>
        <v>129595348.77999999</v>
      </c>
      <c r="F296" s="175">
        <f>INDEX(Daten!$M$7:$M$429,MATCH('2'!B296,Daten!$A$7:$A$429,0))</f>
        <v>50493204.630000003</v>
      </c>
      <c r="G296" s="135">
        <f>INDEX(Daten!$N$7:$N$429,MATCH('2'!B296,Daten!$A$7:$A$429,0))</f>
        <v>40493926.319999985</v>
      </c>
      <c r="H296" s="135">
        <f>INDEX(Daten!$P$7:$P$429,MATCH('2'!B296,Daten!$A$7:$A$429,0))</f>
        <v>16592682.040000001</v>
      </c>
      <c r="I296" s="135">
        <f>INDEX(Daten!$L$7:$L$429,MATCH('2'!B296,Daten!$A$7:$A$429,0))</f>
        <v>7318842.8299999991</v>
      </c>
      <c r="J296" s="135">
        <f>INDEX(Daten!$K$7:$K$429,MATCH('2'!B296,Daten!$A$7:$A$429,0))</f>
        <v>13993321.390000001</v>
      </c>
      <c r="K296" s="135">
        <f>INDEX(Daten!$O$7:$O$429,MATCH('2'!B296,Daten!$A$7:$A$429,0))</f>
        <v>703371.57</v>
      </c>
      <c r="L296" s="151">
        <f>INDEX(Daten!$Q$7:$Q$429,MATCH('2'!B296,Daten!$A$7:$A$429,0))</f>
        <v>1242648.6300000001</v>
      </c>
    </row>
    <row r="297" spans="1:12" ht="15" customHeight="1">
      <c r="A297" s="172" t="str">
        <f>Daten!C290</f>
        <v>JC Heidelberg, Stadt</v>
      </c>
      <c r="B297" s="214" t="str">
        <f>Daten!A290</f>
        <v>62402</v>
      </c>
      <c r="C297" s="172" t="str">
        <f>Daten!F290</f>
        <v>08</v>
      </c>
      <c r="D297" s="145" t="str">
        <f>Daten!E290</f>
        <v>IIb</v>
      </c>
      <c r="E297" s="282">
        <f>INDEX(Daten!$R$7:$R$429,MATCH('2'!B297,Daten!$A$7:$A$429,0))</f>
        <v>70876171.659999996</v>
      </c>
      <c r="F297" s="175">
        <f>INDEX(Daten!$M$7:$M$429,MATCH('2'!B297,Daten!$A$7:$A$429,0))</f>
        <v>26665419.310000002</v>
      </c>
      <c r="G297" s="135">
        <f>INDEX(Daten!$N$7:$N$429,MATCH('2'!B297,Daten!$A$7:$A$429,0))</f>
        <v>22220124.439999998</v>
      </c>
      <c r="H297" s="135">
        <f>INDEX(Daten!$P$7:$P$429,MATCH('2'!B297,Daten!$A$7:$A$429,0))</f>
        <v>8827343.3500000015</v>
      </c>
      <c r="I297" s="135">
        <f>INDEX(Daten!$L$7:$L$429,MATCH('2'!B297,Daten!$A$7:$A$429,0))</f>
        <v>3294646.93</v>
      </c>
      <c r="J297" s="135">
        <f>INDEX(Daten!$K$7:$K$429,MATCH('2'!B297,Daten!$A$7:$A$429,0))</f>
        <v>9740293.870000001</v>
      </c>
      <c r="K297" s="135">
        <f>INDEX(Daten!$O$7:$O$429,MATCH('2'!B297,Daten!$A$7:$A$429,0))</f>
        <v>128343.76</v>
      </c>
      <c r="L297" s="151">
        <f>INDEX(Daten!$Q$7:$Q$429,MATCH('2'!B297,Daten!$A$7:$A$429,0))</f>
        <v>1129220.77</v>
      </c>
    </row>
    <row r="298" spans="1:12" ht="15" customHeight="1">
      <c r="A298" s="172" t="str">
        <f>Daten!C291</f>
        <v>JC Rhein-Neckar-Kreis</v>
      </c>
      <c r="B298" s="214" t="str">
        <f>Daten!A291</f>
        <v>62404</v>
      </c>
      <c r="C298" s="172" t="str">
        <f>Daten!F291</f>
        <v>08</v>
      </c>
      <c r="D298" s="145" t="str">
        <f>Daten!E291</f>
        <v>Id</v>
      </c>
      <c r="E298" s="282">
        <f>INDEX(Daten!$R$7:$R$429,MATCH('2'!B298,Daten!$A$7:$A$429,0))</f>
        <v>252202397.75999999</v>
      </c>
      <c r="F298" s="175">
        <f>INDEX(Daten!$M$7:$M$429,MATCH('2'!B298,Daten!$A$7:$A$429,0))</f>
        <v>98132156.349999994</v>
      </c>
      <c r="G298" s="135">
        <f>INDEX(Daten!$N$7:$N$429,MATCH('2'!B298,Daten!$A$7:$A$429,0))</f>
        <v>78184075.549999997</v>
      </c>
      <c r="H298" s="135">
        <f>INDEX(Daten!$P$7:$P$429,MATCH('2'!B298,Daten!$A$7:$A$429,0))</f>
        <v>32298138.609999999</v>
      </c>
      <c r="I298" s="135">
        <f>INDEX(Daten!$L$7:$L$429,MATCH('2'!B298,Daten!$A$7:$A$429,0))</f>
        <v>16644590.709999997</v>
      </c>
      <c r="J298" s="135">
        <f>INDEX(Daten!$K$7:$K$429,MATCH('2'!B298,Daten!$A$7:$A$429,0))</f>
        <v>26203864.039999999</v>
      </c>
      <c r="K298" s="135">
        <f>INDEX(Daten!$O$7:$O$429,MATCH('2'!B298,Daten!$A$7:$A$429,0))</f>
        <v>739572.5</v>
      </c>
      <c r="L298" s="151">
        <f>INDEX(Daten!$Q$7:$Q$429,MATCH('2'!B298,Daten!$A$7:$A$429,0))</f>
        <v>2860941.33</v>
      </c>
    </row>
    <row r="299" spans="1:12" ht="15" customHeight="1">
      <c r="A299" s="172" t="str">
        <f>Daten!C292</f>
        <v>JC Heilbronn, Stadt</v>
      </c>
      <c r="B299" s="214" t="str">
        <f>Daten!A292</f>
        <v>62702</v>
      </c>
      <c r="C299" s="172" t="str">
        <f>Daten!F292</f>
        <v>08</v>
      </c>
      <c r="D299" s="145" t="str">
        <f>Daten!E292</f>
        <v>IIb</v>
      </c>
      <c r="E299" s="282">
        <f>INDEX(Daten!$R$7:$R$429,MATCH('2'!B299,Daten!$A$7:$A$429,0))</f>
        <v>92251606.099999979</v>
      </c>
      <c r="F299" s="175">
        <f>INDEX(Daten!$M$7:$M$429,MATCH('2'!B299,Daten!$A$7:$A$429,0))</f>
        <v>35090495.739999995</v>
      </c>
      <c r="G299" s="135">
        <f>INDEX(Daten!$N$7:$N$429,MATCH('2'!B299,Daten!$A$7:$A$429,0))</f>
        <v>29494948.529999997</v>
      </c>
      <c r="H299" s="135">
        <f>INDEX(Daten!$P$7:$P$429,MATCH('2'!B299,Daten!$A$7:$A$429,0))</f>
        <v>11945547.160000002</v>
      </c>
      <c r="I299" s="135">
        <f>INDEX(Daten!$L$7:$L$429,MATCH('2'!B299,Daten!$A$7:$A$429,0))</f>
        <v>4412873.0500000007</v>
      </c>
      <c r="J299" s="135">
        <f>INDEX(Daten!$K$7:$K$429,MATCH('2'!B299,Daten!$A$7:$A$429,0))</f>
        <v>10989165.880000001</v>
      </c>
      <c r="K299" s="135">
        <f>INDEX(Daten!$O$7:$O$429,MATCH('2'!B299,Daten!$A$7:$A$429,0))</f>
        <v>318575.74</v>
      </c>
      <c r="L299" s="151">
        <f>INDEX(Daten!$Q$7:$Q$429,MATCH('2'!B299,Daten!$A$7:$A$429,0))</f>
        <v>772765.99</v>
      </c>
    </row>
    <row r="300" spans="1:12" ht="15" customHeight="1">
      <c r="A300" s="172" t="str">
        <f>Daten!C293</f>
        <v>JC Heilbronn</v>
      </c>
      <c r="B300" s="214" t="str">
        <f>Daten!A293</f>
        <v>62704</v>
      </c>
      <c r="C300" s="172" t="str">
        <f>Daten!F293</f>
        <v>08</v>
      </c>
      <c r="D300" s="145" t="str">
        <f>Daten!E293</f>
        <v>Id</v>
      </c>
      <c r="E300" s="282">
        <f>INDEX(Daten!$R$7:$R$429,MATCH('2'!B300,Daten!$A$7:$A$429,0))</f>
        <v>133433758.02</v>
      </c>
      <c r="F300" s="175">
        <f>INDEX(Daten!$M$7:$M$429,MATCH('2'!B300,Daten!$A$7:$A$429,0))</f>
        <v>52147718.179999992</v>
      </c>
      <c r="G300" s="135">
        <f>INDEX(Daten!$N$7:$N$429,MATCH('2'!B300,Daten!$A$7:$A$429,0))</f>
        <v>41215993.689999998</v>
      </c>
      <c r="H300" s="135">
        <f>INDEX(Daten!$P$7:$P$429,MATCH('2'!B300,Daten!$A$7:$A$429,0))</f>
        <v>16969098.840000004</v>
      </c>
      <c r="I300" s="135">
        <f>INDEX(Daten!$L$7:$L$429,MATCH('2'!B300,Daten!$A$7:$A$429,0))</f>
        <v>8175255.6899999995</v>
      </c>
      <c r="J300" s="135">
        <f>INDEX(Daten!$K$7:$K$429,MATCH('2'!B300,Daten!$A$7:$A$429,0))</f>
        <v>14313524.970000001</v>
      </c>
      <c r="K300" s="135">
        <f>INDEX(Daten!$O$7:$O$429,MATCH('2'!B300,Daten!$A$7:$A$429,0))</f>
        <v>612166.65</v>
      </c>
      <c r="L300" s="151">
        <f>INDEX(Daten!$Q$7:$Q$429,MATCH('2'!B300,Daten!$A$7:$A$429,0))</f>
        <v>1015735.71</v>
      </c>
    </row>
    <row r="301" spans="1:12" ht="15" customHeight="1">
      <c r="A301" s="172" t="str">
        <f>Daten!C294</f>
        <v>JC Karlsruhe, Stadt</v>
      </c>
      <c r="B301" s="214" t="str">
        <f>Daten!A294</f>
        <v>63102</v>
      </c>
      <c r="C301" s="172" t="str">
        <f>Daten!F294</f>
        <v>08</v>
      </c>
      <c r="D301" s="145" t="str">
        <f>Daten!E294</f>
        <v>IIb</v>
      </c>
      <c r="E301" s="282">
        <f>INDEX(Daten!$R$7:$R$429,MATCH('2'!B301,Daten!$A$7:$A$429,0))</f>
        <v>174919523.85999998</v>
      </c>
      <c r="F301" s="175">
        <f>INDEX(Daten!$M$7:$M$429,MATCH('2'!B301,Daten!$A$7:$A$429,0))</f>
        <v>64568233.039999999</v>
      </c>
      <c r="G301" s="135">
        <f>INDEX(Daten!$N$7:$N$429,MATCH('2'!B301,Daten!$A$7:$A$429,0))</f>
        <v>57682241.25</v>
      </c>
      <c r="H301" s="135">
        <f>INDEX(Daten!$P$7:$P$429,MATCH('2'!B301,Daten!$A$7:$A$429,0))</f>
        <v>21439154.599999998</v>
      </c>
      <c r="I301" s="135">
        <f>INDEX(Daten!$L$7:$L$429,MATCH('2'!B301,Daten!$A$7:$A$429,0))</f>
        <v>10982335.009999998</v>
      </c>
      <c r="J301" s="135">
        <f>INDEX(Daten!$K$7:$K$429,MATCH('2'!B301,Daten!$A$7:$A$429,0))</f>
        <v>19593934.91</v>
      </c>
      <c r="K301" s="135">
        <f>INDEX(Daten!$O$7:$O$429,MATCH('2'!B301,Daten!$A$7:$A$429,0))</f>
        <v>653625.04999999993</v>
      </c>
      <c r="L301" s="151">
        <f>INDEX(Daten!$Q$7:$Q$429,MATCH('2'!B301,Daten!$A$7:$A$429,0))</f>
        <v>1739807.61</v>
      </c>
    </row>
    <row r="302" spans="1:12" ht="15" customHeight="1">
      <c r="A302" s="172" t="str">
        <f>Daten!C295</f>
        <v>JC Karlsruhe</v>
      </c>
      <c r="B302" s="214" t="str">
        <f>Daten!A295</f>
        <v>63108</v>
      </c>
      <c r="C302" s="172" t="str">
        <f>Daten!F295</f>
        <v>08</v>
      </c>
      <c r="D302" s="145" t="str">
        <f>Daten!E295</f>
        <v>Id</v>
      </c>
      <c r="E302" s="282">
        <f>INDEX(Daten!$R$7:$R$429,MATCH('2'!B302,Daten!$A$7:$A$429,0))</f>
        <v>167859143.58999997</v>
      </c>
      <c r="F302" s="175">
        <f>INDEX(Daten!$M$7:$M$429,MATCH('2'!B302,Daten!$A$7:$A$429,0))</f>
        <v>64163217.509999998</v>
      </c>
      <c r="G302" s="135">
        <f>INDEX(Daten!$N$7:$N$429,MATCH('2'!B302,Daten!$A$7:$A$429,0))</f>
        <v>53588103.540000007</v>
      </c>
      <c r="H302" s="135">
        <f>INDEX(Daten!$P$7:$P$429,MATCH('2'!B302,Daten!$A$7:$A$429,0))</f>
        <v>21367255.760000002</v>
      </c>
      <c r="I302" s="135">
        <f>INDEX(Daten!$L$7:$L$429,MATCH('2'!B302,Daten!$A$7:$A$429,0))</f>
        <v>11010300.24</v>
      </c>
      <c r="J302" s="135">
        <f>INDEX(Daten!$K$7:$K$429,MATCH('2'!B302,Daten!$A$7:$A$429,0))</f>
        <v>16626489.4</v>
      </c>
      <c r="K302" s="135">
        <f>INDEX(Daten!$O$7:$O$429,MATCH('2'!B302,Daten!$A$7:$A$429,0))</f>
        <v>1103777.1399999999</v>
      </c>
      <c r="L302" s="151">
        <f>INDEX(Daten!$Q$7:$Q$429,MATCH('2'!B302,Daten!$A$7:$A$429,0))</f>
        <v>2361087.1800000002</v>
      </c>
    </row>
    <row r="303" spans="1:12" ht="15" customHeight="1">
      <c r="A303" s="172" t="str">
        <f>Daten!C296</f>
        <v>JC Baden-Baden, Stadt</v>
      </c>
      <c r="B303" s="214" t="str">
        <f>Daten!A296</f>
        <v>63120</v>
      </c>
      <c r="C303" s="172" t="str">
        <f>Daten!F296</f>
        <v>08</v>
      </c>
      <c r="D303" s="145" t="str">
        <f>Daten!E296</f>
        <v>IIb</v>
      </c>
      <c r="E303" s="282">
        <f>INDEX(Daten!$R$7:$R$429,MATCH('2'!B303,Daten!$A$7:$A$429,0))</f>
        <v>40100769.479999997</v>
      </c>
      <c r="F303" s="175">
        <f>INDEX(Daten!$M$7:$M$429,MATCH('2'!B303,Daten!$A$7:$A$429,0))</f>
        <v>15633855.430000003</v>
      </c>
      <c r="G303" s="135">
        <f>INDEX(Daten!$N$7:$N$429,MATCH('2'!B303,Daten!$A$7:$A$429,0))</f>
        <v>13240193.679999998</v>
      </c>
      <c r="H303" s="135">
        <f>INDEX(Daten!$P$7:$P$429,MATCH('2'!B303,Daten!$A$7:$A$429,0))</f>
        <v>5150944.0100000007</v>
      </c>
      <c r="I303" s="135">
        <f>INDEX(Daten!$L$7:$L$429,MATCH('2'!B303,Daten!$A$7:$A$429,0))</f>
        <v>1624790.84</v>
      </c>
      <c r="J303" s="135">
        <f>INDEX(Daten!$K$7:$K$429,MATCH('2'!B303,Daten!$A$7:$A$429,0))</f>
        <v>4193872.9099999997</v>
      </c>
      <c r="K303" s="135">
        <f>INDEX(Daten!$O$7:$O$429,MATCH('2'!B303,Daten!$A$7:$A$429,0))</f>
        <v>257112.61</v>
      </c>
      <c r="L303" s="151">
        <f>INDEX(Daten!$Q$7:$Q$429,MATCH('2'!B303,Daten!$A$7:$A$429,0))</f>
        <v>361709.45999999996</v>
      </c>
    </row>
    <row r="304" spans="1:12" ht="15" customHeight="1">
      <c r="A304" s="172" t="str">
        <f>Daten!C297</f>
        <v>JC Rastatt</v>
      </c>
      <c r="B304" s="214" t="str">
        <f>Daten!A297</f>
        <v>63122</v>
      </c>
      <c r="C304" s="172" t="str">
        <f>Daten!F297</f>
        <v>08</v>
      </c>
      <c r="D304" s="145" t="str">
        <f>Daten!E297</f>
        <v>Id</v>
      </c>
      <c r="E304" s="282">
        <f>INDEX(Daten!$R$7:$R$429,MATCH('2'!B304,Daten!$A$7:$A$429,0))</f>
        <v>97014471.219999984</v>
      </c>
      <c r="F304" s="175">
        <f>INDEX(Daten!$M$7:$M$429,MATCH('2'!B304,Daten!$A$7:$A$429,0))</f>
        <v>38682490.709999993</v>
      </c>
      <c r="G304" s="135">
        <f>INDEX(Daten!$N$7:$N$429,MATCH('2'!B304,Daten!$A$7:$A$429,0))</f>
        <v>29681413.099999998</v>
      </c>
      <c r="H304" s="135">
        <f>INDEX(Daten!$P$7:$P$429,MATCH('2'!B304,Daten!$A$7:$A$429,0))</f>
        <v>12406900.6</v>
      </c>
      <c r="I304" s="135">
        <f>INDEX(Daten!$L$7:$L$429,MATCH('2'!B304,Daten!$A$7:$A$429,0))</f>
        <v>6188114.4799999995</v>
      </c>
      <c r="J304" s="135">
        <f>INDEX(Daten!$K$7:$K$429,MATCH('2'!B304,Daten!$A$7:$A$429,0))</f>
        <v>9750307.1399999987</v>
      </c>
      <c r="K304" s="135">
        <f>INDEX(Daten!$O$7:$O$429,MATCH('2'!B304,Daten!$A$7:$A$429,0))</f>
        <v>305245.19</v>
      </c>
      <c r="L304" s="151">
        <f>INDEX(Daten!$Q$7:$Q$429,MATCH('2'!B304,Daten!$A$7:$A$429,0))</f>
        <v>1023524.2100000001</v>
      </c>
    </row>
    <row r="305" spans="1:12" ht="15" customHeight="1">
      <c r="A305" s="172" t="str">
        <f>Daten!C298</f>
        <v>JC Konstanz</v>
      </c>
      <c r="B305" s="214" t="str">
        <f>Daten!A298</f>
        <v>63402</v>
      </c>
      <c r="C305" s="172" t="str">
        <f>Daten!F298</f>
        <v>08</v>
      </c>
      <c r="D305" s="145" t="str">
        <f>Daten!E298</f>
        <v>Id</v>
      </c>
      <c r="E305" s="282">
        <f>INDEX(Daten!$R$7:$R$429,MATCH('2'!B305,Daten!$A$7:$A$429,0))</f>
        <v>128022299.12000002</v>
      </c>
      <c r="F305" s="175">
        <f>INDEX(Daten!$M$7:$M$429,MATCH('2'!B305,Daten!$A$7:$A$429,0))</f>
        <v>47955554.850000001</v>
      </c>
      <c r="G305" s="135">
        <f>INDEX(Daten!$N$7:$N$429,MATCH('2'!B305,Daten!$A$7:$A$429,0))</f>
        <v>42172483.160000011</v>
      </c>
      <c r="H305" s="135">
        <f>INDEX(Daten!$P$7:$P$429,MATCH('2'!B305,Daten!$A$7:$A$429,0))</f>
        <v>16489356.449999997</v>
      </c>
      <c r="I305" s="135">
        <f>INDEX(Daten!$L$7:$L$429,MATCH('2'!B305,Daten!$A$7:$A$429,0))</f>
        <v>7064460.3200000012</v>
      </c>
      <c r="J305" s="135">
        <f>INDEX(Daten!$K$7:$K$429,MATCH('2'!B305,Daten!$A$7:$A$429,0))</f>
        <v>13887368.640000001</v>
      </c>
      <c r="K305" s="135">
        <f>INDEX(Daten!$O$7:$O$429,MATCH('2'!B305,Daten!$A$7:$A$429,0))</f>
        <v>453075.7</v>
      </c>
      <c r="L305" s="151">
        <f>INDEX(Daten!$Q$7:$Q$429,MATCH('2'!B305,Daten!$A$7:$A$429,0))</f>
        <v>1400535.51</v>
      </c>
    </row>
    <row r="306" spans="1:12" ht="15" customHeight="1">
      <c r="A306" s="172" t="str">
        <f>Daten!C299</f>
        <v>JC Bodenseekreis</v>
      </c>
      <c r="B306" s="214" t="str">
        <f>Daten!A299</f>
        <v>63404</v>
      </c>
      <c r="C306" s="172" t="str">
        <f>Daten!F299</f>
        <v>08</v>
      </c>
      <c r="D306" s="145" t="str">
        <f>Daten!E299</f>
        <v>Ia</v>
      </c>
      <c r="E306" s="282">
        <f>INDEX(Daten!$R$7:$R$429,MATCH('2'!B306,Daten!$A$7:$A$429,0))</f>
        <v>74587984</v>
      </c>
      <c r="F306" s="175">
        <f>INDEX(Daten!$M$7:$M$429,MATCH('2'!B306,Daten!$A$7:$A$429,0))</f>
        <v>27906186</v>
      </c>
      <c r="G306" s="135">
        <f>INDEX(Daten!$N$7:$N$429,MATCH('2'!B306,Daten!$A$7:$A$429,0))</f>
        <v>26011693</v>
      </c>
      <c r="H306" s="135">
        <f>INDEX(Daten!$P$7:$P$429,MATCH('2'!B306,Daten!$A$7:$A$429,0))</f>
        <v>9789116</v>
      </c>
      <c r="I306" s="135">
        <f>INDEX(Daten!$L$7:$L$429,MATCH('2'!B306,Daten!$A$7:$A$429,0))</f>
        <v>3590827</v>
      </c>
      <c r="J306" s="135">
        <f>INDEX(Daten!$K$7:$K$429,MATCH('2'!B306,Daten!$A$7:$A$429,0))</f>
        <v>6925925</v>
      </c>
      <c r="K306" s="135">
        <f>INDEX(Daten!$O$7:$O$429,MATCH('2'!B306,Daten!$A$7:$A$429,0))</f>
        <v>364237</v>
      </c>
      <c r="L306" s="151">
        <f>INDEX(Daten!$Q$7:$Q$429,MATCH('2'!B306,Daten!$A$7:$A$429,0))</f>
        <v>907635</v>
      </c>
    </row>
    <row r="307" spans="1:12" ht="15" customHeight="1">
      <c r="A307" s="172" t="str">
        <f>Daten!C300</f>
        <v>JC Ravensburg</v>
      </c>
      <c r="B307" s="214" t="str">
        <f>Daten!A300</f>
        <v>63408</v>
      </c>
      <c r="C307" s="172" t="str">
        <f>Daten!F300</f>
        <v>08</v>
      </c>
      <c r="D307" s="145" t="str">
        <f>Daten!E300</f>
        <v>Ic</v>
      </c>
      <c r="E307" s="282">
        <f>INDEX(Daten!$R$7:$R$429,MATCH('2'!B307,Daten!$A$7:$A$429,0))</f>
        <v>101451495</v>
      </c>
      <c r="F307" s="175">
        <f>INDEX(Daten!$M$7:$M$429,MATCH('2'!B307,Daten!$A$7:$A$429,0))</f>
        <v>38998045</v>
      </c>
      <c r="G307" s="135">
        <f>INDEX(Daten!$N$7:$N$429,MATCH('2'!B307,Daten!$A$7:$A$429,0))</f>
        <v>32448065</v>
      </c>
      <c r="H307" s="135">
        <f>INDEX(Daten!$P$7:$P$429,MATCH('2'!B307,Daten!$A$7:$A$429,0))</f>
        <v>12093798</v>
      </c>
      <c r="I307" s="135">
        <f>INDEX(Daten!$L$7:$L$429,MATCH('2'!B307,Daten!$A$7:$A$429,0))</f>
        <v>4903671</v>
      </c>
      <c r="J307" s="135">
        <f>INDEX(Daten!$K$7:$K$429,MATCH('2'!B307,Daten!$A$7:$A$429,0))</f>
        <v>12981241</v>
      </c>
      <c r="K307" s="135">
        <f>INDEX(Daten!$O$7:$O$429,MATCH('2'!B307,Daten!$A$7:$A$429,0))</f>
        <v>26675</v>
      </c>
      <c r="L307" s="151">
        <f>INDEX(Daten!$Q$7:$Q$429,MATCH('2'!B307,Daten!$A$7:$A$429,0))</f>
        <v>991845</v>
      </c>
    </row>
    <row r="308" spans="1:12" ht="15" customHeight="1">
      <c r="A308" s="172" t="str">
        <f>Daten!C301</f>
        <v>JC Lörrach</v>
      </c>
      <c r="B308" s="214" t="str">
        <f>Daten!A301</f>
        <v>63702</v>
      </c>
      <c r="C308" s="172" t="str">
        <f>Daten!F301</f>
        <v>08</v>
      </c>
      <c r="D308" s="145" t="str">
        <f>Daten!E301</f>
        <v>Id</v>
      </c>
      <c r="E308" s="282">
        <f>INDEX(Daten!$R$7:$R$429,MATCH('2'!B308,Daten!$A$7:$A$429,0))</f>
        <v>118078744.99000001</v>
      </c>
      <c r="F308" s="175">
        <f>INDEX(Daten!$M$7:$M$429,MATCH('2'!B308,Daten!$A$7:$A$429,0))</f>
        <v>44441423.859999999</v>
      </c>
      <c r="G308" s="135">
        <f>INDEX(Daten!$N$7:$N$429,MATCH('2'!B308,Daten!$A$7:$A$429,0))</f>
        <v>39442610.06000001</v>
      </c>
      <c r="H308" s="135">
        <f>INDEX(Daten!$P$7:$P$429,MATCH('2'!B308,Daten!$A$7:$A$429,0))</f>
        <v>14499353.73</v>
      </c>
      <c r="I308" s="135">
        <f>INDEX(Daten!$L$7:$L$429,MATCH('2'!B308,Daten!$A$7:$A$429,0))</f>
        <v>7946946.9900000002</v>
      </c>
      <c r="J308" s="135">
        <f>INDEX(Daten!$K$7:$K$429,MATCH('2'!B308,Daten!$A$7:$A$429,0))</f>
        <v>11171075.400000002</v>
      </c>
      <c r="K308" s="135">
        <f>INDEX(Daten!$O$7:$O$429,MATCH('2'!B308,Daten!$A$7:$A$429,0))</f>
        <v>577334.94999999995</v>
      </c>
      <c r="L308" s="151">
        <f>INDEX(Daten!$Q$7:$Q$429,MATCH('2'!B308,Daten!$A$7:$A$429,0))</f>
        <v>1058675.02</v>
      </c>
    </row>
    <row r="309" spans="1:12" ht="15" customHeight="1">
      <c r="A309" s="172" t="str">
        <f>Daten!C302</f>
        <v>JC Waldshut</v>
      </c>
      <c r="B309" s="214" t="str">
        <f>Daten!A302</f>
        <v>63704</v>
      </c>
      <c r="C309" s="172" t="str">
        <f>Daten!F302</f>
        <v>08</v>
      </c>
      <c r="D309" s="145" t="str">
        <f>Daten!E302</f>
        <v>Id</v>
      </c>
      <c r="E309" s="282">
        <f>INDEX(Daten!$R$7:$R$429,MATCH('2'!B309,Daten!$A$7:$A$429,0))</f>
        <v>65814338</v>
      </c>
      <c r="F309" s="175">
        <f>INDEX(Daten!$M$7:$M$429,MATCH('2'!B309,Daten!$A$7:$A$429,0))</f>
        <v>27407779</v>
      </c>
      <c r="G309" s="135">
        <f>INDEX(Daten!$N$7:$N$429,MATCH('2'!B309,Daten!$A$7:$A$429,0))</f>
        <v>20136141</v>
      </c>
      <c r="H309" s="135">
        <f>INDEX(Daten!$P$7:$P$429,MATCH('2'!B309,Daten!$A$7:$A$429,0))</f>
        <v>8386976</v>
      </c>
      <c r="I309" s="135">
        <f>INDEX(Daten!$L$7:$L$429,MATCH('2'!B309,Daten!$A$7:$A$429,0))</f>
        <v>1781404</v>
      </c>
      <c r="J309" s="135">
        <f>INDEX(Daten!$K$7:$K$429,MATCH('2'!B309,Daten!$A$7:$A$429,0))</f>
        <v>7944891</v>
      </c>
      <c r="K309" s="135">
        <f>INDEX(Daten!$O$7:$O$429,MATCH('2'!B309,Daten!$A$7:$A$429,0))</f>
        <v>157147</v>
      </c>
      <c r="L309" s="151">
        <f>INDEX(Daten!$Q$7:$Q$429,MATCH('2'!B309,Daten!$A$7:$A$429,0))</f>
        <v>721399</v>
      </c>
    </row>
    <row r="310" spans="1:12" ht="15" customHeight="1">
      <c r="A310" s="172" t="str">
        <f>Daten!C303</f>
        <v>JC Ludwigsburg</v>
      </c>
      <c r="B310" s="214" t="str">
        <f>Daten!A303</f>
        <v>64148</v>
      </c>
      <c r="C310" s="172" t="str">
        <f>Daten!F303</f>
        <v>08</v>
      </c>
      <c r="D310" s="145" t="str">
        <f>Daten!E303</f>
        <v>Id</v>
      </c>
      <c r="E310" s="282">
        <f>INDEX(Daten!$R$7:$R$429,MATCH('2'!B310,Daten!$A$7:$A$429,0))</f>
        <v>232124749</v>
      </c>
      <c r="F310" s="175">
        <f>INDEX(Daten!$M$7:$M$429,MATCH('2'!B310,Daten!$A$7:$A$429,0))</f>
        <v>89074084</v>
      </c>
      <c r="G310" s="135">
        <f>INDEX(Daten!$N$7:$N$429,MATCH('2'!B310,Daten!$A$7:$A$429,0))</f>
        <v>80444744</v>
      </c>
      <c r="H310" s="135">
        <f>INDEX(Daten!$P$7:$P$429,MATCH('2'!B310,Daten!$A$7:$A$429,0))</f>
        <v>28467530</v>
      </c>
      <c r="I310" s="135">
        <f>INDEX(Daten!$L$7:$L$429,MATCH('2'!B310,Daten!$A$7:$A$429,0))</f>
        <v>12507245</v>
      </c>
      <c r="J310" s="135">
        <f>INDEX(Daten!$K$7:$K$429,MATCH('2'!B310,Daten!$A$7:$A$429,0))</f>
        <v>20848955</v>
      </c>
      <c r="K310" s="135">
        <f>INDEX(Daten!$O$7:$O$429,MATCH('2'!B310,Daten!$A$7:$A$429,0))</f>
        <v>782191</v>
      </c>
      <c r="L310" s="151">
        <f>INDEX(Daten!$Q$7:$Q$429,MATCH('2'!B310,Daten!$A$7:$A$429,0))</f>
        <v>2742699</v>
      </c>
    </row>
    <row r="311" spans="1:12" ht="15" customHeight="1">
      <c r="A311" s="172" t="str">
        <f>Daten!C304</f>
        <v>JC Mannheim, Universitätsstadt</v>
      </c>
      <c r="B311" s="214" t="str">
        <f>Daten!A304</f>
        <v>64402</v>
      </c>
      <c r="C311" s="172" t="str">
        <f>Daten!F304</f>
        <v>08</v>
      </c>
      <c r="D311" s="145" t="str">
        <f>Daten!E304</f>
        <v>IIIb</v>
      </c>
      <c r="E311" s="282">
        <f>INDEX(Daten!$R$7:$R$429,MATCH('2'!B311,Daten!$A$7:$A$429,0))</f>
        <v>312835126.27000004</v>
      </c>
      <c r="F311" s="175">
        <f>INDEX(Daten!$M$7:$M$429,MATCH('2'!B311,Daten!$A$7:$A$429,0))</f>
        <v>116635800.34999999</v>
      </c>
      <c r="G311" s="135">
        <f>INDEX(Daten!$N$7:$N$429,MATCH('2'!B311,Daten!$A$7:$A$429,0))</f>
        <v>100937696.57000002</v>
      </c>
      <c r="H311" s="135">
        <f>INDEX(Daten!$P$7:$P$429,MATCH('2'!B311,Daten!$A$7:$A$429,0))</f>
        <v>37757109.920000002</v>
      </c>
      <c r="I311" s="135">
        <f>INDEX(Daten!$L$7:$L$429,MATCH('2'!B311,Daten!$A$7:$A$429,0))</f>
        <v>22792790.669999998</v>
      </c>
      <c r="J311" s="135">
        <f>INDEX(Daten!$K$7:$K$429,MATCH('2'!B311,Daten!$A$7:$A$429,0))</f>
        <v>33456614.150000006</v>
      </c>
      <c r="K311" s="135">
        <f>INDEX(Daten!$O$7:$O$429,MATCH('2'!B311,Daten!$A$7:$A$429,0))</f>
        <v>1255114.6100000001</v>
      </c>
      <c r="L311" s="151">
        <f>INDEX(Daten!$Q$7:$Q$429,MATCH('2'!B311,Daten!$A$7:$A$429,0))</f>
        <v>2592846.21</v>
      </c>
    </row>
    <row r="312" spans="1:12" ht="15" customHeight="1">
      <c r="A312" s="172" t="str">
        <f>Daten!C305</f>
        <v>JC Calw</v>
      </c>
      <c r="B312" s="214" t="str">
        <f>Daten!A305</f>
        <v>64702</v>
      </c>
      <c r="C312" s="172" t="str">
        <f>Daten!F305</f>
        <v>08</v>
      </c>
      <c r="D312" s="145" t="str">
        <f>Daten!E305</f>
        <v>Ic</v>
      </c>
      <c r="E312" s="282">
        <f>INDEX(Daten!$R$7:$R$429,MATCH('2'!B312,Daten!$A$7:$A$429,0))</f>
        <v>58700517.560000002</v>
      </c>
      <c r="F312" s="175">
        <f>INDEX(Daten!$M$7:$M$429,MATCH('2'!B312,Daten!$A$7:$A$429,0))</f>
        <v>23883846.27</v>
      </c>
      <c r="G312" s="135">
        <f>INDEX(Daten!$N$7:$N$429,MATCH('2'!B312,Daten!$A$7:$A$429,0))</f>
        <v>17257297.630000003</v>
      </c>
      <c r="H312" s="135">
        <f>INDEX(Daten!$P$7:$P$429,MATCH('2'!B312,Daten!$A$7:$A$429,0))</f>
        <v>7740755.580000001</v>
      </c>
      <c r="I312" s="135">
        <f>INDEX(Daten!$L$7:$L$429,MATCH('2'!B312,Daten!$A$7:$A$429,0))</f>
        <v>3341329.9899999998</v>
      </c>
      <c r="J312" s="135">
        <f>INDEX(Daten!$K$7:$K$429,MATCH('2'!B312,Daten!$A$7:$A$429,0))</f>
        <v>6285774.3799999999</v>
      </c>
      <c r="K312" s="135">
        <f>INDEX(Daten!$O$7:$O$429,MATCH('2'!B312,Daten!$A$7:$A$429,0))</f>
        <v>191513.71</v>
      </c>
      <c r="L312" s="151">
        <f>INDEX(Daten!$Q$7:$Q$429,MATCH('2'!B312,Daten!$A$7:$A$429,0))</f>
        <v>528470.9</v>
      </c>
    </row>
    <row r="313" spans="1:12" ht="15" customHeight="1">
      <c r="A313" s="172" t="str">
        <f>Daten!C306</f>
        <v>JC Freudenstadt</v>
      </c>
      <c r="B313" s="214" t="str">
        <f>Daten!A306</f>
        <v>64708</v>
      </c>
      <c r="C313" s="172" t="str">
        <f>Daten!F306</f>
        <v>08</v>
      </c>
      <c r="D313" s="145" t="str">
        <f>Daten!E306</f>
        <v>Ic</v>
      </c>
      <c r="E313" s="282">
        <f>INDEX(Daten!$R$7:$R$429,MATCH('2'!B313,Daten!$A$7:$A$429,0))</f>
        <v>41406101.600000009</v>
      </c>
      <c r="F313" s="175">
        <f>INDEX(Daten!$M$7:$M$429,MATCH('2'!B313,Daten!$A$7:$A$429,0))</f>
        <v>16564140.870000001</v>
      </c>
      <c r="G313" s="135">
        <f>INDEX(Daten!$N$7:$N$429,MATCH('2'!B313,Daten!$A$7:$A$429,0))</f>
        <v>12613006.370000001</v>
      </c>
      <c r="H313" s="135">
        <f>INDEX(Daten!$P$7:$P$429,MATCH('2'!B313,Daten!$A$7:$A$429,0))</f>
        <v>5344578.3299999991</v>
      </c>
      <c r="I313" s="135">
        <f>INDEX(Daten!$L$7:$L$429,MATCH('2'!B313,Daten!$A$7:$A$429,0))</f>
        <v>2411752.73</v>
      </c>
      <c r="J313" s="135">
        <f>INDEX(Daten!$K$7:$K$429,MATCH('2'!B313,Daten!$A$7:$A$429,0))</f>
        <v>4217995.99</v>
      </c>
      <c r="K313" s="135">
        <f>INDEX(Daten!$O$7:$O$429,MATCH('2'!B313,Daten!$A$7:$A$429,0))</f>
        <v>254627.30999999997</v>
      </c>
      <c r="L313" s="151">
        <f>INDEX(Daten!$Q$7:$Q$429,MATCH('2'!B313,Daten!$A$7:$A$429,0))</f>
        <v>339744.35000000003</v>
      </c>
    </row>
    <row r="314" spans="1:12" ht="15" customHeight="1">
      <c r="A314" s="172" t="str">
        <f>Daten!C307</f>
        <v>JC Pforzheim, Stadt</v>
      </c>
      <c r="B314" s="214" t="str">
        <f>Daten!A307</f>
        <v>64710</v>
      </c>
      <c r="C314" s="172" t="str">
        <f>Daten!F307</f>
        <v>08</v>
      </c>
      <c r="D314" s="145" t="str">
        <f>Daten!E307</f>
        <v>IIb</v>
      </c>
      <c r="E314" s="282">
        <f>INDEX(Daten!$R$7:$R$429,MATCH('2'!B314,Daten!$A$7:$A$429,0))</f>
        <v>121950865</v>
      </c>
      <c r="F314" s="175">
        <f>INDEX(Daten!$M$7:$M$429,MATCH('2'!B314,Daten!$A$7:$A$429,0))</f>
        <v>49159485</v>
      </c>
      <c r="G314" s="135">
        <f>INDEX(Daten!$N$7:$N$429,MATCH('2'!B314,Daten!$A$7:$A$429,0))</f>
        <v>38042528</v>
      </c>
      <c r="H314" s="135">
        <f>INDEX(Daten!$P$7:$P$429,MATCH('2'!B314,Daten!$A$7:$A$429,0))</f>
        <v>15160538</v>
      </c>
      <c r="I314" s="135">
        <f>INDEX(Daten!$L$7:$L$429,MATCH('2'!B314,Daten!$A$7:$A$429,0))</f>
        <v>7056093</v>
      </c>
      <c r="J314" s="135">
        <f>INDEX(Daten!$K$7:$K$429,MATCH('2'!B314,Daten!$A$7:$A$429,0))</f>
        <v>12063620</v>
      </c>
      <c r="K314" s="135">
        <f>INDEX(Daten!$O$7:$O$429,MATCH('2'!B314,Daten!$A$7:$A$429,0))</f>
        <v>468601</v>
      </c>
      <c r="L314" s="151">
        <f>INDEX(Daten!$Q$7:$Q$429,MATCH('2'!B314,Daten!$A$7:$A$429,0))</f>
        <v>1317959</v>
      </c>
    </row>
    <row r="315" spans="1:12" ht="15" customHeight="1">
      <c r="A315" s="172" t="str">
        <f>Daten!C308</f>
        <v>JC Enzkreis</v>
      </c>
      <c r="B315" s="214" t="str">
        <f>Daten!A308</f>
        <v>64712</v>
      </c>
      <c r="C315" s="172" t="str">
        <f>Daten!F308</f>
        <v>08</v>
      </c>
      <c r="D315" s="145" t="str">
        <f>Daten!E308</f>
        <v>Ib</v>
      </c>
      <c r="E315" s="282">
        <f>INDEX(Daten!$R$7:$R$429,MATCH('2'!B315,Daten!$A$7:$A$429,0))</f>
        <v>65608883</v>
      </c>
      <c r="F315" s="175">
        <f>INDEX(Daten!$M$7:$M$429,MATCH('2'!B315,Daten!$A$7:$A$429,0))</f>
        <v>27753436</v>
      </c>
      <c r="G315" s="135">
        <f>INDEX(Daten!$N$7:$N$429,MATCH('2'!B315,Daten!$A$7:$A$429,0))</f>
        <v>19137192</v>
      </c>
      <c r="H315" s="135">
        <f>INDEX(Daten!$P$7:$P$429,MATCH('2'!B315,Daten!$A$7:$A$429,0))</f>
        <v>8302562</v>
      </c>
      <c r="I315" s="135">
        <f>INDEX(Daten!$L$7:$L$429,MATCH('2'!B315,Daten!$A$7:$A$429,0))</f>
        <v>2724621</v>
      </c>
      <c r="J315" s="135">
        <f>INDEX(Daten!$K$7:$K$429,MATCH('2'!B315,Daten!$A$7:$A$429,0))</f>
        <v>7502509</v>
      </c>
      <c r="K315" s="135">
        <f>INDEX(Daten!$O$7:$O$429,MATCH('2'!B315,Daten!$A$7:$A$429,0))</f>
        <v>188563</v>
      </c>
      <c r="L315" s="151">
        <f>INDEX(Daten!$Q$7:$Q$429,MATCH('2'!B315,Daten!$A$7:$A$429,0))</f>
        <v>662983</v>
      </c>
    </row>
    <row r="316" spans="1:12" ht="15" customHeight="1">
      <c r="A316" s="172" t="str">
        <f>Daten!C309</f>
        <v>JC Ortenaukreis</v>
      </c>
      <c r="B316" s="214" t="str">
        <f>Daten!A309</f>
        <v>65106</v>
      </c>
      <c r="C316" s="172" t="str">
        <f>Daten!F309</f>
        <v>08</v>
      </c>
      <c r="D316" s="145" t="str">
        <f>Daten!E309</f>
        <v>Id</v>
      </c>
      <c r="E316" s="282">
        <f>INDEX(Daten!$R$7:$R$429,MATCH('2'!B316,Daten!$A$7:$A$429,0))</f>
        <v>167528652</v>
      </c>
      <c r="F316" s="175">
        <f>INDEX(Daten!$M$7:$M$429,MATCH('2'!B316,Daten!$A$7:$A$429,0))</f>
        <v>65478834</v>
      </c>
      <c r="G316" s="135">
        <f>INDEX(Daten!$N$7:$N$429,MATCH('2'!B316,Daten!$A$7:$A$429,0))</f>
        <v>50956843</v>
      </c>
      <c r="H316" s="135">
        <f>INDEX(Daten!$P$7:$P$429,MATCH('2'!B316,Daten!$A$7:$A$429,0))</f>
        <v>22734253</v>
      </c>
      <c r="I316" s="135">
        <f>INDEX(Daten!$L$7:$L$429,MATCH('2'!B316,Daten!$A$7:$A$429,0))</f>
        <v>7967474</v>
      </c>
      <c r="J316" s="135">
        <f>INDEX(Daten!$K$7:$K$429,MATCH('2'!B316,Daten!$A$7:$A$429,0))</f>
        <v>19703381</v>
      </c>
      <c r="K316" s="135">
        <f>INDEX(Daten!$O$7:$O$429,MATCH('2'!B316,Daten!$A$7:$A$429,0))</f>
        <v>687867</v>
      </c>
      <c r="L316" s="151">
        <f>INDEX(Daten!$Q$7:$Q$429,MATCH('2'!B316,Daten!$A$7:$A$429,0))</f>
        <v>2261672</v>
      </c>
    </row>
    <row r="317" spans="1:12" ht="15" customHeight="1">
      <c r="A317" s="172" t="str">
        <f>Daten!C310</f>
        <v>JC Reutlingen</v>
      </c>
      <c r="B317" s="214" t="str">
        <f>Daten!A310</f>
        <v>66402</v>
      </c>
      <c r="C317" s="172" t="str">
        <f>Daten!F310</f>
        <v>08</v>
      </c>
      <c r="D317" s="145" t="str">
        <f>Daten!E310</f>
        <v>Id</v>
      </c>
      <c r="E317" s="282">
        <f>INDEX(Daten!$R$7:$R$429,MATCH('2'!B317,Daten!$A$7:$A$429,0))</f>
        <v>127356283.36999997</v>
      </c>
      <c r="F317" s="175">
        <f>INDEX(Daten!$M$7:$M$429,MATCH('2'!B317,Daten!$A$7:$A$429,0))</f>
        <v>48772530.809999995</v>
      </c>
      <c r="G317" s="135">
        <f>INDEX(Daten!$N$7:$N$429,MATCH('2'!B317,Daten!$A$7:$A$429,0))</f>
        <v>41205797.639999986</v>
      </c>
      <c r="H317" s="135">
        <f>INDEX(Daten!$P$7:$P$429,MATCH('2'!B317,Daten!$A$7:$A$429,0))</f>
        <v>15998309.449999999</v>
      </c>
      <c r="I317" s="135">
        <f>INDEX(Daten!$L$7:$L$429,MATCH('2'!B317,Daten!$A$7:$A$429,0))</f>
        <v>6081372.7199999997</v>
      </c>
      <c r="J317" s="135">
        <f>INDEX(Daten!$K$7:$K$429,MATCH('2'!B317,Daten!$A$7:$A$429,0))</f>
        <v>14724344.259999996</v>
      </c>
      <c r="K317" s="135">
        <f>INDEX(Daten!$O$7:$O$429,MATCH('2'!B317,Daten!$A$7:$A$429,0))</f>
        <v>573928.49</v>
      </c>
      <c r="L317" s="151">
        <f>INDEX(Daten!$Q$7:$Q$429,MATCH('2'!B317,Daten!$A$7:$A$429,0))</f>
        <v>1540594.52</v>
      </c>
    </row>
    <row r="318" spans="1:12" ht="15" customHeight="1">
      <c r="A318" s="172" t="str">
        <f>Daten!C311</f>
        <v>JC Tübingen</v>
      </c>
      <c r="B318" s="214" t="str">
        <f>Daten!A311</f>
        <v>66404</v>
      </c>
      <c r="C318" s="172" t="str">
        <f>Daten!F311</f>
        <v>08</v>
      </c>
      <c r="D318" s="145" t="str">
        <f>Daten!E311</f>
        <v>Id</v>
      </c>
      <c r="E318" s="282">
        <f>INDEX(Daten!$R$7:$R$429,MATCH('2'!B318,Daten!$A$7:$A$429,0))</f>
        <v>85171994.75</v>
      </c>
      <c r="F318" s="175">
        <f>INDEX(Daten!$M$7:$M$429,MATCH('2'!B318,Daten!$A$7:$A$429,0))</f>
        <v>31740532.109999996</v>
      </c>
      <c r="G318" s="135">
        <f>INDEX(Daten!$N$7:$N$429,MATCH('2'!B318,Daten!$A$7:$A$429,0))</f>
        <v>28767864.34</v>
      </c>
      <c r="H318" s="135">
        <f>INDEX(Daten!$P$7:$P$429,MATCH('2'!B318,Daten!$A$7:$A$429,0))</f>
        <v>10715511.680000003</v>
      </c>
      <c r="I318" s="135">
        <f>INDEX(Daten!$L$7:$L$429,MATCH('2'!B318,Daten!$A$7:$A$429,0))</f>
        <v>4373336.3</v>
      </c>
      <c r="J318" s="135">
        <f>INDEX(Daten!$K$7:$K$429,MATCH('2'!B318,Daten!$A$7:$A$429,0))</f>
        <v>9200183.6099999994</v>
      </c>
      <c r="K318" s="135">
        <f>INDEX(Daten!$O$7:$O$429,MATCH('2'!B318,Daten!$A$7:$A$429,0))</f>
        <v>374566.70999999996</v>
      </c>
      <c r="L318" s="151">
        <f>INDEX(Daten!$Q$7:$Q$429,MATCH('2'!B318,Daten!$A$7:$A$429,0))</f>
        <v>345735.67999999999</v>
      </c>
    </row>
    <row r="319" spans="1:12" ht="15" customHeight="1">
      <c r="A319" s="172" t="str">
        <f>Daten!C312</f>
        <v>JC Rems-Murr-Kreis</v>
      </c>
      <c r="B319" s="214" t="str">
        <f>Daten!A312</f>
        <v>67102</v>
      </c>
      <c r="C319" s="172" t="str">
        <f>Daten!F312</f>
        <v>08</v>
      </c>
      <c r="D319" s="145" t="str">
        <f>Daten!E312</f>
        <v>Id</v>
      </c>
      <c r="E319" s="282">
        <f>INDEX(Daten!$R$7:$R$429,MATCH('2'!B319,Daten!$A$7:$A$429,0))</f>
        <v>215150801.63999996</v>
      </c>
      <c r="F319" s="175">
        <f>INDEX(Daten!$M$7:$M$429,MATCH('2'!B319,Daten!$A$7:$A$429,0))</f>
        <v>79436171.189999983</v>
      </c>
      <c r="G319" s="135">
        <f>INDEX(Daten!$N$7:$N$429,MATCH('2'!B319,Daten!$A$7:$A$429,0))</f>
        <v>73254175.469999969</v>
      </c>
      <c r="H319" s="135">
        <f>INDEX(Daten!$P$7:$P$429,MATCH('2'!B319,Daten!$A$7:$A$429,0))</f>
        <v>26761245.390000004</v>
      </c>
      <c r="I319" s="135">
        <f>INDEX(Daten!$L$7:$L$429,MATCH('2'!B319,Daten!$A$7:$A$429,0))</f>
        <v>12815270.77</v>
      </c>
      <c r="J319" s="135">
        <f>INDEX(Daten!$K$7:$K$429,MATCH('2'!B319,Daten!$A$7:$A$429,0))</f>
        <v>21646675.760000002</v>
      </c>
      <c r="K319" s="135">
        <f>INDEX(Daten!$O$7:$O$429,MATCH('2'!B319,Daten!$A$7:$A$429,0))</f>
        <v>1237263.06</v>
      </c>
      <c r="L319" s="151">
        <f>INDEX(Daten!$Q$7:$Q$429,MATCH('2'!B319,Daten!$A$7:$A$429,0))</f>
        <v>2502895.91</v>
      </c>
    </row>
    <row r="320" spans="1:12" ht="15" customHeight="1">
      <c r="A320" s="172" t="str">
        <f>Daten!C313</f>
        <v>JC Hohenlohekreis</v>
      </c>
      <c r="B320" s="214" t="str">
        <f>Daten!A313</f>
        <v>67402</v>
      </c>
      <c r="C320" s="172" t="str">
        <f>Daten!F313</f>
        <v>08</v>
      </c>
      <c r="D320" s="145" t="str">
        <f>Daten!E313</f>
        <v>Ic</v>
      </c>
      <c r="E320" s="282">
        <f>INDEX(Daten!$R$7:$R$429,MATCH('2'!B320,Daten!$A$7:$A$429,0))</f>
        <v>31534819.579999998</v>
      </c>
      <c r="F320" s="175">
        <f>INDEX(Daten!$M$7:$M$429,MATCH('2'!B320,Daten!$A$7:$A$429,0))</f>
        <v>12746261.299999995</v>
      </c>
      <c r="G320" s="135">
        <f>INDEX(Daten!$N$7:$N$429,MATCH('2'!B320,Daten!$A$7:$A$429,0))</f>
        <v>9350254.209999999</v>
      </c>
      <c r="H320" s="135">
        <f>INDEX(Daten!$P$7:$P$429,MATCH('2'!B320,Daten!$A$7:$A$429,0))</f>
        <v>4154207.19</v>
      </c>
      <c r="I320" s="135">
        <f>INDEX(Daten!$L$7:$L$429,MATCH('2'!B320,Daten!$A$7:$A$429,0))</f>
        <v>1635809.19</v>
      </c>
      <c r="J320" s="135">
        <f>INDEX(Daten!$K$7:$K$429,MATCH('2'!B320,Daten!$A$7:$A$429,0))</f>
        <v>3397976.43</v>
      </c>
      <c r="K320" s="135">
        <f>INDEX(Daten!$O$7:$O$429,MATCH('2'!B320,Daten!$A$7:$A$429,0))</f>
        <v>250311.26</v>
      </c>
      <c r="L320" s="151">
        <f>INDEX(Daten!$Q$7:$Q$429,MATCH('2'!B320,Daten!$A$7:$A$429,0))</f>
        <v>195827.21000000002</v>
      </c>
    </row>
    <row r="321" spans="1:12" ht="15" customHeight="1">
      <c r="A321" s="172" t="str">
        <f>Daten!C314</f>
        <v>JC Schwäbisch Hall</v>
      </c>
      <c r="B321" s="214" t="str">
        <f>Daten!A314</f>
        <v>67404</v>
      </c>
      <c r="C321" s="172" t="str">
        <f>Daten!F314</f>
        <v>08</v>
      </c>
      <c r="D321" s="145" t="str">
        <f>Daten!E314</f>
        <v>Ic</v>
      </c>
      <c r="E321" s="282">
        <f>INDEX(Daten!$R$7:$R$429,MATCH('2'!B321,Daten!$A$7:$A$429,0))</f>
        <v>71866366.849999994</v>
      </c>
      <c r="F321" s="175">
        <f>INDEX(Daten!$M$7:$M$429,MATCH('2'!B321,Daten!$A$7:$A$429,0))</f>
        <v>28209963.82</v>
      </c>
      <c r="G321" s="135">
        <f>INDEX(Daten!$N$7:$N$429,MATCH('2'!B321,Daten!$A$7:$A$429,0))</f>
        <v>22083403.830000002</v>
      </c>
      <c r="H321" s="135">
        <f>INDEX(Daten!$P$7:$P$429,MATCH('2'!B321,Daten!$A$7:$A$429,0))</f>
        <v>9326541.0399999991</v>
      </c>
      <c r="I321" s="135">
        <f>INDEX(Daten!$L$7:$L$429,MATCH('2'!B321,Daten!$A$7:$A$429,0))</f>
        <v>3459647.2699999996</v>
      </c>
      <c r="J321" s="135">
        <f>INDEX(Daten!$K$7:$K$429,MATCH('2'!B321,Daten!$A$7:$A$429,0))</f>
        <v>8384014.2200000007</v>
      </c>
      <c r="K321" s="135">
        <f>INDEX(Daten!$O$7:$O$429,MATCH('2'!B321,Daten!$A$7:$A$429,0))</f>
        <v>402796.67000000004</v>
      </c>
      <c r="L321" s="151">
        <f>INDEX(Daten!$Q$7:$Q$429,MATCH('2'!B321,Daten!$A$7:$A$429,0))</f>
        <v>678450.32000000007</v>
      </c>
    </row>
    <row r="322" spans="1:12" ht="15" customHeight="1">
      <c r="A322" s="172" t="str">
        <f>Daten!C315</f>
        <v>JC Neckar-Odenwald-Kreis</v>
      </c>
      <c r="B322" s="214" t="str">
        <f>Daten!A315</f>
        <v>67408</v>
      </c>
      <c r="C322" s="172" t="str">
        <f>Daten!F315</f>
        <v>08</v>
      </c>
      <c r="D322" s="145" t="str">
        <f>Daten!E315</f>
        <v>Ic</v>
      </c>
      <c r="E322" s="282">
        <f>INDEX(Daten!$R$7:$R$429,MATCH('2'!B322,Daten!$A$7:$A$429,0))</f>
        <v>47832251.870000005</v>
      </c>
      <c r="F322" s="175">
        <f>INDEX(Daten!$M$7:$M$429,MATCH('2'!B322,Daten!$A$7:$A$429,0))</f>
        <v>19602113.640000004</v>
      </c>
      <c r="G322" s="135">
        <f>INDEX(Daten!$N$7:$N$429,MATCH('2'!B322,Daten!$A$7:$A$429,0))</f>
        <v>12951621.82</v>
      </c>
      <c r="H322" s="135">
        <f>INDEX(Daten!$P$7:$P$429,MATCH('2'!B322,Daten!$A$7:$A$429,0))</f>
        <v>6281168.8000000007</v>
      </c>
      <c r="I322" s="135">
        <f>INDEX(Daten!$L$7:$L$429,MATCH('2'!B322,Daten!$A$7:$A$429,0))</f>
        <v>2669937.5300000003</v>
      </c>
      <c r="J322" s="135">
        <f>INDEX(Daten!$K$7:$K$429,MATCH('2'!B322,Daten!$A$7:$A$429,0))</f>
        <v>5920941.3899999987</v>
      </c>
      <c r="K322" s="135">
        <f>INDEX(Daten!$O$7:$O$429,MATCH('2'!B322,Daten!$A$7:$A$429,0))</f>
        <v>406468.69</v>
      </c>
      <c r="L322" s="151">
        <f>INDEX(Daten!$Q$7:$Q$429,MATCH('2'!B322,Daten!$A$7:$A$429,0))</f>
        <v>445672.49</v>
      </c>
    </row>
    <row r="323" spans="1:12" ht="15" customHeight="1">
      <c r="A323" s="172" t="str">
        <f>Daten!C316</f>
        <v>JC Main-Tauber-Kreis</v>
      </c>
      <c r="B323" s="214" t="str">
        <f>Daten!A316</f>
        <v>67410</v>
      </c>
      <c r="C323" s="172" t="str">
        <f>Daten!F316</f>
        <v>08</v>
      </c>
      <c r="D323" s="145" t="str">
        <f>Daten!E316</f>
        <v>Ic</v>
      </c>
      <c r="E323" s="282">
        <f>INDEX(Daten!$R$7:$R$429,MATCH('2'!B323,Daten!$A$7:$A$429,0))</f>
        <v>43659619.240000002</v>
      </c>
      <c r="F323" s="175">
        <f>INDEX(Daten!$M$7:$M$429,MATCH('2'!B323,Daten!$A$7:$A$429,0))</f>
        <v>17348508.939999998</v>
      </c>
      <c r="G323" s="135">
        <f>INDEX(Daten!$N$7:$N$429,MATCH('2'!B323,Daten!$A$7:$A$429,0))</f>
        <v>13182452.119999997</v>
      </c>
      <c r="H323" s="135">
        <f>INDEX(Daten!$P$7:$P$429,MATCH('2'!B323,Daten!$A$7:$A$429,0))</f>
        <v>5753159.4500000011</v>
      </c>
      <c r="I323" s="135">
        <f>INDEX(Daten!$L$7:$L$429,MATCH('2'!B323,Daten!$A$7:$A$429,0))</f>
        <v>2375812.1199999996</v>
      </c>
      <c r="J323" s="135">
        <f>INDEX(Daten!$K$7:$K$429,MATCH('2'!B323,Daten!$A$7:$A$429,0))</f>
        <v>4859844.12</v>
      </c>
      <c r="K323" s="135">
        <f>INDEX(Daten!$O$7:$O$429,MATCH('2'!B323,Daten!$A$7:$A$429,0))</f>
        <v>139842.49</v>
      </c>
      <c r="L323" s="151">
        <f>INDEX(Daten!$Q$7:$Q$429,MATCH('2'!B323,Daten!$A$7:$A$429,0))</f>
        <v>383406.84</v>
      </c>
    </row>
    <row r="324" spans="1:12" ht="15" customHeight="1">
      <c r="A324" s="172" t="str">
        <f>Daten!C317</f>
        <v>JC Böblingen</v>
      </c>
      <c r="B324" s="214" t="str">
        <f>Daten!A317</f>
        <v>67704</v>
      </c>
      <c r="C324" s="172" t="str">
        <f>Daten!F317</f>
        <v>08</v>
      </c>
      <c r="D324" s="145" t="str">
        <f>Daten!E317</f>
        <v>Id</v>
      </c>
      <c r="E324" s="282">
        <f>INDEX(Daten!$R$7:$R$429,MATCH('2'!B324,Daten!$A$7:$A$429,0))</f>
        <v>158737524.59999999</v>
      </c>
      <c r="F324" s="175">
        <f>INDEX(Daten!$M$7:$M$429,MATCH('2'!B324,Daten!$A$7:$A$429,0))</f>
        <v>60081152.919999994</v>
      </c>
      <c r="G324" s="135">
        <f>INDEX(Daten!$N$7:$N$429,MATCH('2'!B324,Daten!$A$7:$A$429,0))</f>
        <v>54104071.939999998</v>
      </c>
      <c r="H324" s="135">
        <f>INDEX(Daten!$P$7:$P$429,MATCH('2'!B324,Daten!$A$7:$A$429,0))</f>
        <v>20183336.300000004</v>
      </c>
      <c r="I324" s="135">
        <f>INDEX(Daten!$L$7:$L$429,MATCH('2'!B324,Daten!$A$7:$A$429,0))</f>
        <v>8406741.2399999984</v>
      </c>
      <c r="J324" s="135">
        <f>INDEX(Daten!$K$7:$K$429,MATCH('2'!B324,Daten!$A$7:$A$429,0))</f>
        <v>15405995.309999999</v>
      </c>
      <c r="K324" s="135">
        <f>INDEX(Daten!$O$7:$O$429,MATCH('2'!B324,Daten!$A$7:$A$429,0))</f>
        <v>556226.89</v>
      </c>
      <c r="L324" s="151">
        <f>INDEX(Daten!$Q$7:$Q$429,MATCH('2'!B324,Daten!$A$7:$A$429,0))</f>
        <v>1759096.8600000003</v>
      </c>
    </row>
    <row r="325" spans="1:12" ht="15" customHeight="1">
      <c r="A325" s="172" t="str">
        <f>Daten!C318</f>
        <v>JC Stuttgart, Landeshauptstadt</v>
      </c>
      <c r="B325" s="214" t="str">
        <f>Daten!A318</f>
        <v>67748</v>
      </c>
      <c r="C325" s="172" t="str">
        <f>Daten!F318</f>
        <v>08</v>
      </c>
      <c r="D325" s="145" t="str">
        <f>Daten!E318</f>
        <v>IIb</v>
      </c>
      <c r="E325" s="282">
        <f>INDEX(Daten!$R$7:$R$429,MATCH('2'!B325,Daten!$A$7:$A$429,0))</f>
        <v>471138304</v>
      </c>
      <c r="F325" s="175">
        <f>INDEX(Daten!$M$7:$M$429,MATCH('2'!B325,Daten!$A$7:$A$429,0))</f>
        <v>163590179</v>
      </c>
      <c r="G325" s="135">
        <f>INDEX(Daten!$N$7:$N$429,MATCH('2'!B325,Daten!$A$7:$A$429,0))</f>
        <v>170468688</v>
      </c>
      <c r="H325" s="135">
        <f>INDEX(Daten!$P$7:$P$429,MATCH('2'!B325,Daten!$A$7:$A$429,0))</f>
        <v>55556264</v>
      </c>
      <c r="I325" s="135">
        <f>INDEX(Daten!$L$7:$L$429,MATCH('2'!B325,Daten!$A$7:$A$429,0))</f>
        <v>31843810</v>
      </c>
      <c r="J325" s="135">
        <f>INDEX(Daten!$K$7:$K$429,MATCH('2'!B325,Daten!$A$7:$A$429,0))</f>
        <v>47703033</v>
      </c>
      <c r="K325" s="135">
        <f>INDEX(Daten!$O$7:$O$429,MATCH('2'!B325,Daten!$A$7:$A$429,0))</f>
        <v>1976330</v>
      </c>
      <c r="L325" s="151">
        <f>INDEX(Daten!$Q$7:$Q$429,MATCH('2'!B325,Daten!$A$7:$A$429,0))</f>
        <v>6414073</v>
      </c>
    </row>
    <row r="326" spans="1:12" ht="15" customHeight="1">
      <c r="A326" s="172" t="str">
        <f>Daten!C319</f>
        <v>JC Ulm, Universitätsstadt</v>
      </c>
      <c r="B326" s="214" t="str">
        <f>Daten!A319</f>
        <v>68402</v>
      </c>
      <c r="C326" s="172" t="str">
        <f>Daten!F319</f>
        <v>08</v>
      </c>
      <c r="D326" s="145" t="str">
        <f>Daten!E319</f>
        <v>IIb</v>
      </c>
      <c r="E326" s="282">
        <f>INDEX(Daten!$R$7:$R$429,MATCH('2'!B326,Daten!$A$7:$A$429,0))</f>
        <v>60619507.590000004</v>
      </c>
      <c r="F326" s="175">
        <f>INDEX(Daten!$M$7:$M$429,MATCH('2'!B326,Daten!$A$7:$A$429,0))</f>
        <v>23428491.380000003</v>
      </c>
      <c r="G326" s="135">
        <f>INDEX(Daten!$N$7:$N$429,MATCH('2'!B326,Daten!$A$7:$A$429,0))</f>
        <v>19196333.300000004</v>
      </c>
      <c r="H326" s="135">
        <f>INDEX(Daten!$P$7:$P$429,MATCH('2'!B326,Daten!$A$7:$A$429,0))</f>
        <v>7951585.7299999995</v>
      </c>
      <c r="I326" s="135">
        <f>INDEX(Daten!$L$7:$L$429,MATCH('2'!B326,Daten!$A$7:$A$429,0))</f>
        <v>2726821.6299999994</v>
      </c>
      <c r="J326" s="135">
        <f>INDEX(Daten!$K$7:$K$429,MATCH('2'!B326,Daten!$A$7:$A$429,0))</f>
        <v>7068691.7999999998</v>
      </c>
      <c r="K326" s="135">
        <f>INDEX(Daten!$O$7:$O$429,MATCH('2'!B326,Daten!$A$7:$A$429,0))</f>
        <v>247583.75</v>
      </c>
      <c r="L326" s="151">
        <f>INDEX(Daten!$Q$7:$Q$429,MATCH('2'!B326,Daten!$A$7:$A$429,0))</f>
        <v>1160045.18</v>
      </c>
    </row>
    <row r="327" spans="1:12" ht="15" customHeight="1">
      <c r="A327" s="172" t="str">
        <f>Daten!C320</f>
        <v>JC Alb-Donau-Kreis</v>
      </c>
      <c r="B327" s="214" t="str">
        <f>Daten!A320</f>
        <v>68404</v>
      </c>
      <c r="C327" s="172" t="str">
        <f>Daten!F320</f>
        <v>08</v>
      </c>
      <c r="D327" s="145" t="str">
        <f>Daten!E320</f>
        <v>Ic</v>
      </c>
      <c r="E327" s="282">
        <f>INDEX(Daten!$R$7:$R$429,MATCH('2'!B327,Daten!$A$7:$A$429,0))</f>
        <v>51637615.399999991</v>
      </c>
      <c r="F327" s="175">
        <f>INDEX(Daten!$M$7:$M$429,MATCH('2'!B327,Daten!$A$7:$A$429,0))</f>
        <v>21258469.990000002</v>
      </c>
      <c r="G327" s="135">
        <f>INDEX(Daten!$N$7:$N$429,MATCH('2'!B327,Daten!$A$7:$A$429,0))</f>
        <v>15552327.299999999</v>
      </c>
      <c r="H327" s="135">
        <f>INDEX(Daten!$P$7:$P$429,MATCH('2'!B327,Daten!$A$7:$A$429,0))</f>
        <v>6721318.3000000007</v>
      </c>
      <c r="I327" s="135">
        <f>INDEX(Daten!$L$7:$L$429,MATCH('2'!B327,Daten!$A$7:$A$429,0))</f>
        <v>2544023.4</v>
      </c>
      <c r="J327" s="135">
        <f>INDEX(Daten!$K$7:$K$429,MATCH('2'!B327,Daten!$A$7:$A$429,0))</f>
        <v>5291980.47</v>
      </c>
      <c r="K327" s="135">
        <f>INDEX(Daten!$O$7:$O$429,MATCH('2'!B327,Daten!$A$7:$A$429,0))</f>
        <v>269495.94</v>
      </c>
      <c r="L327" s="151">
        <f>INDEX(Daten!$Q$7:$Q$429,MATCH('2'!B327,Daten!$A$7:$A$429,0))</f>
        <v>518800.98</v>
      </c>
    </row>
    <row r="328" spans="1:12" ht="15" customHeight="1">
      <c r="A328" s="172" t="str">
        <f>Daten!C321</f>
        <v>JC Biberach</v>
      </c>
      <c r="B328" s="214" t="str">
        <f>Daten!A321</f>
        <v>68410</v>
      </c>
      <c r="C328" s="172" t="str">
        <f>Daten!F321</f>
        <v>08</v>
      </c>
      <c r="D328" s="145" t="str">
        <f>Daten!E321</f>
        <v>Ic</v>
      </c>
      <c r="E328" s="282">
        <f>INDEX(Daten!$R$7:$R$429,MATCH('2'!B328,Daten!$A$7:$A$429,0))</f>
        <v>48772435</v>
      </c>
      <c r="F328" s="175">
        <f>INDEX(Daten!$M$7:$M$429,MATCH('2'!B328,Daten!$A$7:$A$429,0))</f>
        <v>18432647</v>
      </c>
      <c r="G328" s="135">
        <f>INDEX(Daten!$N$7:$N$429,MATCH('2'!B328,Daten!$A$7:$A$429,0))</f>
        <v>15581195</v>
      </c>
      <c r="H328" s="135">
        <f>INDEX(Daten!$P$7:$P$429,MATCH('2'!B328,Daten!$A$7:$A$429,0))</f>
        <v>6280342</v>
      </c>
      <c r="I328" s="135">
        <f>INDEX(Daten!$L$7:$L$429,MATCH('2'!B328,Daten!$A$7:$A$429,0))</f>
        <v>1639797</v>
      </c>
      <c r="J328" s="135">
        <f>INDEX(Daten!$K$7:$K$429,MATCH('2'!B328,Daten!$A$7:$A$429,0))</f>
        <v>6577018</v>
      </c>
      <c r="K328" s="135">
        <f>INDEX(Daten!$O$7:$O$429,MATCH('2'!B328,Daten!$A$7:$A$429,0))</f>
        <v>261436</v>
      </c>
      <c r="L328" s="151">
        <f>INDEX(Daten!$Q$7:$Q$429,MATCH('2'!B328,Daten!$A$7:$A$429,0))</f>
        <v>654901</v>
      </c>
    </row>
    <row r="329" spans="1:12" ht="15" customHeight="1">
      <c r="A329" s="172" t="str">
        <f>Daten!C322</f>
        <v>JC Schwarzwald-Baar-Kreis</v>
      </c>
      <c r="B329" s="214" t="str">
        <f>Daten!A322</f>
        <v>68702</v>
      </c>
      <c r="C329" s="172" t="str">
        <f>Daten!F322</f>
        <v>08</v>
      </c>
      <c r="D329" s="145" t="str">
        <f>Daten!E322</f>
        <v>Id</v>
      </c>
      <c r="E329" s="282">
        <f>INDEX(Daten!$R$7:$R$429,MATCH('2'!B329,Daten!$A$7:$A$429,0))</f>
        <v>88223490.080000013</v>
      </c>
      <c r="F329" s="175">
        <f>INDEX(Daten!$M$7:$M$429,MATCH('2'!B329,Daten!$A$7:$A$429,0))</f>
        <v>34427505.580000006</v>
      </c>
      <c r="G329" s="135">
        <f>INDEX(Daten!$N$7:$N$429,MATCH('2'!B329,Daten!$A$7:$A$429,0))</f>
        <v>26264730.32</v>
      </c>
      <c r="H329" s="135">
        <f>INDEX(Daten!$P$7:$P$429,MATCH('2'!B329,Daten!$A$7:$A$429,0))</f>
        <v>11438919.419999996</v>
      </c>
      <c r="I329" s="135">
        <f>INDEX(Daten!$L$7:$L$429,MATCH('2'!B329,Daten!$A$7:$A$429,0))</f>
        <v>5502502.4199999999</v>
      </c>
      <c r="J329" s="135">
        <f>INDEX(Daten!$K$7:$K$429,MATCH('2'!B329,Daten!$A$7:$A$429,0))</f>
        <v>10015643.100000001</v>
      </c>
      <c r="K329" s="135">
        <f>INDEX(Daten!$O$7:$O$429,MATCH('2'!B329,Daten!$A$7:$A$429,0))</f>
        <v>574189.24</v>
      </c>
      <c r="L329" s="151">
        <f>INDEX(Daten!$Q$7:$Q$429,MATCH('2'!B329,Daten!$A$7:$A$429,0))</f>
        <v>994350.52000000014</v>
      </c>
    </row>
    <row r="330" spans="1:12" ht="15" customHeight="1">
      <c r="A330" s="172" t="str">
        <f>Daten!C323</f>
        <v>JC Tuttlingen</v>
      </c>
      <c r="B330" s="214" t="str">
        <f>Daten!A323</f>
        <v>68706</v>
      </c>
      <c r="C330" s="172" t="str">
        <f>Daten!F323</f>
        <v>08</v>
      </c>
      <c r="D330" s="145" t="str">
        <f>Daten!E323</f>
        <v>Ic</v>
      </c>
      <c r="E330" s="282">
        <f>INDEX(Daten!$R$7:$R$429,MATCH('2'!B330,Daten!$A$7:$A$429,0))</f>
        <v>51680413</v>
      </c>
      <c r="F330" s="175">
        <f>INDEX(Daten!$M$7:$M$429,MATCH('2'!B330,Daten!$A$7:$A$429,0))</f>
        <v>21612532</v>
      </c>
      <c r="G330" s="135">
        <f>INDEX(Daten!$N$7:$N$429,MATCH('2'!B330,Daten!$A$7:$A$429,0))</f>
        <v>15859781</v>
      </c>
      <c r="H330" s="135">
        <f>INDEX(Daten!$P$7:$P$429,MATCH('2'!B330,Daten!$A$7:$A$429,0))</f>
        <v>6795669</v>
      </c>
      <c r="I330" s="135">
        <f>INDEX(Daten!$L$7:$L$429,MATCH('2'!B330,Daten!$A$7:$A$429,0))</f>
        <v>2195047</v>
      </c>
      <c r="J330" s="135">
        <f>INDEX(Daten!$K$7:$K$429,MATCH('2'!B330,Daten!$A$7:$A$429,0))</f>
        <v>5056635</v>
      </c>
      <c r="K330" s="135">
        <f>INDEX(Daten!$O$7:$O$429,MATCH('2'!B330,Daten!$A$7:$A$429,0))</f>
        <v>160749</v>
      </c>
      <c r="L330" s="151">
        <f>INDEX(Daten!$Q$7:$Q$429,MATCH('2'!B330,Daten!$A$7:$A$429,0))</f>
        <v>486113</v>
      </c>
    </row>
    <row r="331" spans="1:12" ht="15" customHeight="1">
      <c r="A331" s="172" t="str">
        <f>Daten!C324</f>
        <v>JC Rottweil</v>
      </c>
      <c r="B331" s="214" t="str">
        <f>Daten!A324</f>
        <v>68708</v>
      </c>
      <c r="C331" s="172" t="str">
        <f>Daten!F324</f>
        <v>08</v>
      </c>
      <c r="D331" s="145" t="str">
        <f>Daten!E324</f>
        <v>Ic</v>
      </c>
      <c r="E331" s="282">
        <f>INDEX(Daten!$R$7:$R$429,MATCH('2'!B331,Daten!$A$7:$A$429,0))</f>
        <v>39664436.089999989</v>
      </c>
      <c r="F331" s="175">
        <f>INDEX(Daten!$M$7:$M$429,MATCH('2'!B331,Daten!$A$7:$A$429,0))</f>
        <v>16457423.039999994</v>
      </c>
      <c r="G331" s="135">
        <f>INDEX(Daten!$N$7:$N$429,MATCH('2'!B331,Daten!$A$7:$A$429,0))</f>
        <v>11231698.750000002</v>
      </c>
      <c r="H331" s="135">
        <f>INDEX(Daten!$P$7:$P$429,MATCH('2'!B331,Daten!$A$7:$A$429,0))</f>
        <v>5268927.9300000006</v>
      </c>
      <c r="I331" s="135">
        <f>INDEX(Daten!$L$7:$L$429,MATCH('2'!B331,Daten!$A$7:$A$429,0))</f>
        <v>1481727.22</v>
      </c>
      <c r="J331" s="135">
        <f>INDEX(Daten!$K$7:$K$429,MATCH('2'!B331,Daten!$A$7:$A$429,0))</f>
        <v>5060978.2400000012</v>
      </c>
      <c r="K331" s="135">
        <f>INDEX(Daten!$O$7:$O$429,MATCH('2'!B331,Daten!$A$7:$A$429,0))</f>
        <v>163680.91</v>
      </c>
      <c r="L331" s="151">
        <f>INDEX(Daten!$Q$7:$Q$429,MATCH('2'!B331,Daten!$A$7:$A$429,0))</f>
        <v>373888.05</v>
      </c>
    </row>
    <row r="332" spans="1:12" ht="15" customHeight="1">
      <c r="A332" s="172" t="str">
        <f>Daten!C325</f>
        <v>JC Ansbach, Stadt</v>
      </c>
      <c r="B332" s="214" t="str">
        <f>Daten!A325</f>
        <v>71102</v>
      </c>
      <c r="C332" s="172" t="str">
        <f>Daten!F325</f>
        <v>09</v>
      </c>
      <c r="D332" s="145" t="str">
        <f>Daten!E325</f>
        <v>IIb</v>
      </c>
      <c r="E332" s="282">
        <f>INDEX(Daten!$R$7:$R$429,MATCH('2'!B332,Daten!$A$7:$A$429,0))</f>
        <v>23588460.130000003</v>
      </c>
      <c r="F332" s="175">
        <f>INDEX(Daten!$M$7:$M$429,MATCH('2'!B332,Daten!$A$7:$A$429,0))</f>
        <v>8826092.5800000001</v>
      </c>
      <c r="G332" s="135">
        <f>INDEX(Daten!$N$7:$N$429,MATCH('2'!B332,Daten!$A$7:$A$429,0))</f>
        <v>7128965.5500000017</v>
      </c>
      <c r="H332" s="135">
        <f>INDEX(Daten!$P$7:$P$429,MATCH('2'!B332,Daten!$A$7:$A$429,0))</f>
        <v>3160798.1500000004</v>
      </c>
      <c r="I332" s="135">
        <f>INDEX(Daten!$L$7:$L$429,MATCH('2'!B332,Daten!$A$7:$A$429,0))</f>
        <v>1278877.8</v>
      </c>
      <c r="J332" s="135">
        <f>INDEX(Daten!$K$7:$K$429,MATCH('2'!B332,Daten!$A$7:$A$429,0))</f>
        <v>3044737.66</v>
      </c>
      <c r="K332" s="135">
        <f>INDEX(Daten!$O$7:$O$429,MATCH('2'!B332,Daten!$A$7:$A$429,0))</f>
        <v>148988.38999999998</v>
      </c>
      <c r="L332" s="151">
        <f>INDEX(Daten!$Q$7:$Q$429,MATCH('2'!B332,Daten!$A$7:$A$429,0))</f>
        <v>246145.28</v>
      </c>
    </row>
    <row r="333" spans="1:12" ht="15" customHeight="1">
      <c r="A333" s="172" t="str">
        <f>Daten!C326</f>
        <v>JC Weißenburg-Gunzenhausen</v>
      </c>
      <c r="B333" s="214" t="str">
        <f>Daten!A326</f>
        <v>71108</v>
      </c>
      <c r="C333" s="172" t="str">
        <f>Daten!F326</f>
        <v>09</v>
      </c>
      <c r="D333" s="145" t="str">
        <f>Daten!E326</f>
        <v>Ic</v>
      </c>
      <c r="E333" s="282">
        <f>INDEX(Daten!$R$7:$R$429,MATCH('2'!B333,Daten!$A$7:$A$429,0))</f>
        <v>27810594.800000001</v>
      </c>
      <c r="F333" s="175">
        <f>INDEX(Daten!$M$7:$M$429,MATCH('2'!B333,Daten!$A$7:$A$429,0))</f>
        <v>11554740.32</v>
      </c>
      <c r="G333" s="135">
        <f>INDEX(Daten!$N$7:$N$429,MATCH('2'!B333,Daten!$A$7:$A$429,0))</f>
        <v>6641994.9299999997</v>
      </c>
      <c r="H333" s="135">
        <f>INDEX(Daten!$P$7:$P$429,MATCH('2'!B333,Daten!$A$7:$A$429,0))</f>
        <v>3913082.09</v>
      </c>
      <c r="I333" s="135">
        <f>INDEX(Daten!$L$7:$L$429,MATCH('2'!B333,Daten!$A$7:$A$429,0))</f>
        <v>2118731.7299999995</v>
      </c>
      <c r="J333" s="135">
        <f>INDEX(Daten!$K$7:$K$429,MATCH('2'!B333,Daten!$A$7:$A$429,0))</f>
        <v>3459053.93</v>
      </c>
      <c r="K333" s="135">
        <f>INDEX(Daten!$O$7:$O$429,MATCH('2'!B333,Daten!$A$7:$A$429,0))</f>
        <v>122991.8</v>
      </c>
      <c r="L333" s="151">
        <f>INDEX(Daten!$Q$7:$Q$429,MATCH('2'!B333,Daten!$A$7:$A$429,0))</f>
        <v>338563.14</v>
      </c>
    </row>
    <row r="334" spans="1:12" ht="15" customHeight="1">
      <c r="A334" s="172" t="str">
        <f>Daten!C327</f>
        <v>JC Roth</v>
      </c>
      <c r="B334" s="214" t="str">
        <f>Daten!A327</f>
        <v>71110</v>
      </c>
      <c r="C334" s="172" t="str">
        <f>Daten!F327</f>
        <v>09</v>
      </c>
      <c r="D334" s="145" t="str">
        <f>Daten!E327</f>
        <v>Ib</v>
      </c>
      <c r="E334" s="282">
        <f>INDEX(Daten!$R$7:$R$429,MATCH('2'!B334,Daten!$A$7:$A$429,0))</f>
        <v>21948640.109999999</v>
      </c>
      <c r="F334" s="175">
        <f>INDEX(Daten!$M$7:$M$429,MATCH('2'!B334,Daten!$A$7:$A$429,0))</f>
        <v>8989366.8799999971</v>
      </c>
      <c r="G334" s="135">
        <f>INDEX(Daten!$N$7:$N$429,MATCH('2'!B334,Daten!$A$7:$A$429,0))</f>
        <v>5963537.620000001</v>
      </c>
      <c r="H334" s="135">
        <f>INDEX(Daten!$P$7:$P$429,MATCH('2'!B334,Daten!$A$7:$A$429,0))</f>
        <v>3044762.59</v>
      </c>
      <c r="I334" s="135">
        <f>INDEX(Daten!$L$7:$L$429,MATCH('2'!B334,Daten!$A$7:$A$429,0))</f>
        <v>1150702.3600000001</v>
      </c>
      <c r="J334" s="135">
        <f>INDEX(Daten!$K$7:$K$429,MATCH('2'!B334,Daten!$A$7:$A$429,0))</f>
        <v>2736658.54</v>
      </c>
      <c r="K334" s="135">
        <f>INDEX(Daten!$O$7:$O$429,MATCH('2'!B334,Daten!$A$7:$A$429,0))</f>
        <v>63612.12</v>
      </c>
      <c r="L334" s="151">
        <f>INDEX(Daten!$Q$7:$Q$429,MATCH('2'!B334,Daten!$A$7:$A$429,0))</f>
        <v>217895.18000000002</v>
      </c>
    </row>
    <row r="335" spans="1:12" ht="15" customHeight="1">
      <c r="A335" s="172" t="str">
        <f>Daten!C328</f>
        <v>JC Ansbach</v>
      </c>
      <c r="B335" s="214" t="str">
        <f>Daten!A328</f>
        <v>71146</v>
      </c>
      <c r="C335" s="172" t="str">
        <f>Daten!F328</f>
        <v>09</v>
      </c>
      <c r="D335" s="145" t="str">
        <f>Daten!E328</f>
        <v>Ib</v>
      </c>
      <c r="E335" s="282" t="str">
        <f>INDEX(Daten!$R$7:$R$429,MATCH('2'!B335,Daten!$A$7:$A$429,0))</f>
        <v>.</v>
      </c>
      <c r="F335" s="175">
        <f>INDEX(Daten!$M$7:$M$429,MATCH('2'!B335,Daten!$A$7:$A$429,0))</f>
        <v>11268172</v>
      </c>
      <c r="G335" s="135">
        <f>INDEX(Daten!$N$7:$N$429,MATCH('2'!B335,Daten!$A$7:$A$429,0))</f>
        <v>5939133</v>
      </c>
      <c r="H335" s="135">
        <f>INDEX(Daten!$P$7:$P$429,MATCH('2'!B335,Daten!$A$7:$A$429,0))</f>
        <v>3671228</v>
      </c>
      <c r="I335" s="135">
        <f>INDEX(Daten!$L$7:$L$429,MATCH('2'!B335,Daten!$A$7:$A$429,0))</f>
        <v>622929</v>
      </c>
      <c r="J335" s="135" t="str">
        <f>INDEX(Daten!$K$7:$K$429,MATCH('2'!B335,Daten!$A$7:$A$429,0))</f>
        <v>.</v>
      </c>
      <c r="K335" s="135">
        <f>INDEX(Daten!$O$7:$O$429,MATCH('2'!B335,Daten!$A$7:$A$429,0))</f>
        <v>87568</v>
      </c>
      <c r="L335" s="151">
        <f>INDEX(Daten!$Q$7:$Q$429,MATCH('2'!B335,Daten!$A$7:$A$429,0))</f>
        <v>259148</v>
      </c>
    </row>
    <row r="336" spans="1:12" ht="15" customHeight="1">
      <c r="A336" s="172" t="str">
        <f>Daten!C329</f>
        <v>JC Aschaffenburg, Stadt</v>
      </c>
      <c r="B336" s="214" t="str">
        <f>Daten!A329</f>
        <v>71502</v>
      </c>
      <c r="C336" s="172" t="str">
        <f>Daten!F329</f>
        <v>09</v>
      </c>
      <c r="D336" s="145" t="str">
        <f>Daten!E329</f>
        <v>IIb</v>
      </c>
      <c r="E336" s="282">
        <f>INDEX(Daten!$R$7:$R$429,MATCH('2'!B336,Daten!$A$7:$A$429,0))</f>
        <v>55587677.260000005</v>
      </c>
      <c r="F336" s="175">
        <f>INDEX(Daten!$M$7:$M$429,MATCH('2'!B336,Daten!$A$7:$A$429,0))</f>
        <v>20480206.949999999</v>
      </c>
      <c r="G336" s="135">
        <f>INDEX(Daten!$N$7:$N$429,MATCH('2'!B336,Daten!$A$7:$A$429,0))</f>
        <v>18181715.970000003</v>
      </c>
      <c r="H336" s="135">
        <f>INDEX(Daten!$P$7:$P$429,MATCH('2'!B336,Daten!$A$7:$A$429,0))</f>
        <v>7024812.9500000002</v>
      </c>
      <c r="I336" s="135">
        <f>INDEX(Daten!$L$7:$L$429,MATCH('2'!B336,Daten!$A$7:$A$429,0))</f>
        <v>3337736.3899999997</v>
      </c>
      <c r="J336" s="135">
        <f>INDEX(Daten!$K$7:$K$429,MATCH('2'!B336,Daten!$A$7:$A$429,0))</f>
        <v>6193118.9199999999</v>
      </c>
      <c r="K336" s="135">
        <f>INDEX(Daten!$O$7:$O$429,MATCH('2'!B336,Daten!$A$7:$A$429,0))</f>
        <v>370086.08</v>
      </c>
      <c r="L336" s="151">
        <f>INDEX(Daten!$Q$7:$Q$429,MATCH('2'!B336,Daten!$A$7:$A$429,0))</f>
        <v>841446.67</v>
      </c>
    </row>
    <row r="337" spans="1:12" ht="15" customHeight="1">
      <c r="A337" s="172" t="str">
        <f>Daten!C330</f>
        <v>JC Aschaffenburg</v>
      </c>
      <c r="B337" s="214" t="str">
        <f>Daten!A330</f>
        <v>71504</v>
      </c>
      <c r="C337" s="172" t="str">
        <f>Daten!F330</f>
        <v>09</v>
      </c>
      <c r="D337" s="145" t="str">
        <f>Daten!E330</f>
        <v>Ib</v>
      </c>
      <c r="E337" s="282">
        <f>INDEX(Daten!$R$7:$R$429,MATCH('2'!B337,Daten!$A$7:$A$429,0))</f>
        <v>54962404.250000007</v>
      </c>
      <c r="F337" s="175">
        <f>INDEX(Daten!$M$7:$M$429,MATCH('2'!B337,Daten!$A$7:$A$429,0))</f>
        <v>22109150.099999998</v>
      </c>
      <c r="G337" s="135">
        <f>INDEX(Daten!$N$7:$N$429,MATCH('2'!B337,Daten!$A$7:$A$429,0))</f>
        <v>15856570.520000001</v>
      </c>
      <c r="H337" s="135">
        <f>INDEX(Daten!$P$7:$P$429,MATCH('2'!B337,Daten!$A$7:$A$429,0))</f>
        <v>7325311.8799999999</v>
      </c>
      <c r="I337" s="135">
        <f>INDEX(Daten!$L$7:$L$429,MATCH('2'!B337,Daten!$A$7:$A$429,0))</f>
        <v>2561322.9000000004</v>
      </c>
      <c r="J337" s="135">
        <f>INDEX(Daten!$K$7:$K$429,MATCH('2'!B337,Daten!$A$7:$A$429,0))</f>
        <v>6798580.1799999997</v>
      </c>
      <c r="K337" s="135">
        <f>INDEX(Daten!$O$7:$O$429,MATCH('2'!B337,Daten!$A$7:$A$429,0))</f>
        <v>311468.67</v>
      </c>
      <c r="L337" s="151">
        <f>INDEX(Daten!$Q$7:$Q$429,MATCH('2'!B337,Daten!$A$7:$A$429,0))</f>
        <v>767491.85</v>
      </c>
    </row>
    <row r="338" spans="1:12" ht="15" customHeight="1">
      <c r="A338" s="172" t="str">
        <f>Daten!C331</f>
        <v>JC Miltenberg</v>
      </c>
      <c r="B338" s="214" t="str">
        <f>Daten!A331</f>
        <v>71506</v>
      </c>
      <c r="C338" s="172" t="str">
        <f>Daten!F331</f>
        <v>09</v>
      </c>
      <c r="D338" s="145" t="str">
        <f>Daten!E331</f>
        <v>Ib</v>
      </c>
      <c r="E338" s="282">
        <f>INDEX(Daten!$R$7:$R$429,MATCH('2'!B338,Daten!$A$7:$A$429,0))</f>
        <v>44374658.480000004</v>
      </c>
      <c r="F338" s="175">
        <f>INDEX(Daten!$M$7:$M$429,MATCH('2'!B338,Daten!$A$7:$A$429,0))</f>
        <v>18860417.550000001</v>
      </c>
      <c r="G338" s="135">
        <f>INDEX(Daten!$N$7:$N$429,MATCH('2'!B338,Daten!$A$7:$A$429,0))</f>
        <v>12293273.92</v>
      </c>
      <c r="H338" s="135">
        <f>INDEX(Daten!$P$7:$P$429,MATCH('2'!B338,Daten!$A$7:$A$429,0))</f>
        <v>5959221.4899999993</v>
      </c>
      <c r="I338" s="135">
        <f>INDEX(Daten!$L$7:$L$429,MATCH('2'!B338,Daten!$A$7:$A$429,0))</f>
        <v>2156756.77</v>
      </c>
      <c r="J338" s="135">
        <f>INDEX(Daten!$K$7:$K$429,MATCH('2'!B338,Daten!$A$7:$A$429,0))</f>
        <v>4801692.4099999992</v>
      </c>
      <c r="K338" s="135">
        <f>INDEX(Daten!$O$7:$O$429,MATCH('2'!B338,Daten!$A$7:$A$429,0))</f>
        <v>303296.34000000003</v>
      </c>
      <c r="L338" s="151">
        <f>INDEX(Daten!$Q$7:$Q$429,MATCH('2'!B338,Daten!$A$7:$A$429,0))</f>
        <v>549372.07000000007</v>
      </c>
    </row>
    <row r="339" spans="1:12" ht="15" customHeight="1">
      <c r="A339" s="172" t="str">
        <f>Daten!C332</f>
        <v>JC Bayreuth, Stadt</v>
      </c>
      <c r="B339" s="214" t="str">
        <f>Daten!A332</f>
        <v>72302</v>
      </c>
      <c r="C339" s="172" t="str">
        <f>Daten!F332</f>
        <v>09</v>
      </c>
      <c r="D339" s="145" t="str">
        <f>Daten!E332</f>
        <v>IIb</v>
      </c>
      <c r="E339" s="282">
        <f>INDEX(Daten!$R$7:$R$429,MATCH('2'!B339,Daten!$A$7:$A$429,0))</f>
        <v>37221373.809999995</v>
      </c>
      <c r="F339" s="175">
        <f>INDEX(Daten!$M$7:$M$429,MATCH('2'!B339,Daten!$A$7:$A$429,0))</f>
        <v>14296686.109999999</v>
      </c>
      <c r="G339" s="135">
        <f>INDEX(Daten!$N$7:$N$429,MATCH('2'!B339,Daten!$A$7:$A$429,0))</f>
        <v>10489736.419999998</v>
      </c>
      <c r="H339" s="135">
        <f>INDEX(Daten!$P$7:$P$429,MATCH('2'!B339,Daten!$A$7:$A$429,0))</f>
        <v>5078042.87</v>
      </c>
      <c r="I339" s="135">
        <f>INDEX(Daten!$L$7:$L$429,MATCH('2'!B339,Daten!$A$7:$A$429,0))</f>
        <v>1427497.1199999999</v>
      </c>
      <c r="J339" s="135">
        <f>INDEX(Daten!$K$7:$K$429,MATCH('2'!B339,Daten!$A$7:$A$429,0))</f>
        <v>5711582.8399999999</v>
      </c>
      <c r="K339" s="135">
        <f>INDEX(Daten!$O$7:$O$429,MATCH('2'!B339,Daten!$A$7:$A$429,0))</f>
        <v>217828.45</v>
      </c>
      <c r="L339" s="151">
        <f>INDEX(Daten!$Q$7:$Q$429,MATCH('2'!B339,Daten!$A$7:$A$429,0))</f>
        <v>399278.31999999995</v>
      </c>
    </row>
    <row r="340" spans="1:12" ht="15" customHeight="1">
      <c r="A340" s="172" t="str">
        <f>Daten!C333</f>
        <v>JC Bayreuth</v>
      </c>
      <c r="B340" s="214" t="str">
        <f>Daten!A333</f>
        <v>72304</v>
      </c>
      <c r="C340" s="172" t="str">
        <f>Daten!F333</f>
        <v>09</v>
      </c>
      <c r="D340" s="145" t="str">
        <f>Daten!E333</f>
        <v>Ib</v>
      </c>
      <c r="E340" s="282">
        <f>INDEX(Daten!$R$7:$R$429,MATCH('2'!B340,Daten!$A$7:$A$429,0))</f>
        <v>23019996.319999997</v>
      </c>
      <c r="F340" s="175">
        <f>INDEX(Daten!$M$7:$M$429,MATCH('2'!B340,Daten!$A$7:$A$429,0))</f>
        <v>9534074.0399999991</v>
      </c>
      <c r="G340" s="135">
        <f>INDEX(Daten!$N$7:$N$429,MATCH('2'!B340,Daten!$A$7:$A$429,0))</f>
        <v>6002831.5299999993</v>
      </c>
      <c r="H340" s="135">
        <f>INDEX(Daten!$P$7:$P$429,MATCH('2'!B340,Daten!$A$7:$A$429,0))</f>
        <v>3105774.77</v>
      </c>
      <c r="I340" s="135">
        <f>INDEX(Daten!$L$7:$L$429,MATCH('2'!B340,Daten!$A$7:$A$429,0))</f>
        <v>782715.52</v>
      </c>
      <c r="J340" s="135">
        <f>INDEX(Daten!$K$7:$K$429,MATCH('2'!B340,Daten!$A$7:$A$429,0))</f>
        <v>3446621.2800000003</v>
      </c>
      <c r="K340" s="135">
        <f>INDEX(Daten!$O$7:$O$429,MATCH('2'!B340,Daten!$A$7:$A$429,0))</f>
        <v>147979.18</v>
      </c>
      <c r="L340" s="151">
        <f>INDEX(Daten!$Q$7:$Q$429,MATCH('2'!B340,Daten!$A$7:$A$429,0))</f>
        <v>234058.5</v>
      </c>
    </row>
    <row r="341" spans="1:12" ht="15" customHeight="1">
      <c r="A341" s="172" t="str">
        <f>Daten!C334</f>
        <v>JC Kulmbach</v>
      </c>
      <c r="B341" s="214" t="str">
        <f>Daten!A334</f>
        <v>72306</v>
      </c>
      <c r="C341" s="172" t="str">
        <f>Daten!F334</f>
        <v>09</v>
      </c>
      <c r="D341" s="145" t="str">
        <f>Daten!E334</f>
        <v>Ie</v>
      </c>
      <c r="E341" s="282">
        <f>INDEX(Daten!$R$7:$R$429,MATCH('2'!B341,Daten!$A$7:$A$429,0))</f>
        <v>21657613.879999999</v>
      </c>
      <c r="F341" s="175">
        <f>INDEX(Daten!$M$7:$M$429,MATCH('2'!B341,Daten!$A$7:$A$429,0))</f>
        <v>9049938.7499999981</v>
      </c>
      <c r="G341" s="135">
        <f>INDEX(Daten!$N$7:$N$429,MATCH('2'!B341,Daten!$A$7:$A$429,0))</f>
        <v>5487233.5</v>
      </c>
      <c r="H341" s="135">
        <f>INDEX(Daten!$P$7:$P$429,MATCH('2'!B341,Daten!$A$7:$A$429,0))</f>
        <v>3026949.91</v>
      </c>
      <c r="I341" s="135">
        <f>INDEX(Daten!$L$7:$L$429,MATCH('2'!B341,Daten!$A$7:$A$429,0))</f>
        <v>548564.83000000007</v>
      </c>
      <c r="J341" s="135">
        <f>INDEX(Daten!$K$7:$K$429,MATCH('2'!B341,Daten!$A$7:$A$429,0))</f>
        <v>3435102.24</v>
      </c>
      <c r="K341" s="135">
        <f>INDEX(Daten!$O$7:$O$429,MATCH('2'!B341,Daten!$A$7:$A$429,0))</f>
        <v>109824.65000000001</v>
      </c>
      <c r="L341" s="151">
        <f>INDEX(Daten!$Q$7:$Q$429,MATCH('2'!B341,Daten!$A$7:$A$429,0))</f>
        <v>195788.93</v>
      </c>
    </row>
    <row r="342" spans="1:12" ht="15" customHeight="1">
      <c r="A342" s="172" t="str">
        <f>Daten!C335</f>
        <v>JC Hof, Stadt</v>
      </c>
      <c r="B342" s="214" t="str">
        <f>Daten!A335</f>
        <v>72308</v>
      </c>
      <c r="C342" s="172" t="str">
        <f>Daten!F335</f>
        <v>09</v>
      </c>
      <c r="D342" s="145" t="str">
        <f>Daten!E335</f>
        <v>IIa</v>
      </c>
      <c r="E342" s="282">
        <f>INDEX(Daten!$R$7:$R$429,MATCH('2'!B342,Daten!$A$7:$A$429,0))</f>
        <v>39926220.68</v>
      </c>
      <c r="F342" s="175">
        <f>INDEX(Daten!$M$7:$M$429,MATCH('2'!B342,Daten!$A$7:$A$429,0))</f>
        <v>16749427.329999998</v>
      </c>
      <c r="G342" s="135">
        <f>INDEX(Daten!$N$7:$N$429,MATCH('2'!B342,Daten!$A$7:$A$429,0))</f>
        <v>10727255.17</v>
      </c>
      <c r="H342" s="135">
        <f>INDEX(Daten!$P$7:$P$429,MATCH('2'!B342,Daten!$A$7:$A$429,0))</f>
        <v>5351136.1100000013</v>
      </c>
      <c r="I342" s="135">
        <f>INDEX(Daten!$L$7:$L$429,MATCH('2'!B342,Daten!$A$7:$A$429,0))</f>
        <v>1897808.0100000002</v>
      </c>
      <c r="J342" s="135">
        <f>INDEX(Daten!$K$7:$K$429,MATCH('2'!B342,Daten!$A$7:$A$429,0))</f>
        <v>5044277.4499999993</v>
      </c>
      <c r="K342" s="135">
        <f>INDEX(Daten!$O$7:$O$429,MATCH('2'!B342,Daten!$A$7:$A$429,0))</f>
        <v>156316.60999999999</v>
      </c>
      <c r="L342" s="151">
        <f>INDEX(Daten!$Q$7:$Q$429,MATCH('2'!B342,Daten!$A$7:$A$429,0))</f>
        <v>516073.29999999993</v>
      </c>
    </row>
    <row r="343" spans="1:12" ht="15" customHeight="1">
      <c r="A343" s="172" t="str">
        <f>Daten!C336</f>
        <v>JC Hof</v>
      </c>
      <c r="B343" s="214" t="str">
        <f>Daten!A336</f>
        <v>72310</v>
      </c>
      <c r="C343" s="172" t="str">
        <f>Daten!F336</f>
        <v>09</v>
      </c>
      <c r="D343" s="145" t="str">
        <f>Daten!E336</f>
        <v>Ie</v>
      </c>
      <c r="E343" s="282">
        <f>INDEX(Daten!$R$7:$R$429,MATCH('2'!B343,Daten!$A$7:$A$429,0))</f>
        <v>30713912.649999999</v>
      </c>
      <c r="F343" s="175">
        <f>INDEX(Daten!$M$7:$M$429,MATCH('2'!B343,Daten!$A$7:$A$429,0))</f>
        <v>13314161.510000002</v>
      </c>
      <c r="G343" s="135">
        <f>INDEX(Daten!$N$7:$N$429,MATCH('2'!B343,Daten!$A$7:$A$429,0))</f>
        <v>7565210.5999999987</v>
      </c>
      <c r="H343" s="135">
        <f>INDEX(Daten!$P$7:$P$429,MATCH('2'!B343,Daten!$A$7:$A$429,0))</f>
        <v>4257487.13</v>
      </c>
      <c r="I343" s="135">
        <f>INDEX(Daten!$L$7:$L$429,MATCH('2'!B343,Daten!$A$7:$A$429,0))</f>
        <v>1272666.8899999999</v>
      </c>
      <c r="J343" s="135">
        <f>INDEX(Daten!$K$7:$K$429,MATCH('2'!B343,Daten!$A$7:$A$429,0))</f>
        <v>4164175.5900000003</v>
      </c>
      <c r="K343" s="135">
        <f>INDEX(Daten!$O$7:$O$429,MATCH('2'!B343,Daten!$A$7:$A$429,0))</f>
        <v>140210.93</v>
      </c>
      <c r="L343" s="151">
        <f>INDEX(Daten!$Q$7:$Q$429,MATCH('2'!B343,Daten!$A$7:$A$429,0))</f>
        <v>275255.08</v>
      </c>
    </row>
    <row r="344" spans="1:12" ht="15" customHeight="1">
      <c r="A344" s="172" t="str">
        <f>Daten!C337</f>
        <v>JC Wunsiedel im Fichtelgebirge</v>
      </c>
      <c r="B344" s="214" t="str">
        <f>Daten!A337</f>
        <v>72312</v>
      </c>
      <c r="C344" s="172" t="str">
        <f>Daten!F337</f>
        <v>09</v>
      </c>
      <c r="D344" s="145" t="str">
        <f>Daten!E337</f>
        <v>IIa</v>
      </c>
      <c r="E344" s="282">
        <f>INDEX(Daten!$R$7:$R$429,MATCH('2'!B344,Daten!$A$7:$A$429,0))</f>
        <v>33747879.609999999</v>
      </c>
      <c r="F344" s="175">
        <f>INDEX(Daten!$M$7:$M$429,MATCH('2'!B344,Daten!$A$7:$A$429,0))</f>
        <v>14287355.289999999</v>
      </c>
      <c r="G344" s="135">
        <f>INDEX(Daten!$N$7:$N$429,MATCH('2'!B344,Daten!$A$7:$A$429,0))</f>
        <v>8537131.2599999998</v>
      </c>
      <c r="H344" s="135">
        <f>INDEX(Daten!$P$7:$P$429,MATCH('2'!B344,Daten!$A$7:$A$429,0))</f>
        <v>4610050.8500000015</v>
      </c>
      <c r="I344" s="135">
        <f>INDEX(Daten!$L$7:$L$429,MATCH('2'!B344,Daten!$A$7:$A$429,0))</f>
        <v>1117486.23</v>
      </c>
      <c r="J344" s="135">
        <f>INDEX(Daten!$K$7:$K$429,MATCH('2'!B344,Daten!$A$7:$A$429,0))</f>
        <v>5041416.66</v>
      </c>
      <c r="K344" s="135">
        <f>INDEX(Daten!$O$7:$O$429,MATCH('2'!B344,Daten!$A$7:$A$429,0))</f>
        <v>154439.31999999998</v>
      </c>
      <c r="L344" s="151">
        <f>INDEX(Daten!$Q$7:$Q$429,MATCH('2'!B344,Daten!$A$7:$A$429,0))</f>
        <v>505055.32</v>
      </c>
    </row>
    <row r="345" spans="1:12" ht="15" customHeight="1">
      <c r="A345" s="172" t="str">
        <f>Daten!C338</f>
        <v>JC Coburg, Stadt</v>
      </c>
      <c r="B345" s="214" t="str">
        <f>Daten!A338</f>
        <v>72702</v>
      </c>
      <c r="C345" s="172" t="str">
        <f>Daten!F338</f>
        <v>09</v>
      </c>
      <c r="D345" s="145" t="str">
        <f>Daten!E338</f>
        <v>IIb</v>
      </c>
      <c r="E345" s="282">
        <f>INDEX(Daten!$R$7:$R$429,MATCH('2'!B345,Daten!$A$7:$A$429,0))</f>
        <v>29628075.950000003</v>
      </c>
      <c r="F345" s="175">
        <f>INDEX(Daten!$M$7:$M$429,MATCH('2'!B345,Daten!$A$7:$A$429,0))</f>
        <v>11809111.050000004</v>
      </c>
      <c r="G345" s="135">
        <f>INDEX(Daten!$N$7:$N$429,MATCH('2'!B345,Daten!$A$7:$A$429,0))</f>
        <v>8342104.6799999969</v>
      </c>
      <c r="H345" s="135">
        <f>INDEX(Daten!$P$7:$P$429,MATCH('2'!B345,Daten!$A$7:$A$429,0))</f>
        <v>4040599.67</v>
      </c>
      <c r="I345" s="135">
        <f>INDEX(Daten!$L$7:$L$429,MATCH('2'!B345,Daten!$A$7:$A$429,0))</f>
        <v>1317577.69</v>
      </c>
      <c r="J345" s="135">
        <f>INDEX(Daten!$K$7:$K$429,MATCH('2'!B345,Daten!$A$7:$A$429,0))</f>
        <v>3920723.4200000009</v>
      </c>
      <c r="K345" s="135">
        <f>INDEX(Daten!$O$7:$O$429,MATCH('2'!B345,Daten!$A$7:$A$429,0))</f>
        <v>197959.44</v>
      </c>
      <c r="L345" s="151">
        <f>INDEX(Daten!$Q$7:$Q$429,MATCH('2'!B345,Daten!$A$7:$A$429,0))</f>
        <v>431683.09</v>
      </c>
    </row>
    <row r="346" spans="1:12" ht="15" customHeight="1">
      <c r="A346" s="172" t="str">
        <f>Daten!C339</f>
        <v>JC Coburg</v>
      </c>
      <c r="B346" s="214" t="str">
        <f>Daten!A339</f>
        <v>72704</v>
      </c>
      <c r="C346" s="172" t="str">
        <f>Daten!F339</f>
        <v>09</v>
      </c>
      <c r="D346" s="145" t="str">
        <f>Daten!E339</f>
        <v>Ie</v>
      </c>
      <c r="E346" s="282">
        <f>INDEX(Daten!$R$7:$R$429,MATCH('2'!B346,Daten!$A$7:$A$429,0))</f>
        <v>24728172.200000003</v>
      </c>
      <c r="F346" s="175">
        <f>INDEX(Daten!$M$7:$M$429,MATCH('2'!B346,Daten!$A$7:$A$429,0))</f>
        <v>10498853.950000003</v>
      </c>
      <c r="G346" s="135">
        <f>INDEX(Daten!$N$7:$N$429,MATCH('2'!B346,Daten!$A$7:$A$429,0))</f>
        <v>6016906.3300000001</v>
      </c>
      <c r="H346" s="135">
        <f>INDEX(Daten!$P$7:$P$429,MATCH('2'!B346,Daten!$A$7:$A$429,0))</f>
        <v>3446920.3200000003</v>
      </c>
      <c r="I346" s="135">
        <f>INDEX(Daten!$L$7:$L$429,MATCH('2'!B346,Daten!$A$7:$A$429,0))</f>
        <v>1231381.6000000001</v>
      </c>
      <c r="J346" s="135">
        <f>INDEX(Daten!$K$7:$K$429,MATCH('2'!B346,Daten!$A$7:$A$429,0))</f>
        <v>3414118.89</v>
      </c>
      <c r="K346" s="135">
        <f>INDEX(Daten!$O$7:$O$429,MATCH('2'!B346,Daten!$A$7:$A$429,0))</f>
        <v>119991.11</v>
      </c>
      <c r="L346" s="151">
        <f>INDEX(Daten!$Q$7:$Q$429,MATCH('2'!B346,Daten!$A$7:$A$429,0))</f>
        <v>281510.58999999997</v>
      </c>
    </row>
    <row r="347" spans="1:12" ht="15" customHeight="1">
      <c r="A347" s="172" t="str">
        <f>Daten!C340</f>
        <v>JC Kronach</v>
      </c>
      <c r="B347" s="214" t="str">
        <f>Daten!A340</f>
        <v>72706</v>
      </c>
      <c r="C347" s="172" t="str">
        <f>Daten!F340</f>
        <v>09</v>
      </c>
      <c r="D347" s="145" t="str">
        <f>Daten!E340</f>
        <v>Ie</v>
      </c>
      <c r="E347" s="282">
        <f>INDEX(Daten!$R$7:$R$429,MATCH('2'!B347,Daten!$A$7:$A$429,0))</f>
        <v>14974448.799999997</v>
      </c>
      <c r="F347" s="175">
        <f>INDEX(Daten!$M$7:$M$429,MATCH('2'!B347,Daten!$A$7:$A$429,0))</f>
        <v>6527918.8700000001</v>
      </c>
      <c r="G347" s="135">
        <f>INDEX(Daten!$N$7:$N$429,MATCH('2'!B347,Daten!$A$7:$A$429,0))</f>
        <v>3380208.86</v>
      </c>
      <c r="H347" s="135">
        <f>INDEX(Daten!$P$7:$P$429,MATCH('2'!B347,Daten!$A$7:$A$429,0))</f>
        <v>2089494.4899999993</v>
      </c>
      <c r="I347" s="135">
        <f>INDEX(Daten!$L$7:$L$429,MATCH('2'!B347,Daten!$A$7:$A$429,0))</f>
        <v>686751.51</v>
      </c>
      <c r="J347" s="135">
        <f>INDEX(Daten!$K$7:$K$429,MATCH('2'!B347,Daten!$A$7:$A$429,0))</f>
        <v>2249111.04</v>
      </c>
      <c r="K347" s="135">
        <f>INDEX(Daten!$O$7:$O$429,MATCH('2'!B347,Daten!$A$7:$A$429,0))</f>
        <v>40964.03</v>
      </c>
      <c r="L347" s="151">
        <f>INDEX(Daten!$Q$7:$Q$429,MATCH('2'!B347,Daten!$A$7:$A$429,0))</f>
        <v>127073.62000000001</v>
      </c>
    </row>
    <row r="348" spans="1:12" ht="15" customHeight="1">
      <c r="A348" s="172" t="str">
        <f>Daten!C341</f>
        <v>JC Lichtenfels</v>
      </c>
      <c r="B348" s="214" t="str">
        <f>Daten!A341</f>
        <v>72708</v>
      </c>
      <c r="C348" s="172" t="str">
        <f>Daten!F341</f>
        <v>09</v>
      </c>
      <c r="D348" s="145" t="str">
        <f>Daten!E341</f>
        <v>Ie</v>
      </c>
      <c r="E348" s="282">
        <f>INDEX(Daten!$R$7:$R$429,MATCH('2'!B348,Daten!$A$7:$A$429,0))</f>
        <v>19354786.460000001</v>
      </c>
      <c r="F348" s="175">
        <f>INDEX(Daten!$M$7:$M$429,MATCH('2'!B348,Daten!$A$7:$A$429,0))</f>
        <v>8292671.1600000011</v>
      </c>
      <c r="G348" s="135">
        <f>INDEX(Daten!$N$7:$N$429,MATCH('2'!B348,Daten!$A$7:$A$429,0))</f>
        <v>4737693.8099999996</v>
      </c>
      <c r="H348" s="135">
        <f>INDEX(Daten!$P$7:$P$429,MATCH('2'!B348,Daten!$A$7:$A$429,0))</f>
        <v>2682833.4000000004</v>
      </c>
      <c r="I348" s="135">
        <f>INDEX(Daten!$L$7:$L$429,MATCH('2'!B348,Daten!$A$7:$A$429,0))</f>
        <v>637013.09000000008</v>
      </c>
      <c r="J348" s="135">
        <f>INDEX(Daten!$K$7:$K$429,MATCH('2'!B348,Daten!$A$7:$A$429,0))</f>
        <v>2942095.91</v>
      </c>
      <c r="K348" s="135">
        <f>INDEX(Daten!$O$7:$O$429,MATCH('2'!B348,Daten!$A$7:$A$429,0))</f>
        <v>62479.09</v>
      </c>
      <c r="L348" s="151">
        <f>INDEX(Daten!$Q$7:$Q$429,MATCH('2'!B348,Daten!$A$7:$A$429,0))</f>
        <v>188394.88</v>
      </c>
    </row>
    <row r="349" spans="1:12" ht="15" customHeight="1">
      <c r="A349" s="172" t="str">
        <f>Daten!C342</f>
        <v>JC Bamberg, Stadt</v>
      </c>
      <c r="B349" s="214" t="str">
        <f>Daten!A342</f>
        <v>72710</v>
      </c>
      <c r="C349" s="172" t="str">
        <f>Daten!F342</f>
        <v>09</v>
      </c>
      <c r="D349" s="145" t="str">
        <f>Daten!E342</f>
        <v>IIb</v>
      </c>
      <c r="E349" s="282">
        <f>INDEX(Daten!$R$7:$R$429,MATCH('2'!B349,Daten!$A$7:$A$429,0))</f>
        <v>34900593.560000002</v>
      </c>
      <c r="F349" s="175">
        <f>INDEX(Daten!$M$7:$M$429,MATCH('2'!B349,Daten!$A$7:$A$429,0))</f>
        <v>13395096.52</v>
      </c>
      <c r="G349" s="135">
        <f>INDEX(Daten!$N$7:$N$429,MATCH('2'!B349,Daten!$A$7:$A$429,0))</f>
        <v>9858179.4400000013</v>
      </c>
      <c r="H349" s="135">
        <f>INDEX(Daten!$P$7:$P$429,MATCH('2'!B349,Daten!$A$7:$A$429,0))</f>
        <v>4582610.9799999995</v>
      </c>
      <c r="I349" s="135">
        <f>INDEX(Daten!$L$7:$L$429,MATCH('2'!B349,Daten!$A$7:$A$429,0))</f>
        <v>2074627.0199999998</v>
      </c>
      <c r="J349" s="135">
        <f>INDEX(Daten!$K$7:$K$429,MATCH('2'!B349,Daten!$A$7:$A$429,0))</f>
        <v>4865727.0600000005</v>
      </c>
      <c r="K349" s="135">
        <f>INDEX(Daten!$O$7:$O$429,MATCH('2'!B349,Daten!$A$7:$A$429,0))</f>
        <v>124352.54000000001</v>
      </c>
      <c r="L349" s="151">
        <f>INDEX(Daten!$Q$7:$Q$429,MATCH('2'!B349,Daten!$A$7:$A$429,0))</f>
        <v>314108.17999999993</v>
      </c>
    </row>
    <row r="350" spans="1:12" ht="15" customHeight="1">
      <c r="A350" s="172" t="str">
        <f>Daten!C343</f>
        <v>JC Bamberg</v>
      </c>
      <c r="B350" s="214" t="str">
        <f>Daten!A343</f>
        <v>72712</v>
      </c>
      <c r="C350" s="172" t="str">
        <f>Daten!F343</f>
        <v>09</v>
      </c>
      <c r="D350" s="145" t="str">
        <f>Daten!E343</f>
        <v>Ib</v>
      </c>
      <c r="E350" s="282">
        <f>INDEX(Daten!$R$7:$R$429,MATCH('2'!B350,Daten!$A$7:$A$429,0))</f>
        <v>28233747.929999996</v>
      </c>
      <c r="F350" s="175">
        <f>INDEX(Daten!$M$7:$M$429,MATCH('2'!B350,Daten!$A$7:$A$429,0))</f>
        <v>12016477.550000001</v>
      </c>
      <c r="G350" s="135">
        <f>INDEX(Daten!$N$7:$N$429,MATCH('2'!B350,Daten!$A$7:$A$429,0))</f>
        <v>6882161.2999999989</v>
      </c>
      <c r="H350" s="135">
        <f>INDEX(Daten!$P$7:$P$429,MATCH('2'!B350,Daten!$A$7:$A$429,0))</f>
        <v>4116956.45</v>
      </c>
      <c r="I350" s="135">
        <f>INDEX(Daten!$L$7:$L$429,MATCH('2'!B350,Daten!$A$7:$A$429,0))</f>
        <v>1595734.7</v>
      </c>
      <c r="J350" s="135">
        <f>INDEX(Daten!$K$7:$K$429,MATCH('2'!B350,Daten!$A$7:$A$429,0))</f>
        <v>3547876.1800000006</v>
      </c>
      <c r="K350" s="135">
        <f>INDEX(Daten!$O$7:$O$429,MATCH('2'!B350,Daten!$A$7:$A$429,0))</f>
        <v>74541.75</v>
      </c>
      <c r="L350" s="151">
        <f>INDEX(Daten!$Q$7:$Q$429,MATCH('2'!B350,Daten!$A$7:$A$429,0))</f>
        <v>258311.42</v>
      </c>
    </row>
    <row r="351" spans="1:12" ht="15" customHeight="1">
      <c r="A351" s="172" t="str">
        <f>Daten!C344</f>
        <v>JC Forchheim</v>
      </c>
      <c r="B351" s="214" t="str">
        <f>Daten!A344</f>
        <v>72714</v>
      </c>
      <c r="C351" s="172" t="str">
        <f>Daten!F344</f>
        <v>09</v>
      </c>
      <c r="D351" s="145" t="str">
        <f>Daten!E344</f>
        <v>Ib</v>
      </c>
      <c r="E351" s="282">
        <f>INDEX(Daten!$R$7:$R$429,MATCH('2'!B351,Daten!$A$7:$A$429,0))</f>
        <v>30832662.420000002</v>
      </c>
      <c r="F351" s="175">
        <f>INDEX(Daten!$M$7:$M$429,MATCH('2'!B351,Daten!$A$7:$A$429,0))</f>
        <v>13223737.750000004</v>
      </c>
      <c r="G351" s="135">
        <f>INDEX(Daten!$N$7:$N$429,MATCH('2'!B351,Daten!$A$7:$A$429,0))</f>
        <v>7247618.1299999999</v>
      </c>
      <c r="H351" s="135">
        <f>INDEX(Daten!$P$7:$P$429,MATCH('2'!B351,Daten!$A$7:$A$429,0))</f>
        <v>4446566.28</v>
      </c>
      <c r="I351" s="135">
        <f>INDEX(Daten!$L$7:$L$429,MATCH('2'!B351,Daten!$A$7:$A$429,0))</f>
        <v>1552388.1400000004</v>
      </c>
      <c r="J351" s="135">
        <f>INDEX(Daten!$K$7:$K$429,MATCH('2'!B351,Daten!$A$7:$A$429,0))</f>
        <v>4227399.3099999987</v>
      </c>
      <c r="K351" s="135">
        <f>INDEX(Daten!$O$7:$O$429,MATCH('2'!B351,Daten!$A$7:$A$429,0))</f>
        <v>134952.81</v>
      </c>
      <c r="L351" s="151">
        <f>INDEX(Daten!$Q$7:$Q$429,MATCH('2'!B351,Daten!$A$7:$A$429,0))</f>
        <v>348692.97</v>
      </c>
    </row>
    <row r="352" spans="1:12" ht="15" customHeight="1">
      <c r="A352" s="172" t="str">
        <f>Daten!C345</f>
        <v>JC Fürth, Stadt</v>
      </c>
      <c r="B352" s="214" t="str">
        <f>Daten!A345</f>
        <v>72902</v>
      </c>
      <c r="C352" s="172" t="str">
        <f>Daten!F345</f>
        <v>09</v>
      </c>
      <c r="D352" s="145" t="str">
        <f>Daten!E345</f>
        <v>IId</v>
      </c>
      <c r="E352" s="282">
        <f>INDEX(Daten!$R$7:$R$429,MATCH('2'!B352,Daten!$A$7:$A$429,0))</f>
        <v>83607296.00999999</v>
      </c>
      <c r="F352" s="175">
        <f>INDEX(Daten!$M$7:$M$429,MATCH('2'!B352,Daten!$A$7:$A$429,0))</f>
        <v>33293495.549999997</v>
      </c>
      <c r="G352" s="135">
        <f>INDEX(Daten!$N$7:$N$429,MATCH('2'!B352,Daten!$A$7:$A$429,0))</f>
        <v>24185344.159999996</v>
      </c>
      <c r="H352" s="135">
        <f>INDEX(Daten!$P$7:$P$429,MATCH('2'!B352,Daten!$A$7:$A$429,0))</f>
        <v>10855210.039999999</v>
      </c>
      <c r="I352" s="135">
        <f>INDEX(Daten!$L$7:$L$429,MATCH('2'!B352,Daten!$A$7:$A$429,0))</f>
        <v>4257018.01</v>
      </c>
      <c r="J352" s="135">
        <f>INDEX(Daten!$K$7:$K$429,MATCH('2'!B352,Daten!$A$7:$A$429,0))</f>
        <v>10833212.559999999</v>
      </c>
      <c r="K352" s="135">
        <f>INDEX(Daten!$O$7:$O$429,MATCH('2'!B352,Daten!$A$7:$A$429,0))</f>
        <v>183015.69</v>
      </c>
      <c r="L352" s="151">
        <f>INDEX(Daten!$Q$7:$Q$429,MATCH('2'!B352,Daten!$A$7:$A$429,0))</f>
        <v>1266187.92</v>
      </c>
    </row>
    <row r="353" spans="1:12" ht="15" customHeight="1">
      <c r="A353" s="172" t="str">
        <f>Daten!C346</f>
        <v>JC Fürth, Land</v>
      </c>
      <c r="B353" s="214" t="str">
        <f>Daten!A346</f>
        <v>72904</v>
      </c>
      <c r="C353" s="172" t="str">
        <f>Daten!F346</f>
        <v>09</v>
      </c>
      <c r="D353" s="145" t="str">
        <f>Daten!E346</f>
        <v>Ib</v>
      </c>
      <c r="E353" s="282">
        <f>INDEX(Daten!$R$7:$R$429,MATCH('2'!B353,Daten!$A$7:$A$429,0))</f>
        <v>26933620.989999998</v>
      </c>
      <c r="F353" s="175">
        <f>INDEX(Daten!$M$7:$M$429,MATCH('2'!B353,Daten!$A$7:$A$429,0))</f>
        <v>10285629.09</v>
      </c>
      <c r="G353" s="135">
        <f>INDEX(Daten!$N$7:$N$429,MATCH('2'!B353,Daten!$A$7:$A$429,0))</f>
        <v>7987832.0300000003</v>
      </c>
      <c r="H353" s="135">
        <f>INDEX(Daten!$P$7:$P$429,MATCH('2'!B353,Daten!$A$7:$A$429,0))</f>
        <v>3423682.8599999994</v>
      </c>
      <c r="I353" s="135">
        <f>INDEX(Daten!$L$7:$L$429,MATCH('2'!B353,Daten!$A$7:$A$429,0))</f>
        <v>1760033.09</v>
      </c>
      <c r="J353" s="135">
        <f>INDEX(Daten!$K$7:$K$429,MATCH('2'!B353,Daten!$A$7:$A$429,0))</f>
        <v>3435006.4</v>
      </c>
      <c r="K353" s="135">
        <f>INDEX(Daten!$O$7:$O$429,MATCH('2'!B353,Daten!$A$7:$A$429,0))</f>
        <v>41437.519999999997</v>
      </c>
      <c r="L353" s="151">
        <f>INDEX(Daten!$Q$7:$Q$429,MATCH('2'!B353,Daten!$A$7:$A$429,0))</f>
        <v>300276.88</v>
      </c>
    </row>
    <row r="354" spans="1:12" ht="15" customHeight="1">
      <c r="A354" s="172" t="str">
        <f>Daten!C347</f>
        <v>JC Erlangen, Stadt</v>
      </c>
      <c r="B354" s="214" t="str">
        <f>Daten!A347</f>
        <v>72906</v>
      </c>
      <c r="C354" s="172" t="str">
        <f>Daten!F347</f>
        <v>09</v>
      </c>
      <c r="D354" s="145" t="str">
        <f>Daten!E347</f>
        <v>Id</v>
      </c>
      <c r="E354" s="282">
        <f>INDEX(Daten!$R$7:$R$429,MATCH('2'!B354,Daten!$A$7:$A$429,0))</f>
        <v>49684019</v>
      </c>
      <c r="F354" s="175">
        <f>INDEX(Daten!$M$7:$M$429,MATCH('2'!B354,Daten!$A$7:$A$429,0))</f>
        <v>19175634</v>
      </c>
      <c r="G354" s="135">
        <f>INDEX(Daten!$N$7:$N$429,MATCH('2'!B354,Daten!$A$7:$A$429,0))</f>
        <v>14579201</v>
      </c>
      <c r="H354" s="135">
        <f>INDEX(Daten!$P$7:$P$429,MATCH('2'!B354,Daten!$A$7:$A$429,0))</f>
        <v>6221937</v>
      </c>
      <c r="I354" s="135">
        <f>INDEX(Daten!$L$7:$L$429,MATCH('2'!B354,Daten!$A$7:$A$429,0))</f>
        <v>2284195</v>
      </c>
      <c r="J354" s="135">
        <f>INDEX(Daten!$K$7:$K$429,MATCH('2'!B354,Daten!$A$7:$A$429,0))</f>
        <v>7105148</v>
      </c>
      <c r="K354" s="135">
        <f>INDEX(Daten!$O$7:$O$429,MATCH('2'!B354,Daten!$A$7:$A$429,0))</f>
        <v>317904</v>
      </c>
      <c r="L354" s="151">
        <f>INDEX(Daten!$Q$7:$Q$429,MATCH('2'!B354,Daten!$A$7:$A$429,0))</f>
        <v>1697080</v>
      </c>
    </row>
    <row r="355" spans="1:12" ht="15" customHeight="1">
      <c r="A355" s="172" t="str">
        <f>Daten!C348</f>
        <v>JC Erlangen-Höchstadt</v>
      </c>
      <c r="B355" s="214" t="str">
        <f>Daten!A348</f>
        <v>72908</v>
      </c>
      <c r="C355" s="172" t="str">
        <f>Daten!F348</f>
        <v>09</v>
      </c>
      <c r="D355" s="145" t="str">
        <f>Daten!E348</f>
        <v>Ib</v>
      </c>
      <c r="E355" s="282">
        <f>INDEX(Daten!$R$7:$R$429,MATCH('2'!B355,Daten!$A$7:$A$429,0))</f>
        <v>28456804.119999997</v>
      </c>
      <c r="F355" s="175">
        <f>INDEX(Daten!$M$7:$M$429,MATCH('2'!B355,Daten!$A$7:$A$429,0))</f>
        <v>11706592.460000001</v>
      </c>
      <c r="G355" s="135">
        <f>INDEX(Daten!$N$7:$N$429,MATCH('2'!B355,Daten!$A$7:$A$429,0))</f>
        <v>7990884.8799999999</v>
      </c>
      <c r="H355" s="135">
        <f>INDEX(Daten!$P$7:$P$429,MATCH('2'!B355,Daten!$A$7:$A$429,0))</f>
        <v>3983989.4700000007</v>
      </c>
      <c r="I355" s="135">
        <f>INDEX(Daten!$L$7:$L$429,MATCH('2'!B355,Daten!$A$7:$A$429,0))</f>
        <v>1205878.8900000001</v>
      </c>
      <c r="J355" s="135">
        <f>INDEX(Daten!$K$7:$K$429,MATCH('2'!B355,Daten!$A$7:$A$429,0))</f>
        <v>3527033.8400000003</v>
      </c>
      <c r="K355" s="135">
        <f>INDEX(Daten!$O$7:$O$429,MATCH('2'!B355,Daten!$A$7:$A$429,0))</f>
        <v>42424.58</v>
      </c>
      <c r="L355" s="151">
        <f>INDEX(Daten!$Q$7:$Q$429,MATCH('2'!B355,Daten!$A$7:$A$429,0))</f>
        <v>365736.63</v>
      </c>
    </row>
    <row r="356" spans="1:12" ht="15" customHeight="1">
      <c r="A356" s="172" t="str">
        <f>Daten!C349</f>
        <v>JC Neustadt adAisch-Bad Windsheim</v>
      </c>
      <c r="B356" s="214" t="str">
        <f>Daten!A349</f>
        <v>72910</v>
      </c>
      <c r="C356" s="172" t="str">
        <f>Daten!F349</f>
        <v>09</v>
      </c>
      <c r="D356" s="145" t="str">
        <f>Daten!E349</f>
        <v>Ib</v>
      </c>
      <c r="E356" s="282">
        <f>INDEX(Daten!$R$7:$R$429,MATCH('2'!B356,Daten!$A$7:$A$429,0))</f>
        <v>23838071.43</v>
      </c>
      <c r="F356" s="175">
        <f>INDEX(Daten!$M$7:$M$429,MATCH('2'!B356,Daten!$A$7:$A$429,0))</f>
        <v>9634138.9799999986</v>
      </c>
      <c r="G356" s="135">
        <f>INDEX(Daten!$N$7:$N$429,MATCH('2'!B356,Daten!$A$7:$A$429,0))</f>
        <v>6424110.8099999996</v>
      </c>
      <c r="H356" s="135">
        <f>INDEX(Daten!$P$7:$P$429,MATCH('2'!B356,Daten!$A$7:$A$429,0))</f>
        <v>3327270.59</v>
      </c>
      <c r="I356" s="135">
        <f>INDEX(Daten!$L$7:$L$429,MATCH('2'!B356,Daten!$A$7:$A$429,0))</f>
        <v>1209284.06</v>
      </c>
      <c r="J356" s="135">
        <f>INDEX(Daten!$K$7:$K$429,MATCH('2'!B356,Daten!$A$7:$A$429,0))</f>
        <v>3096655.58</v>
      </c>
      <c r="K356" s="135">
        <f>INDEX(Daten!$O$7:$O$429,MATCH('2'!B356,Daten!$A$7:$A$429,0))</f>
        <v>146611.40999999997</v>
      </c>
      <c r="L356" s="151">
        <f>INDEX(Daten!$Q$7:$Q$429,MATCH('2'!B356,Daten!$A$7:$A$429,0))</f>
        <v>245788.75</v>
      </c>
    </row>
    <row r="357" spans="1:12" ht="15" customHeight="1">
      <c r="A357" s="172" t="str">
        <f>Daten!C350</f>
        <v>JC Nürnberg, Stadt</v>
      </c>
      <c r="B357" s="214" t="str">
        <f>Daten!A350</f>
        <v>73514</v>
      </c>
      <c r="C357" s="172" t="str">
        <f>Daten!F350</f>
        <v>09</v>
      </c>
      <c r="D357" s="145" t="str">
        <f>Daten!E350</f>
        <v>IIb</v>
      </c>
      <c r="E357" s="282">
        <f>INDEX(Daten!$R$7:$R$429,MATCH('2'!B357,Daten!$A$7:$A$429,0))</f>
        <v>452439397.57000005</v>
      </c>
      <c r="F357" s="175">
        <f>INDEX(Daten!$M$7:$M$429,MATCH('2'!B357,Daten!$A$7:$A$429,0))</f>
        <v>173193602.84</v>
      </c>
      <c r="G357" s="135">
        <f>INDEX(Daten!$N$7:$N$429,MATCH('2'!B357,Daten!$A$7:$A$429,0))</f>
        <v>140374124.78000003</v>
      </c>
      <c r="H357" s="135">
        <f>INDEX(Daten!$P$7:$P$429,MATCH('2'!B357,Daten!$A$7:$A$429,0))</f>
        <v>57190750.439999998</v>
      </c>
      <c r="I357" s="135">
        <f>INDEX(Daten!$L$7:$L$429,MATCH('2'!B357,Daten!$A$7:$A$429,0))</f>
        <v>29470141.560000002</v>
      </c>
      <c r="J357" s="135">
        <f>INDEX(Daten!$K$7:$K$429,MATCH('2'!B357,Daten!$A$7:$A$429,0))</f>
        <v>49549593.870000005</v>
      </c>
      <c r="K357" s="135">
        <f>INDEX(Daten!$O$7:$O$429,MATCH('2'!B357,Daten!$A$7:$A$429,0))</f>
        <v>2661184.08</v>
      </c>
      <c r="L357" s="151">
        <f>INDEX(Daten!$Q$7:$Q$429,MATCH('2'!B357,Daten!$A$7:$A$429,0))</f>
        <v>6427090.96</v>
      </c>
    </row>
    <row r="358" spans="1:12" ht="15" customHeight="1">
      <c r="A358" s="172" t="str">
        <f>Daten!C351</f>
        <v>JC Nürnberger Land</v>
      </c>
      <c r="B358" s="214" t="str">
        <f>Daten!A351</f>
        <v>73522</v>
      </c>
      <c r="C358" s="172" t="str">
        <f>Daten!F351</f>
        <v>09</v>
      </c>
      <c r="D358" s="145" t="str">
        <f>Daten!E351</f>
        <v>Ib</v>
      </c>
      <c r="E358" s="282">
        <f>INDEX(Daten!$R$7:$R$429,MATCH('2'!B358,Daten!$A$7:$A$429,0))</f>
        <v>40128952.18</v>
      </c>
      <c r="F358" s="175">
        <f>INDEX(Daten!$M$7:$M$429,MATCH('2'!B358,Daten!$A$7:$A$429,0))</f>
        <v>16131031.029999999</v>
      </c>
      <c r="G358" s="135">
        <f>INDEX(Daten!$N$7:$N$429,MATCH('2'!B358,Daten!$A$7:$A$429,0))</f>
        <v>11333487.490000002</v>
      </c>
      <c r="H358" s="135">
        <f>INDEX(Daten!$P$7:$P$429,MATCH('2'!B358,Daten!$A$7:$A$429,0))</f>
        <v>5644785.6100000003</v>
      </c>
      <c r="I358" s="135">
        <f>INDEX(Daten!$L$7:$L$429,MATCH('2'!B358,Daten!$A$7:$A$429,0))</f>
        <v>1876195.2099999997</v>
      </c>
      <c r="J358" s="135">
        <f>INDEX(Daten!$K$7:$K$429,MATCH('2'!B358,Daten!$A$7:$A$429,0))</f>
        <v>5061891.2200000007</v>
      </c>
      <c r="K358" s="135">
        <f>INDEX(Daten!$O$7:$O$429,MATCH('2'!B358,Daten!$A$7:$A$429,0))</f>
        <v>81561.62000000001</v>
      </c>
      <c r="L358" s="151">
        <f>INDEX(Daten!$Q$7:$Q$429,MATCH('2'!B358,Daten!$A$7:$A$429,0))</f>
        <v>513806.1</v>
      </c>
    </row>
    <row r="359" spans="1:12" ht="15" customHeight="1">
      <c r="A359" s="172" t="str">
        <f>Daten!C352</f>
        <v>JC Schwabach, Stadt</v>
      </c>
      <c r="B359" s="214" t="str">
        <f>Daten!A352</f>
        <v>73524</v>
      </c>
      <c r="C359" s="172" t="str">
        <f>Daten!F352</f>
        <v>09</v>
      </c>
      <c r="D359" s="145" t="str">
        <f>Daten!E352</f>
        <v>Id</v>
      </c>
      <c r="E359" s="282">
        <f>INDEX(Daten!$R$7:$R$429,MATCH('2'!B359,Daten!$A$7:$A$429,0))</f>
        <v>17699639.890000004</v>
      </c>
      <c r="F359" s="175">
        <f>INDEX(Daten!$M$7:$M$429,MATCH('2'!B359,Daten!$A$7:$A$429,0))</f>
        <v>6890229.4100000011</v>
      </c>
      <c r="G359" s="135">
        <f>INDEX(Daten!$N$7:$N$429,MATCH('2'!B359,Daten!$A$7:$A$429,0))</f>
        <v>5199009.9900000012</v>
      </c>
      <c r="H359" s="135">
        <f>INDEX(Daten!$P$7:$P$429,MATCH('2'!B359,Daten!$A$7:$A$429,0))</f>
        <v>2372473.4700000002</v>
      </c>
      <c r="I359" s="135">
        <f>INDEX(Daten!$L$7:$L$429,MATCH('2'!B359,Daten!$A$7:$A$429,0))</f>
        <v>1083519.2499999998</v>
      </c>
      <c r="J359" s="135">
        <f>INDEX(Daten!$K$7:$K$429,MATCH('2'!B359,Daten!$A$7:$A$429,0))</f>
        <v>2110100.42</v>
      </c>
      <c r="K359" s="135">
        <f>INDEX(Daten!$O$7:$O$429,MATCH('2'!B359,Daten!$A$7:$A$429,0))</f>
        <v>44307.350000000006</v>
      </c>
      <c r="L359" s="151">
        <f>INDEX(Daten!$Q$7:$Q$429,MATCH('2'!B359,Daten!$A$7:$A$429,0))</f>
        <v>177211.36</v>
      </c>
    </row>
    <row r="360" spans="1:12" ht="15" customHeight="1">
      <c r="A360" s="172" t="str">
        <f>Daten!C353</f>
        <v>JC Neumarkt idOPf</v>
      </c>
      <c r="B360" s="214" t="str">
        <f>Daten!A353</f>
        <v>73902</v>
      </c>
      <c r="C360" s="172" t="str">
        <f>Daten!F353</f>
        <v>09</v>
      </c>
      <c r="D360" s="145" t="str">
        <f>Daten!E353</f>
        <v>Ic</v>
      </c>
      <c r="E360" s="282">
        <f>INDEX(Daten!$R$7:$R$429,MATCH('2'!B360,Daten!$A$7:$A$429,0))</f>
        <v>25804417.450000003</v>
      </c>
      <c r="F360" s="175">
        <f>INDEX(Daten!$M$7:$M$429,MATCH('2'!B360,Daten!$A$7:$A$429,0))</f>
        <v>11444912.370000003</v>
      </c>
      <c r="G360" s="135">
        <f>INDEX(Daten!$N$7:$N$429,MATCH('2'!B360,Daten!$A$7:$A$429,0))</f>
        <v>6466795.1400000006</v>
      </c>
      <c r="H360" s="135">
        <f>INDEX(Daten!$P$7:$P$429,MATCH('2'!B360,Daten!$A$7:$A$429,0))</f>
        <v>3553404.38</v>
      </c>
      <c r="I360" s="135">
        <f>INDEX(Daten!$L$7:$L$429,MATCH('2'!B360,Daten!$A$7:$A$429,0))</f>
        <v>1125846.43</v>
      </c>
      <c r="J360" s="135">
        <f>INDEX(Daten!$K$7:$K$429,MATCH('2'!B360,Daten!$A$7:$A$429,0))</f>
        <v>3132970.8200000003</v>
      </c>
      <c r="K360" s="135">
        <f>INDEX(Daten!$O$7:$O$429,MATCH('2'!B360,Daten!$A$7:$A$429,0))</f>
        <v>80488.31</v>
      </c>
      <c r="L360" s="151">
        <f>INDEX(Daten!$Q$7:$Q$429,MATCH('2'!B360,Daten!$A$7:$A$429,0))</f>
        <v>268996.69</v>
      </c>
    </row>
    <row r="361" spans="1:12" ht="15" customHeight="1">
      <c r="A361" s="172" t="str">
        <f>Daten!C354</f>
        <v>JC Regensburg, Stadt</v>
      </c>
      <c r="B361" s="214" t="str">
        <f>Daten!A354</f>
        <v>73904</v>
      </c>
      <c r="C361" s="172" t="str">
        <f>Daten!F354</f>
        <v>09</v>
      </c>
      <c r="D361" s="145" t="str">
        <f>Daten!E354</f>
        <v>IIb</v>
      </c>
      <c r="E361" s="282">
        <f>INDEX(Daten!$R$7:$R$429,MATCH('2'!B361,Daten!$A$7:$A$429,0))</f>
        <v>83504864.74000001</v>
      </c>
      <c r="F361" s="175">
        <f>INDEX(Daten!$M$7:$M$429,MATCH('2'!B361,Daten!$A$7:$A$429,0))</f>
        <v>30993237.649999995</v>
      </c>
      <c r="G361" s="135">
        <f>INDEX(Daten!$N$7:$N$429,MATCH('2'!B361,Daten!$A$7:$A$429,0))</f>
        <v>26891349.360000003</v>
      </c>
      <c r="H361" s="135">
        <f>INDEX(Daten!$P$7:$P$429,MATCH('2'!B361,Daten!$A$7:$A$429,0))</f>
        <v>10381178.480000002</v>
      </c>
      <c r="I361" s="135">
        <f>INDEX(Daten!$L$7:$L$429,MATCH('2'!B361,Daten!$A$7:$A$429,0))</f>
        <v>5090390.21</v>
      </c>
      <c r="J361" s="135">
        <f>INDEX(Daten!$K$7:$K$429,MATCH('2'!B361,Daten!$A$7:$A$429,0))</f>
        <v>9519885.3399999999</v>
      </c>
      <c r="K361" s="135">
        <f>INDEX(Daten!$O$7:$O$429,MATCH('2'!B361,Daten!$A$7:$A$429,0))</f>
        <v>628823.69999999995</v>
      </c>
      <c r="L361" s="151">
        <f>INDEX(Daten!$Q$7:$Q$429,MATCH('2'!B361,Daten!$A$7:$A$429,0))</f>
        <v>1245290.27</v>
      </c>
    </row>
    <row r="362" spans="1:12" ht="15" customHeight="1">
      <c r="A362" s="172" t="str">
        <f>Daten!C355</f>
        <v>JC Regensburg</v>
      </c>
      <c r="B362" s="214" t="str">
        <f>Daten!A355</f>
        <v>73906</v>
      </c>
      <c r="C362" s="172" t="str">
        <f>Daten!F355</f>
        <v>09</v>
      </c>
      <c r="D362" s="145" t="str">
        <f>Daten!E355</f>
        <v>Ib</v>
      </c>
      <c r="E362" s="282">
        <f>INDEX(Daten!$R$7:$R$429,MATCH('2'!B362,Daten!$A$7:$A$429,0))</f>
        <v>48570843.410000004</v>
      </c>
      <c r="F362" s="175">
        <f>INDEX(Daten!$M$7:$M$429,MATCH('2'!B362,Daten!$A$7:$A$429,0))</f>
        <v>20253343.790000003</v>
      </c>
      <c r="G362" s="135">
        <f>INDEX(Daten!$N$7:$N$429,MATCH('2'!B362,Daten!$A$7:$A$429,0))</f>
        <v>14000431.169999998</v>
      </c>
      <c r="H362" s="135">
        <f>INDEX(Daten!$P$7:$P$429,MATCH('2'!B362,Daten!$A$7:$A$429,0))</f>
        <v>6702877.5699999994</v>
      </c>
      <c r="I362" s="135">
        <f>INDEX(Daten!$L$7:$L$429,MATCH('2'!B362,Daten!$A$7:$A$429,0))</f>
        <v>2531265.2900000005</v>
      </c>
      <c r="J362" s="135">
        <f>INDEX(Daten!$K$7:$K$429,MATCH('2'!B362,Daten!$A$7:$A$429,0))</f>
        <v>4822943.5399999991</v>
      </c>
      <c r="K362" s="135">
        <f>INDEX(Daten!$O$7:$O$429,MATCH('2'!B362,Daten!$A$7:$A$429,0))</f>
        <v>259982.05000000002</v>
      </c>
      <c r="L362" s="151">
        <f>INDEX(Daten!$Q$7:$Q$429,MATCH('2'!B362,Daten!$A$7:$A$429,0))</f>
        <v>660836.32999999996</v>
      </c>
    </row>
    <row r="363" spans="1:12" ht="15" customHeight="1">
      <c r="A363" s="172" t="str">
        <f>Daten!C356</f>
        <v>JC Kelheim</v>
      </c>
      <c r="B363" s="214" t="str">
        <f>Daten!A356</f>
        <v>73908</v>
      </c>
      <c r="C363" s="172" t="str">
        <f>Daten!F356</f>
        <v>09</v>
      </c>
      <c r="D363" s="145" t="str">
        <f>Daten!E356</f>
        <v>Ic</v>
      </c>
      <c r="E363" s="282">
        <f>INDEX(Daten!$R$7:$R$429,MATCH('2'!B363,Daten!$A$7:$A$429,0))</f>
        <v>25460258.170000002</v>
      </c>
      <c r="F363" s="175">
        <f>INDEX(Daten!$M$7:$M$429,MATCH('2'!B363,Daten!$A$7:$A$429,0))</f>
        <v>11301156.069999997</v>
      </c>
      <c r="G363" s="135">
        <f>INDEX(Daten!$N$7:$N$429,MATCH('2'!B363,Daten!$A$7:$A$429,0))</f>
        <v>6103364.9900000012</v>
      </c>
      <c r="H363" s="135">
        <f>INDEX(Daten!$P$7:$P$429,MATCH('2'!B363,Daten!$A$7:$A$429,0))</f>
        <v>3596129.35</v>
      </c>
      <c r="I363" s="135">
        <f>INDEX(Daten!$L$7:$L$429,MATCH('2'!B363,Daten!$A$7:$A$429,0))</f>
        <v>1456052.1299999997</v>
      </c>
      <c r="J363" s="135">
        <f>INDEX(Daten!$K$7:$K$429,MATCH('2'!B363,Daten!$A$7:$A$429,0))</f>
        <v>2928046.2800000003</v>
      </c>
      <c r="K363" s="135">
        <f>INDEX(Daten!$O$7:$O$429,MATCH('2'!B363,Daten!$A$7:$A$429,0))</f>
        <v>75509.350000000006</v>
      </c>
      <c r="L363" s="151">
        <f>INDEX(Daten!$Q$7:$Q$429,MATCH('2'!B363,Daten!$A$7:$A$429,0))</f>
        <v>259108.41999999998</v>
      </c>
    </row>
    <row r="364" spans="1:12" ht="15" customHeight="1">
      <c r="A364" s="172" t="str">
        <f>Daten!C357</f>
        <v>JC Amberg-Sulzbach</v>
      </c>
      <c r="B364" s="214" t="str">
        <f>Daten!A357</f>
        <v>74302</v>
      </c>
      <c r="C364" s="172" t="str">
        <f>Daten!F357</f>
        <v>09</v>
      </c>
      <c r="D364" s="145" t="str">
        <f>Daten!E357</f>
        <v>Ic</v>
      </c>
      <c r="E364" s="282">
        <f>INDEX(Daten!$R$7:$R$429,MATCH('2'!B364,Daten!$A$7:$A$429,0))</f>
        <v>45857024.619999982</v>
      </c>
      <c r="F364" s="175">
        <f>INDEX(Daten!$M$7:$M$429,MATCH('2'!B364,Daten!$A$7:$A$429,0))</f>
        <v>19903766.259999994</v>
      </c>
      <c r="G364" s="135">
        <f>INDEX(Daten!$N$7:$N$429,MATCH('2'!B364,Daten!$A$7:$A$429,0))</f>
        <v>10909585.609999996</v>
      </c>
      <c r="H364" s="135">
        <f>INDEX(Daten!$P$7:$P$429,MATCH('2'!B364,Daten!$A$7:$A$429,0))</f>
        <v>6363062.0100000007</v>
      </c>
      <c r="I364" s="135">
        <f>INDEX(Daten!$L$7:$L$429,MATCH('2'!B364,Daten!$A$7:$A$429,0))</f>
        <v>1676774.58</v>
      </c>
      <c r="J364" s="135">
        <f>INDEX(Daten!$K$7:$K$429,MATCH('2'!B364,Daten!$A$7:$A$429,0))</f>
        <v>6675391.5500000007</v>
      </c>
      <c r="K364" s="135">
        <f>INDEX(Daten!$O$7:$O$429,MATCH('2'!B364,Daten!$A$7:$A$429,0))</f>
        <v>328444.61</v>
      </c>
      <c r="L364" s="151">
        <f>INDEX(Daten!$Q$7:$Q$429,MATCH('2'!B364,Daten!$A$7:$A$429,0))</f>
        <v>514178.31000000006</v>
      </c>
    </row>
    <row r="365" spans="1:12" ht="15" customHeight="1">
      <c r="A365" s="172" t="str">
        <f>Daten!C358</f>
        <v>JC Cham</v>
      </c>
      <c r="B365" s="214" t="str">
        <f>Daten!A358</f>
        <v>74306</v>
      </c>
      <c r="C365" s="172" t="str">
        <f>Daten!F358</f>
        <v>09</v>
      </c>
      <c r="D365" s="145" t="str">
        <f>Daten!E358</f>
        <v>Ic</v>
      </c>
      <c r="E365" s="282">
        <f>INDEX(Daten!$R$7:$R$429,MATCH('2'!B365,Daten!$A$7:$A$429,0))</f>
        <v>29104766.170000002</v>
      </c>
      <c r="F365" s="175">
        <f>INDEX(Daten!$M$7:$M$429,MATCH('2'!B365,Daten!$A$7:$A$429,0))</f>
        <v>12392895.900000002</v>
      </c>
      <c r="G365" s="135">
        <f>INDEX(Daten!$N$7:$N$429,MATCH('2'!B365,Daten!$A$7:$A$429,0))</f>
        <v>7129207.2100000009</v>
      </c>
      <c r="H365" s="135">
        <f>INDEX(Daten!$P$7:$P$429,MATCH('2'!B365,Daten!$A$7:$A$429,0))</f>
        <v>4072067.0700000003</v>
      </c>
      <c r="I365" s="135">
        <f>INDEX(Daten!$L$7:$L$429,MATCH('2'!B365,Daten!$A$7:$A$429,0))</f>
        <v>971205.89999999991</v>
      </c>
      <c r="J365" s="135">
        <f>INDEX(Daten!$K$7:$K$429,MATCH('2'!B365,Daten!$A$7:$A$429,0))</f>
        <v>4394256.0999999996</v>
      </c>
      <c r="K365" s="135">
        <f>INDEX(Daten!$O$7:$O$429,MATCH('2'!B365,Daten!$A$7:$A$429,0))</f>
        <v>145133.99000000002</v>
      </c>
      <c r="L365" s="151">
        <f>INDEX(Daten!$Q$7:$Q$429,MATCH('2'!B365,Daten!$A$7:$A$429,0))</f>
        <v>256294.7</v>
      </c>
    </row>
    <row r="366" spans="1:12" ht="15" customHeight="1">
      <c r="A366" s="172" t="str">
        <f>Daten!C359</f>
        <v>JC Schwandorf</v>
      </c>
      <c r="B366" s="214" t="str">
        <f>Daten!A359</f>
        <v>74308</v>
      </c>
      <c r="C366" s="172" t="str">
        <f>Daten!F359</f>
        <v>09</v>
      </c>
      <c r="D366" s="145" t="str">
        <f>Daten!E359</f>
        <v>Ic</v>
      </c>
      <c r="E366" s="282">
        <f>INDEX(Daten!$R$7:$R$429,MATCH('2'!B366,Daten!$A$7:$A$429,0))</f>
        <v>40338517.219999999</v>
      </c>
      <c r="F366" s="175">
        <f>INDEX(Daten!$M$7:$M$429,MATCH('2'!B366,Daten!$A$7:$A$429,0))</f>
        <v>17192091.329999998</v>
      </c>
      <c r="G366" s="135">
        <f>INDEX(Daten!$N$7:$N$429,MATCH('2'!B366,Daten!$A$7:$A$429,0))</f>
        <v>10615650.52</v>
      </c>
      <c r="H366" s="135">
        <f>INDEX(Daten!$P$7:$P$429,MATCH('2'!B366,Daten!$A$7:$A$429,0))</f>
        <v>5582450.2599999998</v>
      </c>
      <c r="I366" s="135">
        <f>INDEX(Daten!$L$7:$L$429,MATCH('2'!B366,Daten!$A$7:$A$429,0))</f>
        <v>1762250.6500000001</v>
      </c>
      <c r="J366" s="135">
        <f>INDEX(Daten!$K$7:$K$429,MATCH('2'!B366,Daten!$A$7:$A$429,0))</f>
        <v>4978968.9400000004</v>
      </c>
      <c r="K366" s="135">
        <f>INDEX(Daten!$O$7:$O$429,MATCH('2'!B366,Daten!$A$7:$A$429,0))</f>
        <v>207105.52</v>
      </c>
      <c r="L366" s="151">
        <f>INDEX(Daten!$Q$7:$Q$429,MATCH('2'!B366,Daten!$A$7:$A$429,0))</f>
        <v>505707.50000000006</v>
      </c>
    </row>
    <row r="367" spans="1:12" ht="15" customHeight="1">
      <c r="A367" s="172" t="str">
        <f>Daten!C360</f>
        <v>JC Bad Kissingen</v>
      </c>
      <c r="B367" s="214" t="str">
        <f>Daten!A360</f>
        <v>74702</v>
      </c>
      <c r="C367" s="172" t="str">
        <f>Daten!F360</f>
        <v>09</v>
      </c>
      <c r="D367" s="145" t="str">
        <f>Daten!E360</f>
        <v>Ie</v>
      </c>
      <c r="E367" s="282">
        <f>INDEX(Daten!$R$7:$R$429,MATCH('2'!B367,Daten!$A$7:$A$429,0))</f>
        <v>29696923.329999998</v>
      </c>
      <c r="F367" s="175">
        <f>INDEX(Daten!$M$7:$M$429,MATCH('2'!B367,Daten!$A$7:$A$429,0))</f>
        <v>12747540.539999997</v>
      </c>
      <c r="G367" s="135">
        <f>INDEX(Daten!$N$7:$N$429,MATCH('2'!B367,Daten!$A$7:$A$429,0))</f>
        <v>7642798.8800000008</v>
      </c>
      <c r="H367" s="135">
        <f>INDEX(Daten!$P$7:$P$429,MATCH('2'!B367,Daten!$A$7:$A$429,0))</f>
        <v>4095217.55</v>
      </c>
      <c r="I367" s="135">
        <f>INDEX(Daten!$L$7:$L$429,MATCH('2'!B367,Daten!$A$7:$A$429,0))</f>
        <v>1268538.2499999998</v>
      </c>
      <c r="J367" s="135">
        <f>INDEX(Daten!$K$7:$K$429,MATCH('2'!B367,Daten!$A$7:$A$429,0))</f>
        <v>3847269.4499999997</v>
      </c>
      <c r="K367" s="135">
        <f>INDEX(Daten!$O$7:$O$429,MATCH('2'!B367,Daten!$A$7:$A$429,0))</f>
        <v>95558.66</v>
      </c>
      <c r="L367" s="151">
        <f>INDEX(Daten!$Q$7:$Q$429,MATCH('2'!B367,Daten!$A$7:$A$429,0))</f>
        <v>134520.78</v>
      </c>
    </row>
    <row r="368" spans="1:12" ht="15" customHeight="1">
      <c r="A368" s="172" t="str">
        <f>Daten!C361</f>
        <v>JC Haßberge</v>
      </c>
      <c r="B368" s="214" t="str">
        <f>Daten!A361</f>
        <v>74704</v>
      </c>
      <c r="C368" s="172" t="str">
        <f>Daten!F361</f>
        <v>09</v>
      </c>
      <c r="D368" s="145" t="str">
        <f>Daten!E361</f>
        <v>Ib</v>
      </c>
      <c r="E368" s="282">
        <f>INDEX(Daten!$R$7:$R$429,MATCH('2'!B368,Daten!$A$7:$A$429,0))</f>
        <v>18086969.880000003</v>
      </c>
      <c r="F368" s="175">
        <f>INDEX(Daten!$M$7:$M$429,MATCH('2'!B368,Daten!$A$7:$A$429,0))</f>
        <v>7717307.4900000021</v>
      </c>
      <c r="G368" s="135">
        <f>INDEX(Daten!$N$7:$N$429,MATCH('2'!B368,Daten!$A$7:$A$429,0))</f>
        <v>4261408.1599999992</v>
      </c>
      <c r="H368" s="135">
        <f>INDEX(Daten!$P$7:$P$429,MATCH('2'!B368,Daten!$A$7:$A$429,0))</f>
        <v>2620336.4499999997</v>
      </c>
      <c r="I368" s="135">
        <f>INDEX(Daten!$L$7:$L$429,MATCH('2'!B368,Daten!$A$7:$A$429,0))</f>
        <v>1037769.65</v>
      </c>
      <c r="J368" s="135">
        <f>INDEX(Daten!$K$7:$K$429,MATCH('2'!B368,Daten!$A$7:$A$429,0))</f>
        <v>2398963.46</v>
      </c>
      <c r="K368" s="135">
        <f>INDEX(Daten!$O$7:$O$429,MATCH('2'!B368,Daten!$A$7:$A$429,0))</f>
        <v>51184.67</v>
      </c>
      <c r="L368" s="151">
        <f>INDEX(Daten!$Q$7:$Q$429,MATCH('2'!B368,Daten!$A$7:$A$429,0))</f>
        <v>183895.56</v>
      </c>
    </row>
    <row r="369" spans="1:12" ht="15" customHeight="1">
      <c r="A369" s="172" t="str">
        <f>Daten!C362</f>
        <v>JC Rhön-Grabfeld</v>
      </c>
      <c r="B369" s="214" t="str">
        <f>Daten!A362</f>
        <v>74706</v>
      </c>
      <c r="C369" s="172" t="str">
        <f>Daten!F362</f>
        <v>09</v>
      </c>
      <c r="D369" s="145" t="str">
        <f>Daten!E362</f>
        <v>Ie</v>
      </c>
      <c r="E369" s="282">
        <f>INDEX(Daten!$R$7:$R$429,MATCH('2'!B369,Daten!$A$7:$A$429,0))</f>
        <v>19957004.760000002</v>
      </c>
      <c r="F369" s="175">
        <f>INDEX(Daten!$M$7:$M$429,MATCH('2'!B369,Daten!$A$7:$A$429,0))</f>
        <v>8528068.2199999988</v>
      </c>
      <c r="G369" s="135">
        <f>INDEX(Daten!$N$7:$N$429,MATCH('2'!B369,Daten!$A$7:$A$429,0))</f>
        <v>4881369.45</v>
      </c>
      <c r="H369" s="135">
        <f>INDEX(Daten!$P$7:$P$429,MATCH('2'!B369,Daten!$A$7:$A$429,0))</f>
        <v>2804444.4000000008</v>
      </c>
      <c r="I369" s="135">
        <f>INDEX(Daten!$L$7:$L$429,MATCH('2'!B369,Daten!$A$7:$A$429,0))</f>
        <v>917473.08000000007</v>
      </c>
      <c r="J369" s="135">
        <f>INDEX(Daten!$K$7:$K$429,MATCH('2'!B369,Daten!$A$7:$A$429,0))</f>
        <v>2740793.42</v>
      </c>
      <c r="K369" s="135">
        <f>INDEX(Daten!$O$7:$O$429,MATCH('2'!B369,Daten!$A$7:$A$429,0))</f>
        <v>84856.19</v>
      </c>
      <c r="L369" s="151">
        <f>INDEX(Daten!$Q$7:$Q$429,MATCH('2'!B369,Daten!$A$7:$A$429,0))</f>
        <v>157609.80000000002</v>
      </c>
    </row>
    <row r="370" spans="1:12" ht="15" customHeight="1">
      <c r="A370" s="172" t="str">
        <f>Daten!C363</f>
        <v>JC Schweinfurt, Stadt</v>
      </c>
      <c r="B370" s="214" t="str">
        <f>Daten!A363</f>
        <v>74708</v>
      </c>
      <c r="C370" s="172" t="str">
        <f>Daten!F363</f>
        <v>09</v>
      </c>
      <c r="D370" s="145" t="str">
        <f>Daten!E363</f>
        <v>IIb</v>
      </c>
      <c r="E370" s="282" t="str">
        <f>INDEX(Daten!$R$7:$R$429,MATCH('2'!B370,Daten!$A$7:$A$429,0))</f>
        <v>.</v>
      </c>
      <c r="F370" s="175">
        <f>INDEX(Daten!$M$7:$M$429,MATCH('2'!B370,Daten!$A$7:$A$429,0))</f>
        <v>18716762</v>
      </c>
      <c r="G370" s="135">
        <f>INDEX(Daten!$N$7:$N$429,MATCH('2'!B370,Daten!$A$7:$A$429,0))</f>
        <v>13061903</v>
      </c>
      <c r="H370" s="135">
        <f>INDEX(Daten!$P$7:$P$429,MATCH('2'!B370,Daten!$A$7:$A$429,0))</f>
        <v>5518282</v>
      </c>
      <c r="I370" s="135">
        <f>INDEX(Daten!$L$7:$L$429,MATCH('2'!B370,Daten!$A$7:$A$429,0))</f>
        <v>1671504</v>
      </c>
      <c r="J370" s="135" t="str">
        <f>INDEX(Daten!$K$7:$K$429,MATCH('2'!B370,Daten!$A$7:$A$429,0))</f>
        <v>.</v>
      </c>
      <c r="K370" s="135">
        <f>INDEX(Daten!$O$7:$O$429,MATCH('2'!B370,Daten!$A$7:$A$429,0))</f>
        <v>305916</v>
      </c>
      <c r="L370" s="151">
        <f>INDEX(Daten!$Q$7:$Q$429,MATCH('2'!B370,Daten!$A$7:$A$429,0))</f>
        <v>879500</v>
      </c>
    </row>
    <row r="371" spans="1:12" ht="15" customHeight="1">
      <c r="A371" s="172" t="str">
        <f>Daten!C364</f>
        <v>JC Schweinfurt</v>
      </c>
      <c r="B371" s="214" t="str">
        <f>Daten!A364</f>
        <v>74710</v>
      </c>
      <c r="C371" s="172" t="str">
        <f>Daten!F364</f>
        <v>09</v>
      </c>
      <c r="D371" s="145" t="str">
        <f>Daten!E364</f>
        <v>Ib</v>
      </c>
      <c r="E371" s="282">
        <f>INDEX(Daten!$R$7:$R$429,MATCH('2'!B371,Daten!$A$7:$A$429,0))</f>
        <v>21246004.700000003</v>
      </c>
      <c r="F371" s="175">
        <f>INDEX(Daten!$M$7:$M$429,MATCH('2'!B371,Daten!$A$7:$A$429,0))</f>
        <v>8764542.4800000004</v>
      </c>
      <c r="G371" s="135">
        <f>INDEX(Daten!$N$7:$N$429,MATCH('2'!B371,Daten!$A$7:$A$429,0))</f>
        <v>5353446.4400000004</v>
      </c>
      <c r="H371" s="135">
        <f>INDEX(Daten!$P$7:$P$429,MATCH('2'!B371,Daten!$A$7:$A$429,0))</f>
        <v>2936274.49</v>
      </c>
      <c r="I371" s="135">
        <f>INDEX(Daten!$L$7:$L$429,MATCH('2'!B371,Daten!$A$7:$A$429,0))</f>
        <v>782052.65999999992</v>
      </c>
      <c r="J371" s="135">
        <f>INDEX(Daten!$K$7:$K$429,MATCH('2'!B371,Daten!$A$7:$A$429,0))</f>
        <v>3291460.1300000004</v>
      </c>
      <c r="K371" s="135">
        <f>INDEX(Daten!$O$7:$O$429,MATCH('2'!B371,Daten!$A$7:$A$429,0))</f>
        <v>118228.5</v>
      </c>
      <c r="L371" s="151">
        <f>INDEX(Daten!$Q$7:$Q$429,MATCH('2'!B371,Daten!$A$7:$A$429,0))</f>
        <v>233691.92</v>
      </c>
    </row>
    <row r="372" spans="1:12" ht="15" customHeight="1">
      <c r="A372" s="172" t="str">
        <f>Daten!C365</f>
        <v>JC Neustadt-Weiden</v>
      </c>
      <c r="B372" s="214" t="str">
        <f>Daten!A365</f>
        <v>75102</v>
      </c>
      <c r="C372" s="172" t="str">
        <f>Daten!F365</f>
        <v>09</v>
      </c>
      <c r="D372" s="145" t="str">
        <f>Daten!E365</f>
        <v>IIa</v>
      </c>
      <c r="E372" s="282">
        <f>INDEX(Daten!$R$7:$R$429,MATCH('2'!B372,Daten!$A$7:$A$429,0))</f>
        <v>49742517.489999995</v>
      </c>
      <c r="F372" s="175">
        <f>INDEX(Daten!$M$7:$M$429,MATCH('2'!B372,Daten!$A$7:$A$429,0))</f>
        <v>21151087.369999994</v>
      </c>
      <c r="G372" s="135">
        <f>INDEX(Daten!$N$7:$N$429,MATCH('2'!B372,Daten!$A$7:$A$429,0))</f>
        <v>12347988.200000001</v>
      </c>
      <c r="H372" s="135">
        <f>INDEX(Daten!$P$7:$P$429,MATCH('2'!B372,Daten!$A$7:$A$429,0))</f>
        <v>6825644.0399999991</v>
      </c>
      <c r="I372" s="135">
        <f>INDEX(Daten!$L$7:$L$429,MATCH('2'!B372,Daten!$A$7:$A$429,0))</f>
        <v>2424557.6</v>
      </c>
      <c r="J372" s="135">
        <f>INDEX(Daten!$K$7:$K$429,MATCH('2'!B372,Daten!$A$7:$A$429,0))</f>
        <v>6832084.6200000001</v>
      </c>
      <c r="K372" s="135">
        <f>INDEX(Daten!$O$7:$O$429,MATCH('2'!B372,Daten!$A$7:$A$429,0))</f>
        <v>161155.66</v>
      </c>
      <c r="L372" s="151">
        <f>INDEX(Daten!$Q$7:$Q$429,MATCH('2'!B372,Daten!$A$7:$A$429,0))</f>
        <v>759525.03</v>
      </c>
    </row>
    <row r="373" spans="1:12" ht="15" customHeight="1">
      <c r="A373" s="172" t="str">
        <f>Daten!C366</f>
        <v>JC Tirschenreuth</v>
      </c>
      <c r="B373" s="214" t="str">
        <f>Daten!A366</f>
        <v>75104</v>
      </c>
      <c r="C373" s="172" t="str">
        <f>Daten!F366</f>
        <v>09</v>
      </c>
      <c r="D373" s="145" t="str">
        <f>Daten!E366</f>
        <v>Ie</v>
      </c>
      <c r="E373" s="282">
        <f>INDEX(Daten!$R$7:$R$429,MATCH('2'!B373,Daten!$A$7:$A$429,0))</f>
        <v>19045762.239999998</v>
      </c>
      <c r="F373" s="175">
        <f>INDEX(Daten!$M$7:$M$429,MATCH('2'!B373,Daten!$A$7:$A$429,0))</f>
        <v>8259782.1399999987</v>
      </c>
      <c r="G373" s="135">
        <f>INDEX(Daten!$N$7:$N$429,MATCH('2'!B373,Daten!$A$7:$A$429,0))</f>
        <v>4240282.1100000003</v>
      </c>
      <c r="H373" s="135">
        <f>INDEX(Daten!$P$7:$P$429,MATCH('2'!B373,Daten!$A$7:$A$429,0))</f>
        <v>2701197.6</v>
      </c>
      <c r="I373" s="135">
        <f>INDEX(Daten!$L$7:$L$429,MATCH('2'!B373,Daten!$A$7:$A$429,0))</f>
        <v>1021872.6</v>
      </c>
      <c r="J373" s="135">
        <f>INDEX(Daten!$K$7:$K$429,MATCH('2'!B373,Daten!$A$7:$A$429,0))</f>
        <v>2763472.86</v>
      </c>
      <c r="K373" s="135">
        <f>INDEX(Daten!$O$7:$O$429,MATCH('2'!B373,Daten!$A$7:$A$429,0))</f>
        <v>59154.93</v>
      </c>
      <c r="L373" s="151">
        <f>INDEX(Daten!$Q$7:$Q$429,MATCH('2'!B373,Daten!$A$7:$A$429,0))</f>
        <v>266727.75</v>
      </c>
    </row>
    <row r="374" spans="1:12" ht="15" customHeight="1">
      <c r="A374" s="172" t="str">
        <f>Daten!C367</f>
        <v>JC Kitzingen</v>
      </c>
      <c r="B374" s="214" t="str">
        <f>Daten!A367</f>
        <v>75902</v>
      </c>
      <c r="C374" s="172" t="str">
        <f>Daten!F367</f>
        <v>09</v>
      </c>
      <c r="D374" s="145" t="str">
        <f>Daten!E367</f>
        <v>Ib</v>
      </c>
      <c r="E374" s="282">
        <f>INDEX(Daten!$R$7:$R$429,MATCH('2'!B374,Daten!$A$7:$A$429,0))</f>
        <v>18975695.539999999</v>
      </c>
      <c r="F374" s="175">
        <f>INDEX(Daten!$M$7:$M$429,MATCH('2'!B374,Daten!$A$7:$A$429,0))</f>
        <v>7794773.04</v>
      </c>
      <c r="G374" s="135">
        <f>INDEX(Daten!$N$7:$N$429,MATCH('2'!B374,Daten!$A$7:$A$429,0))</f>
        <v>4842650.55</v>
      </c>
      <c r="H374" s="135">
        <f>INDEX(Daten!$P$7:$P$429,MATCH('2'!B374,Daten!$A$7:$A$429,0))</f>
        <v>2744305.83</v>
      </c>
      <c r="I374" s="135">
        <f>INDEX(Daten!$L$7:$L$429,MATCH('2'!B374,Daten!$A$7:$A$429,0))</f>
        <v>614145.66999999981</v>
      </c>
      <c r="J374" s="135">
        <f>INDEX(Daten!$K$7:$K$429,MATCH('2'!B374,Daten!$A$7:$A$429,0))</f>
        <v>2931870.7</v>
      </c>
      <c r="K374" s="135">
        <f>INDEX(Daten!$O$7:$O$429,MATCH('2'!B374,Daten!$A$7:$A$429,0))</f>
        <v>47949.749999999993</v>
      </c>
      <c r="L374" s="151">
        <f>INDEX(Daten!$Q$7:$Q$429,MATCH('2'!B374,Daten!$A$7:$A$429,0))</f>
        <v>205994.27</v>
      </c>
    </row>
    <row r="375" spans="1:12" ht="15" customHeight="1">
      <c r="A375" s="172" t="str">
        <f>Daten!C368</f>
        <v>JC Würzburg, Stadt</v>
      </c>
      <c r="B375" s="214" t="str">
        <f>Daten!A368</f>
        <v>75906</v>
      </c>
      <c r="C375" s="172" t="str">
        <f>Daten!F368</f>
        <v>09</v>
      </c>
      <c r="D375" s="145" t="str">
        <f>Daten!E368</f>
        <v>IIb</v>
      </c>
      <c r="E375" s="282">
        <f>INDEX(Daten!$R$7:$R$429,MATCH('2'!B375,Daten!$A$7:$A$429,0))</f>
        <v>59793785.909999989</v>
      </c>
      <c r="F375" s="175">
        <f>INDEX(Daten!$M$7:$M$429,MATCH('2'!B375,Daten!$A$7:$A$429,0))</f>
        <v>22454263.569999997</v>
      </c>
      <c r="G375" s="135">
        <f>INDEX(Daten!$N$7:$N$429,MATCH('2'!B375,Daten!$A$7:$A$429,0))</f>
        <v>18000669.059999995</v>
      </c>
      <c r="H375" s="135">
        <f>INDEX(Daten!$P$7:$P$429,MATCH('2'!B375,Daten!$A$7:$A$429,0))</f>
        <v>7741556.2200000016</v>
      </c>
      <c r="I375" s="135">
        <f>INDEX(Daten!$L$7:$L$429,MATCH('2'!B375,Daten!$A$7:$A$429,0))</f>
        <v>2302507.5099999998</v>
      </c>
      <c r="J375" s="135">
        <f>INDEX(Daten!$K$7:$K$429,MATCH('2'!B375,Daten!$A$7:$A$429,0))</f>
        <v>8998844.4900000002</v>
      </c>
      <c r="K375" s="135">
        <f>INDEX(Daten!$O$7:$O$429,MATCH('2'!B375,Daten!$A$7:$A$429,0))</f>
        <v>295945.06</v>
      </c>
      <c r="L375" s="151">
        <f>INDEX(Daten!$Q$7:$Q$429,MATCH('2'!B375,Daten!$A$7:$A$429,0))</f>
        <v>796501.63</v>
      </c>
    </row>
    <row r="376" spans="1:12" ht="15" customHeight="1">
      <c r="A376" s="172" t="str">
        <f>Daten!C369</f>
        <v>JC Würzburg</v>
      </c>
      <c r="B376" s="214" t="str">
        <f>Daten!A369</f>
        <v>75908</v>
      </c>
      <c r="C376" s="172" t="str">
        <f>Daten!F369</f>
        <v>09</v>
      </c>
      <c r="D376" s="145" t="str">
        <f>Daten!E369</f>
        <v>Ib</v>
      </c>
      <c r="E376" s="282">
        <f>INDEX(Daten!$R$7:$R$429,MATCH('2'!B376,Daten!$A$7:$A$429,0))</f>
        <v>35577498</v>
      </c>
      <c r="F376" s="175">
        <f>INDEX(Daten!$M$7:$M$429,MATCH('2'!B376,Daten!$A$7:$A$429,0))</f>
        <v>14802626</v>
      </c>
      <c r="G376" s="135">
        <f>INDEX(Daten!$N$7:$N$429,MATCH('2'!B376,Daten!$A$7:$A$429,0))</f>
        <v>9686417</v>
      </c>
      <c r="H376" s="135">
        <f>INDEX(Daten!$P$7:$P$429,MATCH('2'!B376,Daten!$A$7:$A$429,0))</f>
        <v>4902834</v>
      </c>
      <c r="I376" s="135">
        <f>INDEX(Daten!$L$7:$L$429,MATCH('2'!B376,Daten!$A$7:$A$429,0))</f>
        <v>1085279</v>
      </c>
      <c r="J376" s="135">
        <f>INDEX(Daten!$K$7:$K$429,MATCH('2'!B376,Daten!$A$7:$A$429,0))</f>
        <v>4801147</v>
      </c>
      <c r="K376" s="135">
        <f>INDEX(Daten!$O$7:$O$429,MATCH('2'!B376,Daten!$A$7:$A$429,0))</f>
        <v>299195</v>
      </c>
      <c r="L376" s="151">
        <f>INDEX(Daten!$Q$7:$Q$429,MATCH('2'!B376,Daten!$A$7:$A$429,0))</f>
        <v>445304</v>
      </c>
    </row>
    <row r="377" spans="1:12" ht="15" customHeight="1">
      <c r="A377" s="172" t="str">
        <f>Daten!C370</f>
        <v>JC Main-Spessart</v>
      </c>
      <c r="B377" s="214" t="str">
        <f>Daten!A370</f>
        <v>75910</v>
      </c>
      <c r="C377" s="172" t="str">
        <f>Daten!F370</f>
        <v>09</v>
      </c>
      <c r="D377" s="145" t="str">
        <f>Daten!E370</f>
        <v>Ib</v>
      </c>
      <c r="E377" s="282">
        <f>INDEX(Daten!$R$7:$R$429,MATCH('2'!B377,Daten!$A$7:$A$429,0))</f>
        <v>25430176.280000005</v>
      </c>
      <c r="F377" s="175">
        <f>INDEX(Daten!$M$7:$M$429,MATCH('2'!B377,Daten!$A$7:$A$429,0))</f>
        <v>10822364.900000004</v>
      </c>
      <c r="G377" s="135">
        <f>INDEX(Daten!$N$7:$N$429,MATCH('2'!B377,Daten!$A$7:$A$429,0))</f>
        <v>6328507.46</v>
      </c>
      <c r="H377" s="135">
        <f>INDEX(Daten!$P$7:$P$429,MATCH('2'!B377,Daten!$A$7:$A$429,0))</f>
        <v>3536929.7100000004</v>
      </c>
      <c r="I377" s="135">
        <f>INDEX(Daten!$L$7:$L$429,MATCH('2'!B377,Daten!$A$7:$A$429,0))</f>
        <v>1218300.5699999998</v>
      </c>
      <c r="J377" s="135">
        <f>INDEX(Daten!$K$7:$K$429,MATCH('2'!B377,Daten!$A$7:$A$429,0))</f>
        <v>3338445.3700000006</v>
      </c>
      <c r="K377" s="135">
        <f>INDEX(Daten!$O$7:$O$429,MATCH('2'!B377,Daten!$A$7:$A$429,0))</f>
        <v>185628.27000000002</v>
      </c>
      <c r="L377" s="151">
        <f>INDEX(Daten!$Q$7:$Q$429,MATCH('2'!B377,Daten!$A$7:$A$429,0))</f>
        <v>276582.34999999998</v>
      </c>
    </row>
    <row r="378" spans="1:12" ht="15" customHeight="1">
      <c r="A378" s="172" t="str">
        <f>Daten!C371</f>
        <v>JC Aichach-Friedberg</v>
      </c>
      <c r="B378" s="214" t="str">
        <f>Daten!A371</f>
        <v>81102</v>
      </c>
      <c r="C378" s="172" t="str">
        <f>Daten!F371</f>
        <v>09</v>
      </c>
      <c r="D378" s="145" t="str">
        <f>Daten!E371</f>
        <v>Ib</v>
      </c>
      <c r="E378" s="282">
        <f>INDEX(Daten!$R$7:$R$429,MATCH('2'!B378,Daten!$A$7:$A$429,0))</f>
        <v>29165947.419999998</v>
      </c>
      <c r="F378" s="175">
        <f>INDEX(Daten!$M$7:$M$429,MATCH('2'!B378,Daten!$A$7:$A$429,0))</f>
        <v>12550595.619999999</v>
      </c>
      <c r="G378" s="135">
        <f>INDEX(Daten!$N$7:$N$429,MATCH('2'!B378,Daten!$A$7:$A$429,0))</f>
        <v>7605095.629999999</v>
      </c>
      <c r="H378" s="135">
        <f>INDEX(Daten!$P$7:$P$429,MATCH('2'!B378,Daten!$A$7:$A$429,0))</f>
        <v>4033665.4299999992</v>
      </c>
      <c r="I378" s="135">
        <f>INDEX(Daten!$L$7:$L$429,MATCH('2'!B378,Daten!$A$7:$A$429,0))</f>
        <v>1725976.21</v>
      </c>
      <c r="J378" s="135">
        <f>INDEX(Daten!$K$7:$K$429,MATCH('2'!B378,Daten!$A$7:$A$429,0))</f>
        <v>3150356.69</v>
      </c>
      <c r="K378" s="135">
        <f>INDEX(Daten!$O$7:$O$429,MATCH('2'!B378,Daten!$A$7:$A$429,0))</f>
        <v>100257.84</v>
      </c>
      <c r="L378" s="151">
        <f>INDEX(Daten!$Q$7:$Q$429,MATCH('2'!B378,Daten!$A$7:$A$429,0))</f>
        <v>475702.9</v>
      </c>
    </row>
    <row r="379" spans="1:12" ht="15" customHeight="1">
      <c r="A379" s="172" t="str">
        <f>Daten!C372</f>
        <v>JC Augsburg, Stadt</v>
      </c>
      <c r="B379" s="214" t="str">
        <f>Daten!A372</f>
        <v>81104</v>
      </c>
      <c r="C379" s="172" t="str">
        <f>Daten!F372</f>
        <v>09</v>
      </c>
      <c r="D379" s="145" t="str">
        <f>Daten!E372</f>
        <v>IIb</v>
      </c>
      <c r="E379" s="282">
        <f>INDEX(Daten!$R$7:$R$429,MATCH('2'!B379,Daten!$A$7:$A$429,0))</f>
        <v>193210502.31999999</v>
      </c>
      <c r="F379" s="175">
        <f>INDEX(Daten!$M$7:$M$429,MATCH('2'!B379,Daten!$A$7:$A$429,0))</f>
        <v>72786623.62999998</v>
      </c>
      <c r="G379" s="135">
        <f>INDEX(Daten!$N$7:$N$429,MATCH('2'!B379,Daten!$A$7:$A$429,0))</f>
        <v>61053786.720000006</v>
      </c>
      <c r="H379" s="135">
        <f>INDEX(Daten!$P$7:$P$429,MATCH('2'!B379,Daten!$A$7:$A$429,0))</f>
        <v>24161134.849999994</v>
      </c>
      <c r="I379" s="135">
        <f>INDEX(Daten!$L$7:$L$429,MATCH('2'!B379,Daten!$A$7:$A$429,0))</f>
        <v>10373934.26</v>
      </c>
      <c r="J379" s="135">
        <f>INDEX(Daten!$K$7:$K$429,MATCH('2'!B379,Daten!$A$7:$A$429,0))</f>
        <v>23895690.120000005</v>
      </c>
      <c r="K379" s="135">
        <f>INDEX(Daten!$O$7:$O$429,MATCH('2'!B379,Daten!$A$7:$A$429,0))</f>
        <v>939332.74</v>
      </c>
      <c r="L379" s="151">
        <f>INDEX(Daten!$Q$7:$Q$429,MATCH('2'!B379,Daten!$A$7:$A$429,0))</f>
        <v>2487013.2800000003</v>
      </c>
    </row>
    <row r="380" spans="1:12" ht="15" customHeight="1">
      <c r="A380" s="172" t="str">
        <f>Daten!C373</f>
        <v>JC Augsburg</v>
      </c>
      <c r="B380" s="214" t="str">
        <f>Daten!A373</f>
        <v>81110</v>
      </c>
      <c r="C380" s="172" t="str">
        <f>Daten!F373</f>
        <v>09</v>
      </c>
      <c r="D380" s="145" t="str">
        <f>Daten!E373</f>
        <v>Ib</v>
      </c>
      <c r="E380" s="282">
        <f>INDEX(Daten!$R$7:$R$429,MATCH('2'!B380,Daten!$A$7:$A$429,0))</f>
        <v>70619984.13000001</v>
      </c>
      <c r="F380" s="175">
        <f>INDEX(Daten!$M$7:$M$429,MATCH('2'!B380,Daten!$A$7:$A$429,0))</f>
        <v>27973199.150000006</v>
      </c>
      <c r="G380" s="135">
        <f>INDEX(Daten!$N$7:$N$429,MATCH('2'!B380,Daten!$A$7:$A$429,0))</f>
        <v>21056573.520000003</v>
      </c>
      <c r="H380" s="135">
        <f>INDEX(Daten!$P$7:$P$429,MATCH('2'!B380,Daten!$A$7:$A$429,0))</f>
        <v>9246312.629999999</v>
      </c>
      <c r="I380" s="135">
        <f>INDEX(Daten!$L$7:$L$429,MATCH('2'!B380,Daten!$A$7:$A$429,0))</f>
        <v>4601198</v>
      </c>
      <c r="J380" s="135">
        <f>INDEX(Daten!$K$7:$K$429,MATCH('2'!B380,Daten!$A$7:$A$429,0))</f>
        <v>7365444.4299999997</v>
      </c>
      <c r="K380" s="135">
        <f>INDEX(Daten!$O$7:$O$429,MATCH('2'!B380,Daten!$A$7:$A$429,0))</f>
        <v>377256.39999999997</v>
      </c>
      <c r="L380" s="151">
        <f>INDEX(Daten!$Q$7:$Q$429,MATCH('2'!B380,Daten!$A$7:$A$429,0))</f>
        <v>1109759.57</v>
      </c>
    </row>
    <row r="381" spans="1:12" ht="15" customHeight="1">
      <c r="A381" s="172" t="str">
        <f>Daten!C374</f>
        <v>JC Deggendorf</v>
      </c>
      <c r="B381" s="214" t="str">
        <f>Daten!A374</f>
        <v>81502</v>
      </c>
      <c r="C381" s="172" t="str">
        <f>Daten!F374</f>
        <v>09</v>
      </c>
      <c r="D381" s="145" t="str">
        <f>Daten!E374</f>
        <v>Ic</v>
      </c>
      <c r="E381" s="282">
        <f>INDEX(Daten!$R$7:$R$429,MATCH('2'!B381,Daten!$A$7:$A$429,0))</f>
        <v>29815806.270000003</v>
      </c>
      <c r="F381" s="175">
        <f>INDEX(Daten!$M$7:$M$429,MATCH('2'!B381,Daten!$A$7:$A$429,0))</f>
        <v>11955185.300000001</v>
      </c>
      <c r="G381" s="135">
        <f>INDEX(Daten!$N$7:$N$429,MATCH('2'!B381,Daten!$A$7:$A$429,0))</f>
        <v>8140405.2800000003</v>
      </c>
      <c r="H381" s="135">
        <f>INDEX(Daten!$P$7:$P$429,MATCH('2'!B381,Daten!$A$7:$A$429,0))</f>
        <v>3959870.5200000005</v>
      </c>
      <c r="I381" s="135">
        <f>INDEX(Daten!$L$7:$L$429,MATCH('2'!B381,Daten!$A$7:$A$429,0))</f>
        <v>1385376.2799999998</v>
      </c>
      <c r="J381" s="135">
        <f>INDEX(Daten!$K$7:$K$429,MATCH('2'!B381,Daten!$A$7:$A$429,0))</f>
        <v>4305037.2699999996</v>
      </c>
      <c r="K381" s="135">
        <f>INDEX(Daten!$O$7:$O$429,MATCH('2'!B381,Daten!$A$7:$A$429,0))</f>
        <v>69931.62</v>
      </c>
      <c r="L381" s="151">
        <f>INDEX(Daten!$Q$7:$Q$429,MATCH('2'!B381,Daten!$A$7:$A$429,0))</f>
        <v>288974.11</v>
      </c>
    </row>
    <row r="382" spans="1:12" ht="15" customHeight="1">
      <c r="A382" s="172" t="str">
        <f>Daten!C375</f>
        <v>JC Regen</v>
      </c>
      <c r="B382" s="214" t="str">
        <f>Daten!A375</f>
        <v>81504</v>
      </c>
      <c r="C382" s="172" t="str">
        <f>Daten!F375</f>
        <v>09</v>
      </c>
      <c r="D382" s="145" t="str">
        <f>Daten!E375</f>
        <v>Ic</v>
      </c>
      <c r="E382" s="282">
        <f>INDEX(Daten!$R$7:$R$429,MATCH('2'!B382,Daten!$A$7:$A$429,0))</f>
        <v>22994054.780000001</v>
      </c>
      <c r="F382" s="175">
        <f>INDEX(Daten!$M$7:$M$429,MATCH('2'!B382,Daten!$A$7:$A$429,0))</f>
        <v>9620774.6699999999</v>
      </c>
      <c r="G382" s="135">
        <f>INDEX(Daten!$N$7:$N$429,MATCH('2'!B382,Daten!$A$7:$A$429,0))</f>
        <v>6206891.0100000007</v>
      </c>
      <c r="H382" s="135">
        <f>INDEX(Daten!$P$7:$P$429,MATCH('2'!B382,Daten!$A$7:$A$429,0))</f>
        <v>3042350.66</v>
      </c>
      <c r="I382" s="135">
        <f>INDEX(Daten!$L$7:$L$429,MATCH('2'!B382,Daten!$A$7:$A$429,0))</f>
        <v>763076.01</v>
      </c>
      <c r="J382" s="135">
        <f>INDEX(Daten!$K$7:$K$429,MATCH('2'!B382,Daten!$A$7:$A$429,0))</f>
        <v>3114896.8000000003</v>
      </c>
      <c r="K382" s="135">
        <f>INDEX(Daten!$O$7:$O$429,MATCH('2'!B382,Daten!$A$7:$A$429,0))</f>
        <v>246065.63</v>
      </c>
      <c r="L382" s="151">
        <f>INDEX(Daten!$Q$7:$Q$429,MATCH('2'!B382,Daten!$A$7:$A$429,0))</f>
        <v>265443</v>
      </c>
    </row>
    <row r="383" spans="1:12" ht="15" customHeight="1">
      <c r="A383" s="172" t="str">
        <f>Daten!C376</f>
        <v>JC Straubing-Bogen</v>
      </c>
      <c r="B383" s="214" t="str">
        <f>Daten!A376</f>
        <v>81512</v>
      </c>
      <c r="C383" s="172" t="str">
        <f>Daten!F376</f>
        <v>09</v>
      </c>
      <c r="D383" s="145" t="str">
        <f>Daten!E376</f>
        <v>Ic</v>
      </c>
      <c r="E383" s="282">
        <f>INDEX(Daten!$R$7:$R$429,MATCH('2'!B383,Daten!$A$7:$A$429,0))</f>
        <v>48267728.699999996</v>
      </c>
      <c r="F383" s="175">
        <f>INDEX(Daten!$M$7:$M$429,MATCH('2'!B383,Daten!$A$7:$A$429,0))</f>
        <v>19981457.68</v>
      </c>
      <c r="G383" s="135">
        <f>INDEX(Daten!$N$7:$N$429,MATCH('2'!B383,Daten!$A$7:$A$429,0))</f>
        <v>13100417.010000002</v>
      </c>
      <c r="H383" s="135">
        <f>INDEX(Daten!$P$7:$P$429,MATCH('2'!B383,Daten!$A$7:$A$429,0))</f>
        <v>6404047.2500000009</v>
      </c>
      <c r="I383" s="135">
        <f>INDEX(Daten!$L$7:$L$429,MATCH('2'!B383,Daten!$A$7:$A$429,0))</f>
        <v>2161180.02</v>
      </c>
      <c r="J383" s="135">
        <f>INDEX(Daten!$K$7:$K$429,MATCH('2'!B383,Daten!$A$7:$A$429,0))</f>
        <v>6329070.5599999996</v>
      </c>
      <c r="K383" s="135">
        <f>INDEX(Daten!$O$7:$O$429,MATCH('2'!B383,Daten!$A$7:$A$429,0))</f>
        <v>291556.18</v>
      </c>
      <c r="L383" s="151">
        <f>INDEX(Daten!$Q$7:$Q$429,MATCH('2'!B383,Daten!$A$7:$A$429,0))</f>
        <v>516493.97000000003</v>
      </c>
    </row>
    <row r="384" spans="1:12" ht="15" customHeight="1">
      <c r="A384" s="172" t="str">
        <f>Daten!C377</f>
        <v>JC Dillingen adDonau</v>
      </c>
      <c r="B384" s="214" t="str">
        <f>Daten!A377</f>
        <v>81904</v>
      </c>
      <c r="C384" s="172" t="str">
        <f>Daten!F377</f>
        <v>09</v>
      </c>
      <c r="D384" s="145" t="str">
        <f>Daten!E377</f>
        <v>Ic</v>
      </c>
      <c r="E384" s="282">
        <f>INDEX(Daten!$R$7:$R$429,MATCH('2'!B384,Daten!$A$7:$A$429,0))</f>
        <v>28380693.069999997</v>
      </c>
      <c r="F384" s="175">
        <f>INDEX(Daten!$M$7:$M$429,MATCH('2'!B384,Daten!$A$7:$A$429,0))</f>
        <v>12080248.469999999</v>
      </c>
      <c r="G384" s="135">
        <f>INDEX(Daten!$N$7:$N$429,MATCH('2'!B384,Daten!$A$7:$A$429,0))</f>
        <v>7713643.2699999996</v>
      </c>
      <c r="H384" s="135">
        <f>INDEX(Daten!$P$7:$P$429,MATCH('2'!B384,Daten!$A$7:$A$429,0))</f>
        <v>3951745.3800000004</v>
      </c>
      <c r="I384" s="135">
        <f>INDEX(Daten!$L$7:$L$429,MATCH('2'!B384,Daten!$A$7:$A$429,0))</f>
        <v>1318992.71</v>
      </c>
      <c r="J384" s="135">
        <f>INDEX(Daten!$K$7:$K$429,MATCH('2'!B384,Daten!$A$7:$A$429,0))</f>
        <v>3107138.1800000006</v>
      </c>
      <c r="K384" s="135">
        <f>INDEX(Daten!$O$7:$O$429,MATCH('2'!B384,Daten!$A$7:$A$429,0))</f>
        <v>208925.06</v>
      </c>
      <c r="L384" s="151">
        <f>INDEX(Daten!$Q$7:$Q$429,MATCH('2'!B384,Daten!$A$7:$A$429,0))</f>
        <v>294556.81</v>
      </c>
    </row>
    <row r="385" spans="1:12" ht="15" customHeight="1">
      <c r="A385" s="172" t="str">
        <f>Daten!C378</f>
        <v>JC Donau-Ries</v>
      </c>
      <c r="B385" s="214" t="str">
        <f>Daten!A378</f>
        <v>81906</v>
      </c>
      <c r="C385" s="172" t="str">
        <f>Daten!F378</f>
        <v>09</v>
      </c>
      <c r="D385" s="145" t="str">
        <f>Daten!E378</f>
        <v>Ic</v>
      </c>
      <c r="E385" s="282">
        <f>INDEX(Daten!$R$7:$R$429,MATCH('2'!B385,Daten!$A$7:$A$429,0))</f>
        <v>27016934.469999995</v>
      </c>
      <c r="F385" s="175">
        <f>INDEX(Daten!$M$7:$M$429,MATCH('2'!B385,Daten!$A$7:$A$429,0))</f>
        <v>12168202.019999996</v>
      </c>
      <c r="G385" s="135">
        <f>INDEX(Daten!$N$7:$N$429,MATCH('2'!B385,Daten!$A$7:$A$429,0))</f>
        <v>6518680.959999999</v>
      </c>
      <c r="H385" s="135">
        <f>INDEX(Daten!$P$7:$P$429,MATCH('2'!B385,Daten!$A$7:$A$429,0))</f>
        <v>3850557.43</v>
      </c>
      <c r="I385" s="135">
        <f>INDEX(Daten!$L$7:$L$429,MATCH('2'!B385,Daten!$A$7:$A$429,0))</f>
        <v>1422168.15</v>
      </c>
      <c r="J385" s="135">
        <f>INDEX(Daten!$K$7:$K$429,MATCH('2'!B385,Daten!$A$7:$A$429,0))</f>
        <v>2977656.1100000003</v>
      </c>
      <c r="K385" s="135">
        <f>INDEX(Daten!$O$7:$O$429,MATCH('2'!B385,Daten!$A$7:$A$429,0))</f>
        <v>79669.8</v>
      </c>
      <c r="L385" s="151">
        <f>INDEX(Daten!$Q$7:$Q$429,MATCH('2'!B385,Daten!$A$7:$A$429,0))</f>
        <v>394637.75</v>
      </c>
    </row>
    <row r="386" spans="1:12" ht="15" customHeight="1">
      <c r="A386" s="172" t="str">
        <f>Daten!C379</f>
        <v>JC Günzburg</v>
      </c>
      <c r="B386" s="214" t="str">
        <f>Daten!A379</f>
        <v>81910</v>
      </c>
      <c r="C386" s="172" t="str">
        <f>Daten!F379</f>
        <v>09</v>
      </c>
      <c r="D386" s="145" t="str">
        <f>Daten!E379</f>
        <v>Ic</v>
      </c>
      <c r="E386" s="282" t="str">
        <f>INDEX(Daten!$R$7:$R$429,MATCH('2'!B386,Daten!$A$7:$A$429,0))</f>
        <v>.</v>
      </c>
      <c r="F386" s="175">
        <f>INDEX(Daten!$M$7:$M$429,MATCH('2'!B386,Daten!$A$7:$A$429,0))</f>
        <v>11320372</v>
      </c>
      <c r="G386" s="135">
        <f>INDEX(Daten!$N$7:$N$429,MATCH('2'!B386,Daten!$A$7:$A$429,0))</f>
        <v>7179228</v>
      </c>
      <c r="H386" s="135">
        <f>INDEX(Daten!$P$7:$P$429,MATCH('2'!B386,Daten!$A$7:$A$429,0))</f>
        <v>3572270</v>
      </c>
      <c r="I386" s="135">
        <f>INDEX(Daten!$L$7:$L$429,MATCH('2'!B386,Daten!$A$7:$A$429,0))</f>
        <v>747142</v>
      </c>
      <c r="J386" s="135" t="str">
        <f>INDEX(Daten!$K$7:$K$429,MATCH('2'!B386,Daten!$A$7:$A$429,0))</f>
        <v>.</v>
      </c>
      <c r="K386" s="135">
        <f>INDEX(Daten!$O$7:$O$429,MATCH('2'!B386,Daten!$A$7:$A$429,0))</f>
        <v>108454</v>
      </c>
      <c r="L386" s="151">
        <f>INDEX(Daten!$Q$7:$Q$429,MATCH('2'!B386,Daten!$A$7:$A$429,0))</f>
        <v>293599</v>
      </c>
    </row>
    <row r="387" spans="1:12" ht="15" customHeight="1">
      <c r="A387" s="172" t="str">
        <f>Daten!C380</f>
        <v>JC Neu-Ulm</v>
      </c>
      <c r="B387" s="214" t="str">
        <f>Daten!A380</f>
        <v>81912</v>
      </c>
      <c r="C387" s="172" t="str">
        <f>Daten!F380</f>
        <v>09</v>
      </c>
      <c r="D387" s="145" t="str">
        <f>Daten!E380</f>
        <v>Id</v>
      </c>
      <c r="E387" s="282">
        <f>INDEX(Daten!$R$7:$R$429,MATCH('2'!B387,Daten!$A$7:$A$429,0))</f>
        <v>47451715.549999997</v>
      </c>
      <c r="F387" s="175">
        <f>INDEX(Daten!$M$7:$M$429,MATCH('2'!B387,Daten!$A$7:$A$429,0))</f>
        <v>20140736.419999994</v>
      </c>
      <c r="G387" s="135">
        <f>INDEX(Daten!$N$7:$N$429,MATCH('2'!B387,Daten!$A$7:$A$429,0))</f>
        <v>13052953.01</v>
      </c>
      <c r="H387" s="135">
        <f>INDEX(Daten!$P$7:$P$429,MATCH('2'!B387,Daten!$A$7:$A$429,0))</f>
        <v>6499177.129999999</v>
      </c>
      <c r="I387" s="135">
        <f>INDEX(Daten!$L$7:$L$429,MATCH('2'!B387,Daten!$A$7:$A$429,0))</f>
        <v>2481008.54</v>
      </c>
      <c r="J387" s="135">
        <f>INDEX(Daten!$K$7:$K$429,MATCH('2'!B387,Daten!$A$7:$A$429,0))</f>
        <v>5167605.709999999</v>
      </c>
      <c r="K387" s="135">
        <f>INDEX(Daten!$O$7:$O$429,MATCH('2'!B387,Daten!$A$7:$A$429,0))</f>
        <v>110234.73999999999</v>
      </c>
      <c r="L387" s="151">
        <f>INDEX(Daten!$Q$7:$Q$429,MATCH('2'!B387,Daten!$A$7:$A$429,0))</f>
        <v>2012.2</v>
      </c>
    </row>
    <row r="388" spans="1:12" ht="15" customHeight="1">
      <c r="A388" s="172" t="str">
        <f>Daten!C381</f>
        <v>JC Erding</v>
      </c>
      <c r="B388" s="214" t="str">
        <f>Daten!A381</f>
        <v>82302</v>
      </c>
      <c r="C388" s="172" t="str">
        <f>Daten!F381</f>
        <v>09</v>
      </c>
      <c r="D388" s="145" t="str">
        <f>Daten!E381</f>
        <v>Ia</v>
      </c>
      <c r="E388" s="282">
        <f>INDEX(Daten!$R$7:$R$429,MATCH('2'!B388,Daten!$A$7:$A$429,0))</f>
        <v>27977657.93</v>
      </c>
      <c r="F388" s="175">
        <f>INDEX(Daten!$M$7:$M$429,MATCH('2'!B388,Daten!$A$7:$A$429,0))</f>
        <v>10373370.640000001</v>
      </c>
      <c r="G388" s="135">
        <f>INDEX(Daten!$N$7:$N$429,MATCH('2'!B388,Daten!$A$7:$A$429,0))</f>
        <v>8734610.2499999981</v>
      </c>
      <c r="H388" s="135">
        <f>INDEX(Daten!$P$7:$P$429,MATCH('2'!B388,Daten!$A$7:$A$429,0))</f>
        <v>3737836.9400000004</v>
      </c>
      <c r="I388" s="135">
        <f>INDEX(Daten!$L$7:$L$429,MATCH('2'!B388,Daten!$A$7:$A$429,0))</f>
        <v>1593717.77</v>
      </c>
      <c r="J388" s="135">
        <f>INDEX(Daten!$K$7:$K$429,MATCH('2'!B388,Daten!$A$7:$A$429,0))</f>
        <v>3439114.42</v>
      </c>
      <c r="K388" s="135">
        <f>INDEX(Daten!$O$7:$O$429,MATCH('2'!B388,Daten!$A$7:$A$429,0))</f>
        <v>99007.909999999989</v>
      </c>
      <c r="L388" s="151">
        <f>INDEX(Daten!$Q$7:$Q$429,MATCH('2'!B388,Daten!$A$7:$A$429,0))</f>
        <v>453658.91000000003</v>
      </c>
    </row>
    <row r="389" spans="1:12" ht="15" customHeight="1">
      <c r="A389" s="172" t="str">
        <f>Daten!C382</f>
        <v>JC Freising</v>
      </c>
      <c r="B389" s="214" t="str">
        <f>Daten!A382</f>
        <v>82304</v>
      </c>
      <c r="C389" s="172" t="str">
        <f>Daten!F382</f>
        <v>09</v>
      </c>
      <c r="D389" s="145" t="str">
        <f>Daten!E382</f>
        <v>Ia</v>
      </c>
      <c r="E389" s="282">
        <f>INDEX(Daten!$R$7:$R$429,MATCH('2'!B389,Daten!$A$7:$A$429,0))</f>
        <v>45487001.189999998</v>
      </c>
      <c r="F389" s="175">
        <f>INDEX(Daten!$M$7:$M$429,MATCH('2'!B389,Daten!$A$7:$A$429,0))</f>
        <v>18776122.140000001</v>
      </c>
      <c r="G389" s="135">
        <f>INDEX(Daten!$N$7:$N$429,MATCH('2'!B389,Daten!$A$7:$A$429,0))</f>
        <v>14606306.959999999</v>
      </c>
      <c r="H389" s="135">
        <f>INDEX(Daten!$P$7:$P$429,MATCH('2'!B389,Daten!$A$7:$A$429,0))</f>
        <v>6103136.629999999</v>
      </c>
      <c r="I389" s="135">
        <f>INDEX(Daten!$L$7:$L$429,MATCH('2'!B389,Daten!$A$7:$A$429,0))</f>
        <v>1861736.3399999999</v>
      </c>
      <c r="J389" s="135">
        <f>INDEX(Daten!$K$7:$K$429,MATCH('2'!B389,Daten!$A$7:$A$429,0))</f>
        <v>4024344.28</v>
      </c>
      <c r="K389" s="135">
        <f>INDEX(Daten!$O$7:$O$429,MATCH('2'!B389,Daten!$A$7:$A$429,0))</f>
        <v>115354.84</v>
      </c>
      <c r="L389" s="151">
        <f>INDEX(Daten!$Q$7:$Q$429,MATCH('2'!B389,Daten!$A$7:$A$429,0))</f>
        <v>368379.61</v>
      </c>
    </row>
    <row r="390" spans="1:12" ht="15" customHeight="1">
      <c r="A390" s="172" t="str">
        <f>Daten!C383</f>
        <v>JC Dachau</v>
      </c>
      <c r="B390" s="214" t="str">
        <f>Daten!A383</f>
        <v>82306</v>
      </c>
      <c r="C390" s="172" t="str">
        <f>Daten!F383</f>
        <v>09</v>
      </c>
      <c r="D390" s="145" t="str">
        <f>Daten!E383</f>
        <v>Ia</v>
      </c>
      <c r="E390" s="282">
        <f>INDEX(Daten!$R$7:$R$429,MATCH('2'!B390,Daten!$A$7:$A$429,0))</f>
        <v>35267208.139999993</v>
      </c>
      <c r="F390" s="175">
        <f>INDEX(Daten!$M$7:$M$429,MATCH('2'!B390,Daten!$A$7:$A$429,0))</f>
        <v>12813176.119999999</v>
      </c>
      <c r="G390" s="135">
        <f>INDEX(Daten!$N$7:$N$429,MATCH('2'!B390,Daten!$A$7:$A$429,0))</f>
        <v>12278487.449999997</v>
      </c>
      <c r="H390" s="135">
        <f>INDEX(Daten!$P$7:$P$429,MATCH('2'!B390,Daten!$A$7:$A$429,0))</f>
        <v>4509166.709999999</v>
      </c>
      <c r="I390" s="135">
        <f>INDEX(Daten!$L$7:$L$429,MATCH('2'!B390,Daten!$A$7:$A$429,0))</f>
        <v>1752355.8599999999</v>
      </c>
      <c r="J390" s="135">
        <f>INDEX(Daten!$K$7:$K$429,MATCH('2'!B390,Daten!$A$7:$A$429,0))</f>
        <v>3717420.5500000003</v>
      </c>
      <c r="K390" s="135">
        <f>INDEX(Daten!$O$7:$O$429,MATCH('2'!B390,Daten!$A$7:$A$429,0))</f>
        <v>196601.45</v>
      </c>
      <c r="L390" s="151">
        <f>INDEX(Daten!$Q$7:$Q$429,MATCH('2'!B390,Daten!$A$7:$A$429,0))</f>
        <v>445845.27999999997</v>
      </c>
    </row>
    <row r="391" spans="1:12" ht="15" customHeight="1">
      <c r="A391" s="172" t="str">
        <f>Daten!C384</f>
        <v>JC Ebersberg</v>
      </c>
      <c r="B391" s="214" t="str">
        <f>Daten!A384</f>
        <v>82308</v>
      </c>
      <c r="C391" s="172" t="str">
        <f>Daten!F384</f>
        <v>09</v>
      </c>
      <c r="D391" s="145" t="str">
        <f>Daten!E384</f>
        <v>Ia</v>
      </c>
      <c r="E391" s="282">
        <f>INDEX(Daten!$R$7:$R$429,MATCH('2'!B391,Daten!$A$7:$A$429,0))</f>
        <v>31199433.870000001</v>
      </c>
      <c r="F391" s="175">
        <f>INDEX(Daten!$M$7:$M$429,MATCH('2'!B391,Daten!$A$7:$A$429,0))</f>
        <v>11157072.09</v>
      </c>
      <c r="G391" s="135">
        <f>INDEX(Daten!$N$7:$N$429,MATCH('2'!B391,Daten!$A$7:$A$429,0))</f>
        <v>10586675.300000001</v>
      </c>
      <c r="H391" s="135">
        <f>INDEX(Daten!$P$7:$P$429,MATCH('2'!B391,Daten!$A$7:$A$429,0))</f>
        <v>3915024.7</v>
      </c>
      <c r="I391" s="135">
        <f>INDEX(Daten!$L$7:$L$429,MATCH('2'!B391,Daten!$A$7:$A$429,0))</f>
        <v>1795088.85</v>
      </c>
      <c r="J391" s="135">
        <f>INDEX(Daten!$K$7:$K$429,MATCH('2'!B391,Daten!$A$7:$A$429,0))</f>
        <v>3657665.13</v>
      </c>
      <c r="K391" s="135">
        <f>INDEX(Daten!$O$7:$O$429,MATCH('2'!B391,Daten!$A$7:$A$429,0))</f>
        <v>87907.800000000017</v>
      </c>
      <c r="L391" s="151">
        <f>INDEX(Daten!$Q$7:$Q$429,MATCH('2'!B391,Daten!$A$7:$A$429,0))</f>
        <v>115430.73</v>
      </c>
    </row>
    <row r="392" spans="1:12" ht="15" customHeight="1">
      <c r="A392" s="172" t="str">
        <f>Daten!C385</f>
        <v>JC Eichstätt</v>
      </c>
      <c r="B392" s="214" t="str">
        <f>Daten!A385</f>
        <v>82702</v>
      </c>
      <c r="C392" s="172" t="str">
        <f>Daten!F385</f>
        <v>09</v>
      </c>
      <c r="D392" s="145" t="str">
        <f>Daten!E385</f>
        <v>Ib</v>
      </c>
      <c r="E392" s="282">
        <f>INDEX(Daten!$R$7:$R$429,MATCH('2'!B392,Daten!$A$7:$A$429,0))</f>
        <v>25822556.5</v>
      </c>
      <c r="F392" s="175">
        <f>INDEX(Daten!$M$7:$M$429,MATCH('2'!B392,Daten!$A$7:$A$429,0))</f>
        <v>11919919.570000002</v>
      </c>
      <c r="G392" s="135">
        <f>INDEX(Daten!$N$7:$N$429,MATCH('2'!B392,Daten!$A$7:$A$429,0))</f>
        <v>6246124.3399999999</v>
      </c>
      <c r="H392" s="135">
        <f>INDEX(Daten!$P$7:$P$429,MATCH('2'!B392,Daten!$A$7:$A$429,0))</f>
        <v>3616436.08</v>
      </c>
      <c r="I392" s="135">
        <f>INDEX(Daten!$L$7:$L$429,MATCH('2'!B392,Daten!$A$7:$A$429,0))</f>
        <v>1146360.1099999999</v>
      </c>
      <c r="J392" s="135">
        <f>INDEX(Daten!$K$7:$K$429,MATCH('2'!B392,Daten!$A$7:$A$429,0))</f>
        <v>2786969.81</v>
      </c>
      <c r="K392" s="135">
        <f>INDEX(Daten!$O$7:$O$429,MATCH('2'!B392,Daten!$A$7:$A$429,0))</f>
        <v>106746.59</v>
      </c>
      <c r="L392" s="151">
        <f>INDEX(Daten!$Q$7:$Q$429,MATCH('2'!B392,Daten!$A$7:$A$429,0))</f>
        <v>328731.05</v>
      </c>
    </row>
    <row r="393" spans="1:12" ht="15" customHeight="1">
      <c r="A393" s="172" t="str">
        <f>Daten!C386</f>
        <v>JC Neuburg-Schrobenhausen</v>
      </c>
      <c r="B393" s="214" t="str">
        <f>Daten!A386</f>
        <v>82706</v>
      </c>
      <c r="C393" s="172" t="str">
        <f>Daten!F386</f>
        <v>09</v>
      </c>
      <c r="D393" s="145" t="str">
        <f>Daten!E386</f>
        <v>Ic</v>
      </c>
      <c r="E393" s="282">
        <f>INDEX(Daten!$R$7:$R$429,MATCH('2'!B393,Daten!$A$7:$A$429,0))</f>
        <v>25505525.409999996</v>
      </c>
      <c r="F393" s="175">
        <f>INDEX(Daten!$M$7:$M$429,MATCH('2'!B393,Daten!$A$7:$A$429,0))</f>
        <v>10801639.17</v>
      </c>
      <c r="G393" s="135">
        <f>INDEX(Daten!$N$7:$N$429,MATCH('2'!B393,Daten!$A$7:$A$429,0))</f>
        <v>7313699.1099999994</v>
      </c>
      <c r="H393" s="135">
        <f>INDEX(Daten!$P$7:$P$429,MATCH('2'!B393,Daten!$A$7:$A$429,0))</f>
        <v>3407125.83</v>
      </c>
      <c r="I393" s="135">
        <f>INDEX(Daten!$L$7:$L$429,MATCH('2'!B393,Daten!$A$7:$A$429,0))</f>
        <v>1191538.55</v>
      </c>
      <c r="J393" s="135">
        <f>INDEX(Daten!$K$7:$K$429,MATCH('2'!B393,Daten!$A$7:$A$429,0))</f>
        <v>2637288.09</v>
      </c>
      <c r="K393" s="135">
        <f>INDEX(Daten!$O$7:$O$429,MATCH('2'!B393,Daten!$A$7:$A$429,0))</f>
        <v>154234.66</v>
      </c>
      <c r="L393" s="151">
        <f>INDEX(Daten!$Q$7:$Q$429,MATCH('2'!B393,Daten!$A$7:$A$429,0))</f>
        <v>290304.76999999996</v>
      </c>
    </row>
    <row r="394" spans="1:12" ht="15" customHeight="1">
      <c r="A394" s="172" t="str">
        <f>Daten!C387</f>
        <v>JC Pfaffenhofen a.d. Ilm</v>
      </c>
      <c r="B394" s="214" t="str">
        <f>Daten!A387</f>
        <v>82708</v>
      </c>
      <c r="C394" s="172" t="str">
        <f>Daten!F387</f>
        <v>09</v>
      </c>
      <c r="D394" s="145" t="str">
        <f>Daten!E387</f>
        <v>Ia</v>
      </c>
      <c r="E394" s="282">
        <f>INDEX(Daten!$R$7:$R$429,MATCH('2'!B394,Daten!$A$7:$A$429,0))</f>
        <v>20228415.550000001</v>
      </c>
      <c r="F394" s="175">
        <f>INDEX(Daten!$M$7:$M$429,MATCH('2'!B394,Daten!$A$7:$A$429,0))</f>
        <v>8148627.4600000009</v>
      </c>
      <c r="G394" s="135">
        <f>INDEX(Daten!$N$7:$N$429,MATCH('2'!B394,Daten!$A$7:$A$429,0))</f>
        <v>5538518.2300000004</v>
      </c>
      <c r="H394" s="135">
        <f>INDEX(Daten!$P$7:$P$429,MATCH('2'!B394,Daten!$A$7:$A$429,0))</f>
        <v>2871865.8200000003</v>
      </c>
      <c r="I394" s="135">
        <f>INDEX(Daten!$L$7:$L$429,MATCH('2'!B394,Daten!$A$7:$A$429,0))</f>
        <v>1213297.26</v>
      </c>
      <c r="J394" s="135">
        <f>INDEX(Daten!$K$7:$K$429,MATCH('2'!B394,Daten!$A$7:$A$429,0))</f>
        <v>2400879.9799999995</v>
      </c>
      <c r="K394" s="135">
        <f>INDEX(Daten!$O$7:$O$429,MATCH('2'!B394,Daten!$A$7:$A$429,0))</f>
        <v>55226.8</v>
      </c>
      <c r="L394" s="151">
        <f>INDEX(Daten!$Q$7:$Q$429,MATCH('2'!B394,Daten!$A$7:$A$429,0))</f>
        <v>167252.57</v>
      </c>
    </row>
    <row r="395" spans="1:12" ht="15" customHeight="1">
      <c r="A395" s="172" t="str">
        <f>Daten!C388</f>
        <v>JC Ingolstadt, Stadt</v>
      </c>
      <c r="B395" s="214" t="str">
        <f>Daten!A388</f>
        <v>82746</v>
      </c>
      <c r="C395" s="172" t="str">
        <f>Daten!F388</f>
        <v>09</v>
      </c>
      <c r="D395" s="145" t="str">
        <f>Daten!E388</f>
        <v>IIb</v>
      </c>
      <c r="E395" s="282">
        <f>INDEX(Daten!$R$7:$R$429,MATCH('2'!B395,Daten!$A$7:$A$429,0))</f>
        <v>70905006</v>
      </c>
      <c r="F395" s="175">
        <f>INDEX(Daten!$M$7:$M$429,MATCH('2'!B395,Daten!$A$7:$A$429,0))</f>
        <v>26309294</v>
      </c>
      <c r="G395" s="135">
        <f>INDEX(Daten!$N$7:$N$429,MATCH('2'!B395,Daten!$A$7:$A$429,0))</f>
        <v>23490169</v>
      </c>
      <c r="H395" s="135">
        <f>INDEX(Daten!$P$7:$P$429,MATCH('2'!B395,Daten!$A$7:$A$429,0))</f>
        <v>9245886</v>
      </c>
      <c r="I395" s="135">
        <f>INDEX(Daten!$L$7:$L$429,MATCH('2'!B395,Daten!$A$7:$A$429,0))</f>
        <v>3265776</v>
      </c>
      <c r="J395" s="135">
        <f>INDEX(Daten!$K$7:$K$429,MATCH('2'!B395,Daten!$A$7:$A$429,0))</f>
        <v>8249362</v>
      </c>
      <c r="K395" s="135">
        <f>INDEX(Daten!$O$7:$O$429,MATCH('2'!B395,Daten!$A$7:$A$429,0))</f>
        <v>344519</v>
      </c>
      <c r="L395" s="151">
        <f>INDEX(Daten!$Q$7:$Q$429,MATCH('2'!B395,Daten!$A$7:$A$429,0))</f>
        <v>1114753</v>
      </c>
    </row>
    <row r="396" spans="1:12" ht="15" customHeight="1">
      <c r="A396" s="172" t="str">
        <f>Daten!C389</f>
        <v>JC Kempten (Allgäu), Stadt</v>
      </c>
      <c r="B396" s="214" t="str">
        <f>Daten!A389</f>
        <v>83104</v>
      </c>
      <c r="C396" s="172" t="str">
        <f>Daten!F389</f>
        <v>09</v>
      </c>
      <c r="D396" s="145" t="str">
        <f>Daten!E389</f>
        <v>IIb</v>
      </c>
      <c r="E396" s="282">
        <f>INDEX(Daten!$R$7:$R$429,MATCH('2'!B396,Daten!$A$7:$A$429,0))</f>
        <v>23611448.249999996</v>
      </c>
      <c r="F396" s="175">
        <f>INDEX(Daten!$M$7:$M$429,MATCH('2'!B396,Daten!$A$7:$A$429,0))</f>
        <v>9239233.8399999961</v>
      </c>
      <c r="G396" s="135">
        <f>INDEX(Daten!$N$7:$N$429,MATCH('2'!B396,Daten!$A$7:$A$429,0))</f>
        <v>6512769.7400000002</v>
      </c>
      <c r="H396" s="135">
        <f>INDEX(Daten!$P$7:$P$429,MATCH('2'!B396,Daten!$A$7:$A$429,0))</f>
        <v>3101792.3900000006</v>
      </c>
      <c r="I396" s="135">
        <f>INDEX(Daten!$L$7:$L$429,MATCH('2'!B396,Daten!$A$7:$A$429,0))</f>
        <v>1408341.6300000001</v>
      </c>
      <c r="J396" s="135">
        <f>INDEX(Daten!$K$7:$K$429,MATCH('2'!B396,Daten!$A$7:$A$429,0))</f>
        <v>3269376.79</v>
      </c>
      <c r="K396" s="135">
        <f>INDEX(Daten!$O$7:$O$429,MATCH('2'!B396,Daten!$A$7:$A$429,0))</f>
        <v>79933.86</v>
      </c>
      <c r="L396" s="151">
        <f>INDEX(Daten!$Q$7:$Q$429,MATCH('2'!B396,Daten!$A$7:$A$429,0))</f>
        <v>417295.75</v>
      </c>
    </row>
    <row r="397" spans="1:12" ht="15" customHeight="1">
      <c r="A397" s="172" t="str">
        <f>Daten!C390</f>
        <v>JC Lindau (Bodensee)</v>
      </c>
      <c r="B397" s="214" t="str">
        <f>Daten!A390</f>
        <v>83106</v>
      </c>
      <c r="C397" s="172" t="str">
        <f>Daten!F390</f>
        <v>09</v>
      </c>
      <c r="D397" s="145" t="str">
        <f>Daten!E390</f>
        <v>Ia</v>
      </c>
      <c r="E397" s="282">
        <f>INDEX(Daten!$R$7:$R$429,MATCH('2'!B397,Daten!$A$7:$A$429,0))</f>
        <v>20951546.68</v>
      </c>
      <c r="F397" s="175">
        <f>INDEX(Daten!$M$7:$M$429,MATCH('2'!B397,Daten!$A$7:$A$429,0))</f>
        <v>7738108.6399999997</v>
      </c>
      <c r="G397" s="135">
        <f>INDEX(Daten!$N$7:$N$429,MATCH('2'!B397,Daten!$A$7:$A$429,0))</f>
        <v>6565552.2199999997</v>
      </c>
      <c r="H397" s="135">
        <f>INDEX(Daten!$P$7:$P$429,MATCH('2'!B397,Daten!$A$7:$A$429,0))</f>
        <v>2717994.0799999996</v>
      </c>
      <c r="I397" s="135">
        <f>INDEX(Daten!$L$7:$L$429,MATCH('2'!B397,Daten!$A$7:$A$429,0))</f>
        <v>1376273.9600000002</v>
      </c>
      <c r="J397" s="135">
        <f>INDEX(Daten!$K$7:$K$429,MATCH('2'!B397,Daten!$A$7:$A$429,0))</f>
        <v>2473157.6800000002</v>
      </c>
      <c r="K397" s="135">
        <f>INDEX(Daten!$O$7:$O$429,MATCH('2'!B397,Daten!$A$7:$A$429,0))</f>
        <v>80460.100000000006</v>
      </c>
      <c r="L397" s="151">
        <f>INDEX(Daten!$Q$7:$Q$429,MATCH('2'!B397,Daten!$A$7:$A$429,0))</f>
        <v>75445.289999999994</v>
      </c>
    </row>
    <row r="398" spans="1:12" ht="15" customHeight="1">
      <c r="A398" s="172" t="str">
        <f>Daten!C391</f>
        <v>JC Ostallgäu</v>
      </c>
      <c r="B398" s="214" t="str">
        <f>Daten!A391</f>
        <v>83110</v>
      </c>
      <c r="C398" s="172" t="str">
        <f>Daten!F391</f>
        <v>09</v>
      </c>
      <c r="D398" s="145" t="str">
        <f>Daten!E391</f>
        <v>Ic</v>
      </c>
      <c r="E398" s="282">
        <f>INDEX(Daten!$R$7:$R$429,MATCH('2'!B398,Daten!$A$7:$A$429,0))</f>
        <v>28679571.789999999</v>
      </c>
      <c r="F398" s="175">
        <f>INDEX(Daten!$M$7:$M$429,MATCH('2'!B398,Daten!$A$7:$A$429,0))</f>
        <v>11128069.23</v>
      </c>
      <c r="G398" s="135">
        <f>INDEX(Daten!$N$7:$N$429,MATCH('2'!B398,Daten!$A$7:$A$429,0))</f>
        <v>8301360.1500000004</v>
      </c>
      <c r="H398" s="135">
        <f>INDEX(Daten!$P$7:$P$429,MATCH('2'!B398,Daten!$A$7:$A$429,0))</f>
        <v>3737264.48</v>
      </c>
      <c r="I398" s="135">
        <f>INDEX(Daten!$L$7:$L$429,MATCH('2'!B398,Daten!$A$7:$A$429,0))</f>
        <v>1582733.9500000002</v>
      </c>
      <c r="J398" s="135">
        <f>INDEX(Daten!$K$7:$K$429,MATCH('2'!B398,Daten!$A$7:$A$429,0))</f>
        <v>3822199.53</v>
      </c>
      <c r="K398" s="135">
        <f>INDEX(Daten!$O$7:$O$429,MATCH('2'!B398,Daten!$A$7:$A$429,0))</f>
        <v>107944.45000000001</v>
      </c>
      <c r="L398" s="151">
        <f>INDEX(Daten!$Q$7:$Q$429,MATCH('2'!B398,Daten!$A$7:$A$429,0))</f>
        <v>333704.73</v>
      </c>
    </row>
    <row r="399" spans="1:12" ht="15" customHeight="1">
      <c r="A399" s="172" t="str">
        <f>Daten!C392</f>
        <v>JC Memmingen, Stadt</v>
      </c>
      <c r="B399" s="214" t="str">
        <f>Daten!A392</f>
        <v>83112</v>
      </c>
      <c r="C399" s="172" t="str">
        <f>Daten!F392</f>
        <v>09</v>
      </c>
      <c r="D399" s="145" t="str">
        <f>Daten!E392</f>
        <v>Ic</v>
      </c>
      <c r="E399" s="282">
        <f>INDEX(Daten!$R$7:$R$429,MATCH('2'!B399,Daten!$A$7:$A$429,0))</f>
        <v>15384392.6</v>
      </c>
      <c r="F399" s="175">
        <f>INDEX(Daten!$M$7:$M$429,MATCH('2'!B399,Daten!$A$7:$A$429,0))</f>
        <v>6234525.5599999987</v>
      </c>
      <c r="G399" s="135">
        <f>INDEX(Daten!$N$7:$N$429,MATCH('2'!B399,Daten!$A$7:$A$429,0))</f>
        <v>4009217.6699999995</v>
      </c>
      <c r="H399" s="135">
        <f>INDEX(Daten!$P$7:$P$429,MATCH('2'!B399,Daten!$A$7:$A$429,0))</f>
        <v>2074032.01</v>
      </c>
      <c r="I399" s="135">
        <f>INDEX(Daten!$L$7:$L$429,MATCH('2'!B399,Daten!$A$7:$A$429,0))</f>
        <v>944220.66999999981</v>
      </c>
      <c r="J399" s="135">
        <f>INDEX(Daten!$K$7:$K$429,MATCH('2'!B399,Daten!$A$7:$A$429,0))</f>
        <v>2066275.97</v>
      </c>
      <c r="K399" s="135">
        <f>INDEX(Daten!$O$7:$O$429,MATCH('2'!B399,Daten!$A$7:$A$429,0))</f>
        <v>56120.72</v>
      </c>
      <c r="L399" s="151">
        <f>INDEX(Daten!$Q$7:$Q$429,MATCH('2'!B399,Daten!$A$7:$A$429,0))</f>
        <v>157429.84999999998</v>
      </c>
    </row>
    <row r="400" spans="1:12" ht="15" customHeight="1">
      <c r="A400" s="172" t="str">
        <f>Daten!C393</f>
        <v>JC Unterallgäu</v>
      </c>
      <c r="B400" s="214" t="str">
        <f>Daten!A393</f>
        <v>83114</v>
      </c>
      <c r="C400" s="172" t="str">
        <f>Daten!F393</f>
        <v>09</v>
      </c>
      <c r="D400" s="145" t="str">
        <f>Daten!E393</f>
        <v>Ic</v>
      </c>
      <c r="E400" s="282">
        <f>INDEX(Daten!$R$7:$R$429,MATCH('2'!B400,Daten!$A$7:$A$429,0))</f>
        <v>25281795.890000001</v>
      </c>
      <c r="F400" s="175">
        <f>INDEX(Daten!$M$7:$M$429,MATCH('2'!B400,Daten!$A$7:$A$429,0))</f>
        <v>11329022.189999999</v>
      </c>
      <c r="G400" s="135">
        <f>INDEX(Daten!$N$7:$N$429,MATCH('2'!B400,Daten!$A$7:$A$429,0))</f>
        <v>6223776.790000001</v>
      </c>
      <c r="H400" s="135">
        <f>INDEX(Daten!$P$7:$P$429,MATCH('2'!B400,Daten!$A$7:$A$429,0))</f>
        <v>3572205.29</v>
      </c>
      <c r="I400" s="135">
        <f>INDEX(Daten!$L$7:$L$429,MATCH('2'!B400,Daten!$A$7:$A$429,0))</f>
        <v>1182865.8999999999</v>
      </c>
      <c r="J400" s="135">
        <f>INDEX(Daten!$K$7:$K$429,MATCH('2'!B400,Daten!$A$7:$A$429,0))</f>
        <v>2918171.8299999996</v>
      </c>
      <c r="K400" s="135">
        <f>INDEX(Daten!$O$7:$O$429,MATCH('2'!B400,Daten!$A$7:$A$429,0))</f>
        <v>55753.89</v>
      </c>
      <c r="L400" s="151">
        <f>INDEX(Daten!$Q$7:$Q$429,MATCH('2'!B400,Daten!$A$7:$A$429,0))</f>
        <v>258925.45</v>
      </c>
    </row>
    <row r="401" spans="1:12" ht="15" customHeight="1">
      <c r="A401" s="172" t="str">
        <f>Daten!C394</f>
        <v>JC Oberallgäu</v>
      </c>
      <c r="B401" s="214" t="str">
        <f>Daten!A394</f>
        <v>83142</v>
      </c>
      <c r="C401" s="172" t="str">
        <f>Daten!F394</f>
        <v>09</v>
      </c>
      <c r="D401" s="145" t="str">
        <f>Daten!E394</f>
        <v>Ia</v>
      </c>
      <c r="E401" s="282">
        <f>INDEX(Daten!$R$7:$R$429,MATCH('2'!B401,Daten!$A$7:$A$429,0))</f>
        <v>25573882</v>
      </c>
      <c r="F401" s="175">
        <f>INDEX(Daten!$M$7:$M$429,MATCH('2'!B401,Daten!$A$7:$A$429,0))</f>
        <v>10712818</v>
      </c>
      <c r="G401" s="135">
        <f>INDEX(Daten!$N$7:$N$429,MATCH('2'!B401,Daten!$A$7:$A$429,0))</f>
        <v>7005047</v>
      </c>
      <c r="H401" s="135">
        <f>INDEX(Daten!$P$7:$P$429,MATCH('2'!B401,Daten!$A$7:$A$429,0))</f>
        <v>3635537</v>
      </c>
      <c r="I401" s="135">
        <f>INDEX(Daten!$L$7:$L$429,MATCH('2'!B401,Daten!$A$7:$A$429,0))</f>
        <v>822829</v>
      </c>
      <c r="J401" s="135">
        <f>INDEX(Daten!$K$7:$K$429,MATCH('2'!B401,Daten!$A$7:$A$429,0))</f>
        <v>3397651</v>
      </c>
      <c r="K401" s="135">
        <f>INDEX(Daten!$O$7:$O$429,MATCH('2'!B401,Daten!$A$7:$A$429,0))</f>
        <v>0</v>
      </c>
      <c r="L401" s="151">
        <f>INDEX(Daten!$Q$7:$Q$429,MATCH('2'!B401,Daten!$A$7:$A$429,0))</f>
        <v>120624</v>
      </c>
    </row>
    <row r="402" spans="1:12" ht="15" customHeight="1">
      <c r="A402" s="172" t="str">
        <f>Daten!C395</f>
        <v>JC Kaufbeuren, Stadt</v>
      </c>
      <c r="B402" s="214" t="str">
        <f>Daten!A395</f>
        <v>83148</v>
      </c>
      <c r="C402" s="172" t="str">
        <f>Daten!F395</f>
        <v>09</v>
      </c>
      <c r="D402" s="145" t="str">
        <f>Daten!E395</f>
        <v>IIb</v>
      </c>
      <c r="E402" s="282">
        <f>INDEX(Daten!$R$7:$R$429,MATCH('2'!B402,Daten!$A$7:$A$429,0))</f>
        <v>17787457</v>
      </c>
      <c r="F402" s="175">
        <f>INDEX(Daten!$M$7:$M$429,MATCH('2'!B402,Daten!$A$7:$A$429,0))</f>
        <v>7154726</v>
      </c>
      <c r="G402" s="135">
        <f>INDEX(Daten!$N$7:$N$429,MATCH('2'!B402,Daten!$A$7:$A$429,0))</f>
        <v>4837691</v>
      </c>
      <c r="H402" s="135">
        <f>INDEX(Daten!$P$7:$P$429,MATCH('2'!B402,Daten!$A$7:$A$429,0))</f>
        <v>2514992</v>
      </c>
      <c r="I402" s="135">
        <f>INDEX(Daten!$L$7:$L$429,MATCH('2'!B402,Daten!$A$7:$A$429,0))</f>
        <v>1171609</v>
      </c>
      <c r="J402" s="135">
        <f>INDEX(Daten!$K$7:$K$429,MATCH('2'!B402,Daten!$A$7:$A$429,0))</f>
        <v>2048833</v>
      </c>
      <c r="K402" s="135">
        <f>INDEX(Daten!$O$7:$O$429,MATCH('2'!B402,Daten!$A$7:$A$429,0))</f>
        <v>59606</v>
      </c>
      <c r="L402" s="151">
        <f>INDEX(Daten!$Q$7:$Q$429,MATCH('2'!B402,Daten!$A$7:$A$429,0))</f>
        <v>253690</v>
      </c>
    </row>
    <row r="403" spans="1:12" ht="15" customHeight="1">
      <c r="A403" s="172" t="str">
        <f>Daten!C396</f>
        <v>JC Dingolfing-Landau</v>
      </c>
      <c r="B403" s="214" t="str">
        <f>Daten!A396</f>
        <v>83502</v>
      </c>
      <c r="C403" s="172" t="str">
        <f>Daten!F396</f>
        <v>09</v>
      </c>
      <c r="D403" s="145" t="str">
        <f>Daten!E396</f>
        <v>Ic</v>
      </c>
      <c r="E403" s="282">
        <f>INDEX(Daten!$R$7:$R$429,MATCH('2'!B403,Daten!$A$7:$A$429,0))</f>
        <v>22221286.170000006</v>
      </c>
      <c r="F403" s="175">
        <f>INDEX(Daten!$M$7:$M$429,MATCH('2'!B403,Daten!$A$7:$A$429,0))</f>
        <v>10001701.400000002</v>
      </c>
      <c r="G403" s="135">
        <f>INDEX(Daten!$N$7:$N$429,MATCH('2'!B403,Daten!$A$7:$A$429,0))</f>
        <v>5366800.6000000006</v>
      </c>
      <c r="H403" s="135">
        <f>INDEX(Daten!$P$7:$P$429,MATCH('2'!B403,Daten!$A$7:$A$429,0))</f>
        <v>3138205.59</v>
      </c>
      <c r="I403" s="135">
        <f>INDEX(Daten!$L$7:$L$429,MATCH('2'!B403,Daten!$A$7:$A$429,0))</f>
        <v>705184.37000000011</v>
      </c>
      <c r="J403" s="135">
        <f>INDEX(Daten!$K$7:$K$429,MATCH('2'!B403,Daten!$A$7:$A$429,0))</f>
        <v>2957472.3599999994</v>
      </c>
      <c r="K403" s="135">
        <f>INDEX(Daten!$O$7:$O$429,MATCH('2'!B403,Daten!$A$7:$A$429,0))</f>
        <v>51921.850000000006</v>
      </c>
      <c r="L403" s="151">
        <f>INDEX(Daten!$Q$7:$Q$429,MATCH('2'!B403,Daten!$A$7:$A$429,0))</f>
        <v>163888.95000000001</v>
      </c>
    </row>
    <row r="404" spans="1:12" ht="15" customHeight="1">
      <c r="A404" s="172" t="str">
        <f>Daten!C397</f>
        <v>JC Landshut, Stadt</v>
      </c>
      <c r="B404" s="214" t="str">
        <f>Daten!A397</f>
        <v>83504</v>
      </c>
      <c r="C404" s="172" t="str">
        <f>Daten!F397</f>
        <v>09</v>
      </c>
      <c r="D404" s="145" t="str">
        <f>Daten!E397</f>
        <v>IIb</v>
      </c>
      <c r="E404" s="282">
        <f>INDEX(Daten!$R$7:$R$429,MATCH('2'!B404,Daten!$A$7:$A$429,0))</f>
        <v>40522970.129999995</v>
      </c>
      <c r="F404" s="175">
        <f>INDEX(Daten!$M$7:$M$429,MATCH('2'!B404,Daten!$A$7:$A$429,0))</f>
        <v>15922315.280000001</v>
      </c>
      <c r="G404" s="135">
        <f>INDEX(Daten!$N$7:$N$429,MATCH('2'!B404,Daten!$A$7:$A$429,0))</f>
        <v>12494720.9</v>
      </c>
      <c r="H404" s="135">
        <f>INDEX(Daten!$P$7:$P$429,MATCH('2'!B404,Daten!$A$7:$A$429,0))</f>
        <v>5248705.2999999989</v>
      </c>
      <c r="I404" s="135">
        <f>INDEX(Daten!$L$7:$L$429,MATCH('2'!B404,Daten!$A$7:$A$429,0))</f>
        <v>2506251.3200000003</v>
      </c>
      <c r="J404" s="135">
        <f>INDEX(Daten!$K$7:$K$429,MATCH('2'!B404,Daten!$A$7:$A$429,0))</f>
        <v>4096051.8899999997</v>
      </c>
      <c r="K404" s="135">
        <f>INDEX(Daten!$O$7:$O$429,MATCH('2'!B404,Daten!$A$7:$A$429,0))</f>
        <v>254925.44</v>
      </c>
      <c r="L404" s="151">
        <f>INDEX(Daten!$Q$7:$Q$429,MATCH('2'!B404,Daten!$A$7:$A$429,0))</f>
        <v>437777.63</v>
      </c>
    </row>
    <row r="405" spans="1:12" ht="15" customHeight="1">
      <c r="A405" s="172" t="str">
        <f>Daten!C398</f>
        <v>JC Landshut</v>
      </c>
      <c r="B405" s="214" t="str">
        <f>Daten!A398</f>
        <v>83506</v>
      </c>
      <c r="C405" s="172" t="str">
        <f>Daten!F398</f>
        <v>09</v>
      </c>
      <c r="D405" s="145" t="str">
        <f>Daten!E398</f>
        <v>Ib</v>
      </c>
      <c r="E405" s="282">
        <f>INDEX(Daten!$R$7:$R$429,MATCH('2'!B405,Daten!$A$7:$A$429,0))</f>
        <v>34123684.700000003</v>
      </c>
      <c r="F405" s="175">
        <f>INDEX(Daten!$M$7:$M$429,MATCH('2'!B405,Daten!$A$7:$A$429,0))</f>
        <v>14323623.310000001</v>
      </c>
      <c r="G405" s="135">
        <f>INDEX(Daten!$N$7:$N$429,MATCH('2'!B405,Daten!$A$7:$A$429,0))</f>
        <v>9240061.4100000039</v>
      </c>
      <c r="H405" s="135">
        <f>INDEX(Daten!$P$7:$P$429,MATCH('2'!B405,Daten!$A$7:$A$429,0))</f>
        <v>4839179.82</v>
      </c>
      <c r="I405" s="135">
        <f>INDEX(Daten!$L$7:$L$429,MATCH('2'!B405,Daten!$A$7:$A$429,0))</f>
        <v>1983862.43</v>
      </c>
      <c r="J405" s="135">
        <f>INDEX(Daten!$K$7:$K$429,MATCH('2'!B405,Daten!$A$7:$A$429,0))</f>
        <v>3608229.81</v>
      </c>
      <c r="K405" s="135">
        <f>INDEX(Daten!$O$7:$O$429,MATCH('2'!B405,Daten!$A$7:$A$429,0))</f>
        <v>128727.92000000001</v>
      </c>
      <c r="L405" s="151">
        <f>INDEX(Daten!$Q$7:$Q$429,MATCH('2'!B405,Daten!$A$7:$A$429,0))</f>
        <v>426241.68999999994</v>
      </c>
    </row>
    <row r="406" spans="1:12" ht="15" customHeight="1">
      <c r="A406" s="172" t="str">
        <f>Daten!C399</f>
        <v>JC Rottal-Inn</v>
      </c>
      <c r="B406" s="214" t="str">
        <f>Daten!A399</f>
        <v>83510</v>
      </c>
      <c r="C406" s="172" t="str">
        <f>Daten!F399</f>
        <v>09</v>
      </c>
      <c r="D406" s="145" t="str">
        <f>Daten!E399</f>
        <v>Ic</v>
      </c>
      <c r="E406" s="282">
        <f>INDEX(Daten!$R$7:$R$429,MATCH('2'!B406,Daten!$A$7:$A$429,0))</f>
        <v>36308611.439999998</v>
      </c>
      <c r="F406" s="175">
        <f>INDEX(Daten!$M$7:$M$429,MATCH('2'!B406,Daten!$A$7:$A$429,0))</f>
        <v>15459327.470000001</v>
      </c>
      <c r="G406" s="135">
        <f>INDEX(Daten!$N$7:$N$429,MATCH('2'!B406,Daten!$A$7:$A$429,0))</f>
        <v>9452452.8099999987</v>
      </c>
      <c r="H406" s="135">
        <f>INDEX(Daten!$P$7:$P$429,MATCH('2'!B406,Daten!$A$7:$A$429,0))</f>
        <v>4832906.0199999996</v>
      </c>
      <c r="I406" s="135">
        <f>INDEX(Daten!$L$7:$L$429,MATCH('2'!B406,Daten!$A$7:$A$429,0))</f>
        <v>2113220.6699999995</v>
      </c>
      <c r="J406" s="135">
        <f>INDEX(Daten!$K$7:$K$429,MATCH('2'!B406,Daten!$A$7:$A$429,0))</f>
        <v>4221961.9800000004</v>
      </c>
      <c r="K406" s="135">
        <f>INDEX(Daten!$O$7:$O$429,MATCH('2'!B406,Daten!$A$7:$A$429,0))</f>
        <v>228742.49000000002</v>
      </c>
      <c r="L406" s="151">
        <f>INDEX(Daten!$Q$7:$Q$429,MATCH('2'!B406,Daten!$A$7:$A$429,0))</f>
        <v>524478.88</v>
      </c>
    </row>
    <row r="407" spans="1:12" ht="15" customHeight="1">
      <c r="A407" s="172" t="str">
        <f>Daten!C400</f>
        <v>JC München, Landeshauptstadt</v>
      </c>
      <c r="B407" s="214" t="str">
        <f>Daten!A400</f>
        <v>84308</v>
      </c>
      <c r="C407" s="172" t="str">
        <f>Daten!F400</f>
        <v>09</v>
      </c>
      <c r="D407" s="145" t="str">
        <f>Daten!E400</f>
        <v>IIb</v>
      </c>
      <c r="E407" s="282">
        <f>INDEX(Daten!$R$7:$R$429,MATCH('2'!B407,Daten!$A$7:$A$429,0))</f>
        <v>819738336.64999998</v>
      </c>
      <c r="F407" s="175">
        <f>INDEX(Daten!$M$7:$M$429,MATCH('2'!B407,Daten!$A$7:$A$429,0))</f>
        <v>271960836.47999996</v>
      </c>
      <c r="G407" s="135">
        <f>INDEX(Daten!$N$7:$N$429,MATCH('2'!B407,Daten!$A$7:$A$429,0))</f>
        <v>310300342.49000001</v>
      </c>
      <c r="H407" s="135">
        <f>INDEX(Daten!$P$7:$P$429,MATCH('2'!B407,Daten!$A$7:$A$429,0))</f>
        <v>96002516.750000015</v>
      </c>
      <c r="I407" s="135">
        <f>INDEX(Daten!$L$7:$L$429,MATCH('2'!B407,Daten!$A$7:$A$429,0))</f>
        <v>45478012.889999993</v>
      </c>
      <c r="J407" s="135">
        <f>INDEX(Daten!$K$7:$K$429,MATCH('2'!B407,Daten!$A$7:$A$429,0))</f>
        <v>89668932.079999998</v>
      </c>
      <c r="K407" s="135">
        <f>INDEX(Daten!$O$7:$O$429,MATCH('2'!B407,Daten!$A$7:$A$429,0))</f>
        <v>6327695.9600000009</v>
      </c>
      <c r="L407" s="151">
        <f>INDEX(Daten!$Q$7:$Q$429,MATCH('2'!B407,Daten!$A$7:$A$429,0))</f>
        <v>11676039.240000002</v>
      </c>
    </row>
    <row r="408" spans="1:12" ht="15" customHeight="1">
      <c r="A408" s="172" t="str">
        <f>Daten!C401</f>
        <v>JC München</v>
      </c>
      <c r="B408" s="214" t="str">
        <f>Daten!A401</f>
        <v>84358</v>
      </c>
      <c r="C408" s="172" t="str">
        <f>Daten!F401</f>
        <v>09</v>
      </c>
      <c r="D408" s="145" t="str">
        <f>Daten!E401</f>
        <v>Ia</v>
      </c>
      <c r="E408" s="282">
        <f>INDEX(Daten!$R$7:$R$429,MATCH('2'!B408,Daten!$A$7:$A$429,0))</f>
        <v>104682800</v>
      </c>
      <c r="F408" s="175">
        <f>INDEX(Daten!$M$7:$M$429,MATCH('2'!B408,Daten!$A$7:$A$429,0))</f>
        <v>38731557</v>
      </c>
      <c r="G408" s="135">
        <f>INDEX(Daten!$N$7:$N$429,MATCH('2'!B408,Daten!$A$7:$A$429,0))</f>
        <v>37672334</v>
      </c>
      <c r="H408" s="135">
        <f>INDEX(Daten!$P$7:$P$429,MATCH('2'!B408,Daten!$A$7:$A$429,0))</f>
        <v>12426451</v>
      </c>
      <c r="I408" s="135">
        <f>INDEX(Daten!$L$7:$L$429,MATCH('2'!B408,Daten!$A$7:$A$429,0))</f>
        <v>3343085</v>
      </c>
      <c r="J408" s="135">
        <f>INDEX(Daten!$K$7:$K$429,MATCH('2'!B408,Daten!$A$7:$A$429,0))</f>
        <v>11773012</v>
      </c>
      <c r="K408" s="135">
        <f>INDEX(Daten!$O$7:$O$429,MATCH('2'!B408,Daten!$A$7:$A$429,0))</f>
        <v>736361</v>
      </c>
      <c r="L408" s="151">
        <f>INDEX(Daten!$Q$7:$Q$429,MATCH('2'!B408,Daten!$A$7:$A$429,0))</f>
        <v>1787655</v>
      </c>
    </row>
    <row r="409" spans="1:12" ht="15" customHeight="1">
      <c r="A409" s="172" t="str">
        <f>Daten!C402</f>
        <v>JC Freyung-Grafenau</v>
      </c>
      <c r="B409" s="214" t="str">
        <f>Daten!A402</f>
        <v>84702</v>
      </c>
      <c r="C409" s="172" t="str">
        <f>Daten!F402</f>
        <v>09</v>
      </c>
      <c r="D409" s="145" t="str">
        <f>Daten!E402</f>
        <v>Ic</v>
      </c>
      <c r="E409" s="282">
        <f>INDEX(Daten!$R$7:$R$429,MATCH('2'!B409,Daten!$A$7:$A$429,0))</f>
        <v>17343027.699999999</v>
      </c>
      <c r="F409" s="175">
        <f>INDEX(Daten!$M$7:$M$429,MATCH('2'!B409,Daten!$A$7:$A$429,0))</f>
        <v>8136848.04</v>
      </c>
      <c r="G409" s="135">
        <f>INDEX(Daten!$N$7:$N$429,MATCH('2'!B409,Daten!$A$7:$A$429,0))</f>
        <v>3787711.67</v>
      </c>
      <c r="H409" s="135">
        <f>INDEX(Daten!$P$7:$P$429,MATCH('2'!B409,Daten!$A$7:$A$429,0))</f>
        <v>2435035.08</v>
      </c>
      <c r="I409" s="135">
        <f>INDEX(Daten!$L$7:$L$429,MATCH('2'!B409,Daten!$A$7:$A$429,0))</f>
        <v>759817.41</v>
      </c>
      <c r="J409" s="135">
        <f>INDEX(Daten!$K$7:$K$429,MATCH('2'!B409,Daten!$A$7:$A$429,0))</f>
        <v>2150369.16</v>
      </c>
      <c r="K409" s="135">
        <f>INDEX(Daten!$O$7:$O$429,MATCH('2'!B409,Daten!$A$7:$A$429,0))</f>
        <v>73246.34</v>
      </c>
      <c r="L409" s="151">
        <f>INDEX(Daten!$Q$7:$Q$429,MATCH('2'!B409,Daten!$A$7:$A$429,0))</f>
        <v>155613.69</v>
      </c>
    </row>
    <row r="410" spans="1:12" ht="15" customHeight="1">
      <c r="A410" s="172" t="str">
        <f>Daten!C403</f>
        <v>JC Passau, Stadt</v>
      </c>
      <c r="B410" s="214" t="str">
        <f>Daten!A403</f>
        <v>84704</v>
      </c>
      <c r="C410" s="172" t="str">
        <f>Daten!F403</f>
        <v>09</v>
      </c>
      <c r="D410" s="145" t="str">
        <f>Daten!E403</f>
        <v>IIb</v>
      </c>
      <c r="E410" s="282">
        <f>INDEX(Daten!$R$7:$R$429,MATCH('2'!B410,Daten!$A$7:$A$429,0))</f>
        <v>35939954.670000002</v>
      </c>
      <c r="F410" s="175">
        <f>INDEX(Daten!$M$7:$M$429,MATCH('2'!B410,Daten!$A$7:$A$429,0))</f>
        <v>13717497.859999999</v>
      </c>
      <c r="G410" s="135">
        <f>INDEX(Daten!$N$7:$N$429,MATCH('2'!B410,Daten!$A$7:$A$429,0))</f>
        <v>11202169.470000001</v>
      </c>
      <c r="H410" s="135">
        <f>INDEX(Daten!$P$7:$P$429,MATCH('2'!B410,Daten!$A$7:$A$429,0))</f>
        <v>4683762.0299999993</v>
      </c>
      <c r="I410" s="135">
        <f>INDEX(Daten!$L$7:$L$429,MATCH('2'!B410,Daten!$A$7:$A$429,0))</f>
        <v>2253680.21</v>
      </c>
      <c r="J410" s="135">
        <f>INDEX(Daten!$K$7:$K$429,MATCH('2'!B410,Daten!$A$7:$A$429,0))</f>
        <v>3844832.0599999996</v>
      </c>
      <c r="K410" s="135">
        <f>INDEX(Daten!$O$7:$O$429,MATCH('2'!B410,Daten!$A$7:$A$429,0))</f>
        <v>238013.03999999998</v>
      </c>
      <c r="L410" s="151">
        <f>INDEX(Daten!$Q$7:$Q$429,MATCH('2'!B410,Daten!$A$7:$A$429,0))</f>
        <v>456351.25</v>
      </c>
    </row>
    <row r="411" spans="1:12" ht="15" customHeight="1">
      <c r="A411" s="172" t="str">
        <f>Daten!C404</f>
        <v>JC Passau</v>
      </c>
      <c r="B411" s="214" t="str">
        <f>Daten!A404</f>
        <v>84706</v>
      </c>
      <c r="C411" s="172" t="str">
        <f>Daten!F404</f>
        <v>09</v>
      </c>
      <c r="D411" s="145" t="str">
        <f>Daten!E404</f>
        <v>Ib</v>
      </c>
      <c r="E411" s="282">
        <f>INDEX(Daten!$R$7:$R$429,MATCH('2'!B411,Daten!$A$7:$A$429,0))</f>
        <v>54424505.590000004</v>
      </c>
      <c r="F411" s="175">
        <f>INDEX(Daten!$M$7:$M$429,MATCH('2'!B411,Daten!$A$7:$A$429,0))</f>
        <v>23067901.59</v>
      </c>
      <c r="G411" s="135">
        <f>INDEX(Daten!$N$7:$N$429,MATCH('2'!B411,Daten!$A$7:$A$429,0))</f>
        <v>13926955.99</v>
      </c>
      <c r="H411" s="135">
        <f>INDEX(Daten!$P$7:$P$429,MATCH('2'!B411,Daten!$A$7:$A$429,0))</f>
        <v>7501651.5600000005</v>
      </c>
      <c r="I411" s="135">
        <f>INDEX(Daten!$L$7:$L$429,MATCH('2'!B411,Daten!$A$7:$A$429,0))</f>
        <v>2787681.5899999994</v>
      </c>
      <c r="J411" s="135">
        <f>INDEX(Daten!$K$7:$K$429,MATCH('2'!B411,Daten!$A$7:$A$429,0))</f>
        <v>6661123.7600000007</v>
      </c>
      <c r="K411" s="135">
        <f>INDEX(Daten!$O$7:$O$429,MATCH('2'!B411,Daten!$A$7:$A$429,0))</f>
        <v>479191.10000000003</v>
      </c>
      <c r="L411" s="151">
        <f>INDEX(Daten!$Q$7:$Q$429,MATCH('2'!B411,Daten!$A$7:$A$429,0))</f>
        <v>694066.19</v>
      </c>
    </row>
    <row r="412" spans="1:12" ht="15" customHeight="1">
      <c r="A412" s="172" t="str">
        <f>Daten!C405</f>
        <v>JC Bad Tölz-Wolfratshausen</v>
      </c>
      <c r="B412" s="214" t="str">
        <f>Daten!A405</f>
        <v>85502</v>
      </c>
      <c r="C412" s="172" t="str">
        <f>Daten!F405</f>
        <v>09</v>
      </c>
      <c r="D412" s="145" t="str">
        <f>Daten!E405</f>
        <v>Ia</v>
      </c>
      <c r="E412" s="282">
        <f>INDEX(Daten!$R$7:$R$429,MATCH('2'!B412,Daten!$A$7:$A$429,0))</f>
        <v>30810728.800000001</v>
      </c>
      <c r="F412" s="175">
        <f>INDEX(Daten!$M$7:$M$429,MATCH('2'!B412,Daten!$A$7:$A$429,0))</f>
        <v>12264706.059999999</v>
      </c>
      <c r="G412" s="135">
        <f>INDEX(Daten!$N$7:$N$429,MATCH('2'!B412,Daten!$A$7:$A$429,0))</f>
        <v>8786510.6399999987</v>
      </c>
      <c r="H412" s="135">
        <f>INDEX(Daten!$P$7:$P$429,MATCH('2'!B412,Daten!$A$7:$A$429,0))</f>
        <v>4272378.1099999994</v>
      </c>
      <c r="I412" s="135">
        <f>INDEX(Daten!$L$7:$L$429,MATCH('2'!B412,Daten!$A$7:$A$429,0))</f>
        <v>1893913.4100000001</v>
      </c>
      <c r="J412" s="135">
        <f>INDEX(Daten!$K$7:$K$429,MATCH('2'!B412,Daten!$A$7:$A$429,0))</f>
        <v>3462528.9200000004</v>
      </c>
      <c r="K412" s="135">
        <f>INDEX(Daten!$O$7:$O$429,MATCH('2'!B412,Daten!$A$7:$A$429,0))</f>
        <v>130691.66</v>
      </c>
      <c r="L412" s="151">
        <f>INDEX(Daten!$Q$7:$Q$429,MATCH('2'!B412,Daten!$A$7:$A$429,0))</f>
        <v>360407.97</v>
      </c>
    </row>
    <row r="413" spans="1:12" ht="15" customHeight="1">
      <c r="A413" s="172" t="str">
        <f>Daten!C406</f>
        <v>JC Miesbach</v>
      </c>
      <c r="B413" s="214" t="str">
        <f>Daten!A406</f>
        <v>85504</v>
      </c>
      <c r="C413" s="172" t="str">
        <f>Daten!F406</f>
        <v>09</v>
      </c>
      <c r="D413" s="145" t="str">
        <f>Daten!E406</f>
        <v>Ia</v>
      </c>
      <c r="E413" s="282">
        <f>INDEX(Daten!$R$7:$R$429,MATCH('2'!B413,Daten!$A$7:$A$429,0))</f>
        <v>17806873</v>
      </c>
      <c r="F413" s="175">
        <f>INDEX(Daten!$M$7:$M$429,MATCH('2'!B413,Daten!$A$7:$A$429,0))</f>
        <v>6528311</v>
      </c>
      <c r="G413" s="135">
        <f>INDEX(Daten!$N$7:$N$429,MATCH('2'!B413,Daten!$A$7:$A$429,0))</f>
        <v>5800578</v>
      </c>
      <c r="H413" s="135">
        <f>INDEX(Daten!$P$7:$P$429,MATCH('2'!B413,Daten!$A$7:$A$429,0))</f>
        <v>2607483</v>
      </c>
      <c r="I413" s="135">
        <f>INDEX(Daten!$L$7:$L$429,MATCH('2'!B413,Daten!$A$7:$A$429,0))</f>
        <v>496955</v>
      </c>
      <c r="J413" s="135">
        <f>INDEX(Daten!$K$7:$K$429,MATCH('2'!B413,Daten!$A$7:$A$429,0))</f>
        <v>2317132</v>
      </c>
      <c r="K413" s="135">
        <f>INDEX(Daten!$O$7:$O$429,MATCH('2'!B413,Daten!$A$7:$A$429,0))</f>
        <v>56414</v>
      </c>
      <c r="L413" s="151">
        <f>INDEX(Daten!$Q$7:$Q$429,MATCH('2'!B413,Daten!$A$7:$A$429,0))</f>
        <v>198664</v>
      </c>
    </row>
    <row r="414" spans="1:12" ht="15" customHeight="1">
      <c r="A414" s="172" t="str">
        <f>Daten!C407</f>
        <v>JC Rosenheim, Stadt</v>
      </c>
      <c r="B414" s="214" t="str">
        <f>Daten!A407</f>
        <v>85506</v>
      </c>
      <c r="C414" s="172" t="str">
        <f>Daten!F407</f>
        <v>09</v>
      </c>
      <c r="D414" s="145" t="str">
        <f>Daten!E407</f>
        <v>IIb</v>
      </c>
      <c r="E414" s="282">
        <f>INDEX(Daten!$R$7:$R$429,MATCH('2'!B414,Daten!$A$7:$A$429,0))</f>
        <v>31957289.510000005</v>
      </c>
      <c r="F414" s="175">
        <f>INDEX(Daten!$M$7:$M$429,MATCH('2'!B414,Daten!$A$7:$A$429,0))</f>
        <v>11852910.180000002</v>
      </c>
      <c r="G414" s="135">
        <f>INDEX(Daten!$N$7:$N$429,MATCH('2'!B414,Daten!$A$7:$A$429,0))</f>
        <v>10616848.299999999</v>
      </c>
      <c r="H414" s="135">
        <f>INDEX(Daten!$P$7:$P$429,MATCH('2'!B414,Daten!$A$7:$A$429,0))</f>
        <v>4116165.9599999995</v>
      </c>
      <c r="I414" s="135">
        <f>INDEX(Daten!$L$7:$L$429,MATCH('2'!B414,Daten!$A$7:$A$429,0))</f>
        <v>1324399.4200000002</v>
      </c>
      <c r="J414" s="135">
        <f>INDEX(Daten!$K$7:$K$429,MATCH('2'!B414,Daten!$A$7:$A$429,0))</f>
        <v>3935930.44</v>
      </c>
      <c r="K414" s="135">
        <f>INDEX(Daten!$O$7:$O$429,MATCH('2'!B414,Daten!$A$7:$A$429,0))</f>
        <v>111035.20999999999</v>
      </c>
      <c r="L414" s="151">
        <f>INDEX(Daten!$Q$7:$Q$429,MATCH('2'!B414,Daten!$A$7:$A$429,0))</f>
        <v>513165.38</v>
      </c>
    </row>
    <row r="415" spans="1:12" ht="15" customHeight="1">
      <c r="A415" s="172" t="str">
        <f>Daten!C408</f>
        <v>JC Rosenheim</v>
      </c>
      <c r="B415" s="214" t="str">
        <f>Daten!A408</f>
        <v>85508</v>
      </c>
      <c r="C415" s="172" t="str">
        <f>Daten!F408</f>
        <v>09</v>
      </c>
      <c r="D415" s="145" t="str">
        <f>Daten!E408</f>
        <v>Ia</v>
      </c>
      <c r="E415" s="282">
        <f>INDEX(Daten!$R$7:$R$429,MATCH('2'!B415,Daten!$A$7:$A$429,0))</f>
        <v>51777756.210000008</v>
      </c>
      <c r="F415" s="175">
        <f>INDEX(Daten!$M$7:$M$429,MATCH('2'!B415,Daten!$A$7:$A$429,0))</f>
        <v>21207056.650000006</v>
      </c>
      <c r="G415" s="135">
        <f>INDEX(Daten!$N$7:$N$429,MATCH('2'!B415,Daten!$A$7:$A$429,0))</f>
        <v>14889163.549999999</v>
      </c>
      <c r="H415" s="135">
        <f>INDEX(Daten!$P$7:$P$429,MATCH('2'!B415,Daten!$A$7:$A$429,0))</f>
        <v>7006341.8899999987</v>
      </c>
      <c r="I415" s="135">
        <f>INDEX(Daten!$L$7:$L$429,MATCH('2'!B415,Daten!$A$7:$A$429,0))</f>
        <v>2087264.4500000002</v>
      </c>
      <c r="J415" s="135">
        <f>INDEX(Daten!$K$7:$K$429,MATCH('2'!B415,Daten!$A$7:$A$429,0))</f>
        <v>6474413.0300000003</v>
      </c>
      <c r="K415" s="135">
        <f>INDEX(Daten!$O$7:$O$429,MATCH('2'!B415,Daten!$A$7:$A$429,0))</f>
        <v>113516.64</v>
      </c>
      <c r="L415" s="151">
        <f>INDEX(Daten!$Q$7:$Q$429,MATCH('2'!B415,Daten!$A$7:$A$429,0))</f>
        <v>668982.19000000006</v>
      </c>
    </row>
    <row r="416" spans="1:12" ht="15" customHeight="1">
      <c r="A416" s="172" t="str">
        <f>Daten!C409</f>
        <v>JC Berchtesgadener Land</v>
      </c>
      <c r="B416" s="214" t="str">
        <f>Daten!A409</f>
        <v>85902</v>
      </c>
      <c r="C416" s="172" t="str">
        <f>Daten!F409</f>
        <v>09</v>
      </c>
      <c r="D416" s="145" t="str">
        <f>Daten!E409</f>
        <v>Ia</v>
      </c>
      <c r="E416" s="282">
        <f>INDEX(Daten!$R$7:$R$429,MATCH('2'!B416,Daten!$A$7:$A$429,0))</f>
        <v>31268382.670000002</v>
      </c>
      <c r="F416" s="175">
        <f>INDEX(Daten!$M$7:$M$429,MATCH('2'!B416,Daten!$A$7:$A$429,0))</f>
        <v>12129356.849999998</v>
      </c>
      <c r="G416" s="135">
        <f>INDEX(Daten!$N$7:$N$429,MATCH('2'!B416,Daten!$A$7:$A$429,0))</f>
        <v>9190635.9100000001</v>
      </c>
      <c r="H416" s="135">
        <f>INDEX(Daten!$P$7:$P$429,MATCH('2'!B416,Daten!$A$7:$A$429,0))</f>
        <v>4269760.0300000012</v>
      </c>
      <c r="I416" s="135">
        <f>INDEX(Daten!$L$7:$L$429,MATCH('2'!B416,Daten!$A$7:$A$429,0))</f>
        <v>1308572.02</v>
      </c>
      <c r="J416" s="135">
        <f>INDEX(Daten!$K$7:$K$429,MATCH('2'!B416,Daten!$A$7:$A$429,0))</f>
        <v>4248978.9400000004</v>
      </c>
      <c r="K416" s="135">
        <f>INDEX(Daten!$O$7:$O$429,MATCH('2'!B416,Daten!$A$7:$A$429,0))</f>
        <v>121078.92000000001</v>
      </c>
      <c r="L416" s="151">
        <f>INDEX(Daten!$Q$7:$Q$429,MATCH('2'!B416,Daten!$A$7:$A$429,0))</f>
        <v>363311.63999999996</v>
      </c>
    </row>
    <row r="417" spans="1:12" ht="15" customHeight="1">
      <c r="A417" s="172" t="str">
        <f>Daten!C410</f>
        <v>JC Traunstein</v>
      </c>
      <c r="B417" s="214" t="str">
        <f>Daten!A410</f>
        <v>85904</v>
      </c>
      <c r="C417" s="172" t="str">
        <f>Daten!F410</f>
        <v>09</v>
      </c>
      <c r="D417" s="145" t="str">
        <f>Daten!E410</f>
        <v>Ia</v>
      </c>
      <c r="E417" s="282">
        <f>INDEX(Daten!$R$7:$R$429,MATCH('2'!B417,Daten!$A$7:$A$429,0))</f>
        <v>40999407.919999994</v>
      </c>
      <c r="F417" s="175">
        <f>INDEX(Daten!$M$7:$M$429,MATCH('2'!B417,Daten!$A$7:$A$429,0))</f>
        <v>16686147.210000001</v>
      </c>
      <c r="G417" s="135">
        <f>INDEX(Daten!$N$7:$N$429,MATCH('2'!B417,Daten!$A$7:$A$429,0))</f>
        <v>11087543.620000001</v>
      </c>
      <c r="H417" s="135">
        <f>INDEX(Daten!$P$7:$P$429,MATCH('2'!B417,Daten!$A$7:$A$429,0))</f>
        <v>5697609.8399999989</v>
      </c>
      <c r="I417" s="135">
        <f>INDEX(Daten!$L$7:$L$429,MATCH('2'!B417,Daten!$A$7:$A$429,0))</f>
        <v>1629420.6099999999</v>
      </c>
      <c r="J417" s="135">
        <f>INDEX(Daten!$K$7:$K$429,MATCH('2'!B417,Daten!$A$7:$A$429,0))</f>
        <v>5707852.7199999997</v>
      </c>
      <c r="K417" s="135">
        <f>INDEX(Daten!$O$7:$O$429,MATCH('2'!B417,Daten!$A$7:$A$429,0))</f>
        <v>190833.91999999998</v>
      </c>
      <c r="L417" s="151">
        <f>INDEX(Daten!$Q$7:$Q$429,MATCH('2'!B417,Daten!$A$7:$A$429,0))</f>
        <v>441314.34</v>
      </c>
    </row>
    <row r="418" spans="1:12" ht="15" customHeight="1">
      <c r="A418" s="172" t="str">
        <f>Daten!C411</f>
        <v>JC Altötting</v>
      </c>
      <c r="B418" s="214" t="str">
        <f>Daten!A411</f>
        <v>85906</v>
      </c>
      <c r="C418" s="172" t="str">
        <f>Daten!F411</f>
        <v>09</v>
      </c>
      <c r="D418" s="145" t="str">
        <f>Daten!E411</f>
        <v>Ic</v>
      </c>
      <c r="E418" s="282">
        <f>INDEX(Daten!$R$7:$R$429,MATCH('2'!B418,Daten!$A$7:$A$429,0))</f>
        <v>32506564.060000002</v>
      </c>
      <c r="F418" s="175">
        <f>INDEX(Daten!$M$7:$M$429,MATCH('2'!B418,Daten!$A$7:$A$429,0))</f>
        <v>13299647.27</v>
      </c>
      <c r="G418" s="135">
        <f>INDEX(Daten!$N$7:$N$429,MATCH('2'!B418,Daten!$A$7:$A$429,0))</f>
        <v>8679077.629999999</v>
      </c>
      <c r="H418" s="135">
        <f>INDEX(Daten!$P$7:$P$429,MATCH('2'!B418,Daten!$A$7:$A$429,0))</f>
        <v>4401993.12</v>
      </c>
      <c r="I418" s="135">
        <f>INDEX(Daten!$L$7:$L$429,MATCH('2'!B418,Daten!$A$7:$A$429,0))</f>
        <v>1474374.27</v>
      </c>
      <c r="J418" s="135">
        <f>INDEX(Daten!$K$7:$K$429,MATCH('2'!B418,Daten!$A$7:$A$429,0))</f>
        <v>4537060.92</v>
      </c>
      <c r="K418" s="135">
        <f>INDEX(Daten!$O$7:$O$429,MATCH('2'!B418,Daten!$A$7:$A$429,0))</f>
        <v>114410.85</v>
      </c>
      <c r="L418" s="151">
        <f>INDEX(Daten!$Q$7:$Q$429,MATCH('2'!B418,Daten!$A$7:$A$429,0))</f>
        <v>571767.96</v>
      </c>
    </row>
    <row r="419" spans="1:12" ht="15" customHeight="1">
      <c r="A419" s="172" t="str">
        <f>Daten!C412</f>
        <v>JC Mühldorf am Inn</v>
      </c>
      <c r="B419" s="214" t="str">
        <f>Daten!A412</f>
        <v>85908</v>
      </c>
      <c r="C419" s="172" t="str">
        <f>Daten!F412</f>
        <v>09</v>
      </c>
      <c r="D419" s="145" t="str">
        <f>Daten!E412</f>
        <v>Id</v>
      </c>
      <c r="E419" s="282">
        <f>INDEX(Daten!$R$7:$R$429,MATCH('2'!B419,Daten!$A$7:$A$429,0))</f>
        <v>34902147.689999998</v>
      </c>
      <c r="F419" s="175">
        <f>INDEX(Daten!$M$7:$M$429,MATCH('2'!B419,Daten!$A$7:$A$429,0))</f>
        <v>14185500.449999997</v>
      </c>
      <c r="G419" s="135">
        <f>INDEX(Daten!$N$7:$N$429,MATCH('2'!B419,Daten!$A$7:$A$429,0))</f>
        <v>9318792.7599999979</v>
      </c>
      <c r="H419" s="135">
        <f>INDEX(Daten!$P$7:$P$429,MATCH('2'!B419,Daten!$A$7:$A$429,0))</f>
        <v>4710395.67</v>
      </c>
      <c r="I419" s="135">
        <f>INDEX(Daten!$L$7:$L$429,MATCH('2'!B419,Daten!$A$7:$A$429,0))</f>
        <v>1299779.4999999998</v>
      </c>
      <c r="J419" s="135">
        <f>INDEX(Daten!$K$7:$K$429,MATCH('2'!B419,Daten!$A$7:$A$429,0))</f>
        <v>5313509.92</v>
      </c>
      <c r="K419" s="135">
        <f>INDEX(Daten!$O$7:$O$429,MATCH('2'!B419,Daten!$A$7:$A$429,0))</f>
        <v>74169.39</v>
      </c>
      <c r="L419" s="151">
        <f>INDEX(Daten!$Q$7:$Q$429,MATCH('2'!B419,Daten!$A$7:$A$429,0))</f>
        <v>450557.82</v>
      </c>
    </row>
    <row r="420" spans="1:12" ht="15" customHeight="1">
      <c r="A420" s="172" t="str">
        <f>Daten!C413</f>
        <v>JC Garmisch-Partenkirchen</v>
      </c>
      <c r="B420" s="214" t="str">
        <f>Daten!A413</f>
        <v>86302</v>
      </c>
      <c r="C420" s="172" t="str">
        <f>Daten!F413</f>
        <v>09</v>
      </c>
      <c r="D420" s="145" t="str">
        <f>Daten!E413</f>
        <v>Ia</v>
      </c>
      <c r="E420" s="282">
        <f>INDEX(Daten!$R$7:$R$429,MATCH('2'!B420,Daten!$A$7:$A$429,0))</f>
        <v>22714896.910000004</v>
      </c>
      <c r="F420" s="175">
        <f>INDEX(Daten!$M$7:$M$429,MATCH('2'!B420,Daten!$A$7:$A$429,0))</f>
        <v>8907527.790000001</v>
      </c>
      <c r="G420" s="135">
        <f>INDEX(Daten!$N$7:$N$429,MATCH('2'!B420,Daten!$A$7:$A$429,0))</f>
        <v>6317541.8500000015</v>
      </c>
      <c r="H420" s="135">
        <f>INDEX(Daten!$P$7:$P$429,MATCH('2'!B420,Daten!$A$7:$A$429,0))</f>
        <v>3206282.4000000008</v>
      </c>
      <c r="I420" s="135">
        <f>INDEX(Daten!$L$7:$L$429,MATCH('2'!B420,Daten!$A$7:$A$429,0))</f>
        <v>705382.91999999993</v>
      </c>
      <c r="J420" s="135">
        <f>INDEX(Daten!$K$7:$K$429,MATCH('2'!B420,Daten!$A$7:$A$429,0))</f>
        <v>3552617.9099999997</v>
      </c>
      <c r="K420" s="135">
        <f>INDEX(Daten!$O$7:$O$429,MATCH('2'!B420,Daten!$A$7:$A$429,0))</f>
        <v>25544.04</v>
      </c>
      <c r="L420" s="151">
        <f>INDEX(Daten!$Q$7:$Q$429,MATCH('2'!B420,Daten!$A$7:$A$429,0))</f>
        <v>263657.88</v>
      </c>
    </row>
    <row r="421" spans="1:12" ht="15" customHeight="1">
      <c r="A421" s="172" t="str">
        <f>Daten!C414</f>
        <v>JC Landsberg am Lech</v>
      </c>
      <c r="B421" s="214" t="str">
        <f>Daten!A414</f>
        <v>86304</v>
      </c>
      <c r="C421" s="172" t="str">
        <f>Daten!F414</f>
        <v>09</v>
      </c>
      <c r="D421" s="145" t="str">
        <f>Daten!E414</f>
        <v>Ia</v>
      </c>
      <c r="E421" s="282">
        <f>INDEX(Daten!$R$7:$R$429,MATCH('2'!B421,Daten!$A$7:$A$429,0))</f>
        <v>25521012.899999999</v>
      </c>
      <c r="F421" s="175">
        <f>INDEX(Daten!$M$7:$M$429,MATCH('2'!B421,Daten!$A$7:$A$429,0))</f>
        <v>10588531.039999999</v>
      </c>
      <c r="G421" s="135">
        <f>INDEX(Daten!$N$7:$N$429,MATCH('2'!B421,Daten!$A$7:$A$429,0))</f>
        <v>6919180.1800000006</v>
      </c>
      <c r="H421" s="135">
        <f>INDEX(Daten!$P$7:$P$429,MATCH('2'!B421,Daten!$A$7:$A$429,0))</f>
        <v>3650310.35</v>
      </c>
      <c r="I421" s="135">
        <f>INDEX(Daten!$L$7:$L$429,MATCH('2'!B421,Daten!$A$7:$A$429,0))</f>
        <v>1122108.8600000001</v>
      </c>
      <c r="J421" s="135">
        <f>INDEX(Daten!$K$7:$K$429,MATCH('2'!B421,Daten!$A$7:$A$429,0))</f>
        <v>3167393.98</v>
      </c>
      <c r="K421" s="135">
        <f>INDEX(Daten!$O$7:$O$429,MATCH('2'!B421,Daten!$A$7:$A$429,0))</f>
        <v>73488.490000000005</v>
      </c>
      <c r="L421" s="151">
        <f>INDEX(Daten!$Q$7:$Q$429,MATCH('2'!B421,Daten!$A$7:$A$429,0))</f>
        <v>402899.04</v>
      </c>
    </row>
    <row r="422" spans="1:12" ht="15" customHeight="1">
      <c r="A422" s="172" t="str">
        <f>Daten!C415</f>
        <v>JC Weilheim-Schongau</v>
      </c>
      <c r="B422" s="214" t="str">
        <f>Daten!A415</f>
        <v>86306</v>
      </c>
      <c r="C422" s="172" t="str">
        <f>Daten!F415</f>
        <v>09</v>
      </c>
      <c r="D422" s="145" t="str">
        <f>Daten!E415</f>
        <v>Ia</v>
      </c>
      <c r="E422" s="282">
        <f>INDEX(Daten!$R$7:$R$429,MATCH('2'!B422,Daten!$A$7:$A$429,0))</f>
        <v>37574275.57</v>
      </c>
      <c r="F422" s="175">
        <f>INDEX(Daten!$M$7:$M$429,MATCH('2'!B422,Daten!$A$7:$A$429,0))</f>
        <v>15450201.090000002</v>
      </c>
      <c r="G422" s="135">
        <f>INDEX(Daten!$N$7:$N$429,MATCH('2'!B422,Daten!$A$7:$A$429,0))</f>
        <v>10304837.089999998</v>
      </c>
      <c r="H422" s="135">
        <f>INDEX(Daten!$P$7:$P$429,MATCH('2'!B422,Daten!$A$7:$A$429,0))</f>
        <v>5145585.0900000017</v>
      </c>
      <c r="I422" s="135">
        <f>INDEX(Daten!$L$7:$L$429,MATCH('2'!B422,Daten!$A$7:$A$429,0))</f>
        <v>1955838.5399999996</v>
      </c>
      <c r="J422" s="135">
        <f>INDEX(Daten!$K$7:$K$429,MATCH('2'!B422,Daten!$A$7:$A$429,0))</f>
        <v>4501394</v>
      </c>
      <c r="K422" s="135">
        <f>INDEX(Daten!$O$7:$O$429,MATCH('2'!B422,Daten!$A$7:$A$429,0))</f>
        <v>216419.76</v>
      </c>
      <c r="L422" s="151">
        <f>INDEX(Daten!$Q$7:$Q$429,MATCH('2'!B422,Daten!$A$7:$A$429,0))</f>
        <v>379352.68999999994</v>
      </c>
    </row>
    <row r="423" spans="1:12" ht="15" customHeight="1">
      <c r="A423" s="172" t="str">
        <f>Daten!C416</f>
        <v>JC Fürstenfeldbruck</v>
      </c>
      <c r="B423" s="214" t="str">
        <f>Daten!A416</f>
        <v>86308</v>
      </c>
      <c r="C423" s="172" t="str">
        <f>Daten!F416</f>
        <v>09</v>
      </c>
      <c r="D423" s="145" t="str">
        <f>Daten!E416</f>
        <v>Ia</v>
      </c>
      <c r="E423" s="282">
        <f>INDEX(Daten!$R$7:$R$429,MATCH('2'!B423,Daten!$A$7:$A$429,0))</f>
        <v>70973540.790000021</v>
      </c>
      <c r="F423" s="175">
        <f>INDEX(Daten!$M$7:$M$429,MATCH('2'!B423,Daten!$A$7:$A$429,0))</f>
        <v>24440848.160000011</v>
      </c>
      <c r="G423" s="135">
        <f>INDEX(Daten!$N$7:$N$429,MATCH('2'!B423,Daten!$A$7:$A$429,0))</f>
        <v>25623411.380000003</v>
      </c>
      <c r="H423" s="135">
        <f>INDEX(Daten!$P$7:$P$429,MATCH('2'!B423,Daten!$A$7:$A$429,0))</f>
        <v>8714108.6999999993</v>
      </c>
      <c r="I423" s="135">
        <f>INDEX(Daten!$L$7:$L$429,MATCH('2'!B423,Daten!$A$7:$A$429,0))</f>
        <v>4877908.82</v>
      </c>
      <c r="J423" s="135">
        <f>INDEX(Daten!$K$7:$K$429,MATCH('2'!B423,Daten!$A$7:$A$429,0))</f>
        <v>7079834.0600000005</v>
      </c>
      <c r="K423" s="135">
        <f>INDEX(Daten!$O$7:$O$429,MATCH('2'!B423,Daten!$A$7:$A$429,0))</f>
        <v>237429.67</v>
      </c>
      <c r="L423" s="151">
        <f>INDEX(Daten!$Q$7:$Q$429,MATCH('2'!B423,Daten!$A$7:$A$429,0))</f>
        <v>1286569.03</v>
      </c>
    </row>
    <row r="424" spans="1:12" ht="15" customHeight="1">
      <c r="A424" s="172" t="str">
        <f>Daten!C417</f>
        <v>JC Starnberg</v>
      </c>
      <c r="B424" s="214" t="str">
        <f>Daten!A417</f>
        <v>86310</v>
      </c>
      <c r="C424" s="172" t="str">
        <f>Daten!F417</f>
        <v>09</v>
      </c>
      <c r="D424" s="145" t="str">
        <f>Daten!E417</f>
        <v>Ia</v>
      </c>
      <c r="E424" s="282">
        <f>INDEX(Daten!$R$7:$R$429,MATCH('2'!B424,Daten!$A$7:$A$429,0))</f>
        <v>31618448.670000002</v>
      </c>
      <c r="F424" s="175">
        <f>INDEX(Daten!$M$7:$M$429,MATCH('2'!B424,Daten!$A$7:$A$429,0))</f>
        <v>11434643.730000002</v>
      </c>
      <c r="G424" s="135">
        <f>INDEX(Daten!$N$7:$N$429,MATCH('2'!B424,Daten!$A$7:$A$429,0))</f>
        <v>10580290.040000001</v>
      </c>
      <c r="H424" s="135">
        <f>INDEX(Daten!$P$7:$P$429,MATCH('2'!B424,Daten!$A$7:$A$429,0))</f>
        <v>4069454.2100000004</v>
      </c>
      <c r="I424" s="135">
        <f>INDEX(Daten!$L$7:$L$429,MATCH('2'!B424,Daten!$A$7:$A$429,0))</f>
        <v>1257369.9699999997</v>
      </c>
      <c r="J424" s="135">
        <f>INDEX(Daten!$K$7:$K$429,MATCH('2'!B424,Daten!$A$7:$A$429,0))</f>
        <v>4109295.1799999997</v>
      </c>
      <c r="K424" s="135">
        <f>INDEX(Daten!$O$7:$O$429,MATCH('2'!B424,Daten!$A$7:$A$429,0))</f>
        <v>167395.53999999998</v>
      </c>
      <c r="L424" s="151">
        <f>INDEX(Daten!$Q$7:$Q$429,MATCH('2'!B424,Daten!$A$7:$A$429,0))</f>
        <v>394179.82</v>
      </c>
    </row>
    <row r="425" spans="1:12" ht="15" customHeight="1">
      <c r="A425" s="172" t="str">
        <f>Daten!C418</f>
        <v>JC Neukölln</v>
      </c>
      <c r="B425" s="214" t="str">
        <f>Daten!A418</f>
        <v>92202</v>
      </c>
      <c r="C425" s="172" t="str">
        <f>Daten!F418</f>
        <v>11</v>
      </c>
      <c r="D425" s="145" t="str">
        <f>Daten!E418</f>
        <v>IIIb</v>
      </c>
      <c r="E425" s="282">
        <f>INDEX(Daten!$R$7:$R$429,MATCH('2'!B425,Daten!$A$7:$A$429,0))</f>
        <v>615422675.13999987</v>
      </c>
      <c r="F425" s="175">
        <f>INDEX(Daten!$M$7:$M$429,MATCH('2'!B425,Daten!$A$7:$A$429,0))</f>
        <v>221217142.80000001</v>
      </c>
      <c r="G425" s="135">
        <f>INDEX(Daten!$N$7:$N$429,MATCH('2'!B425,Daten!$A$7:$A$429,0))</f>
        <v>205383284.30999994</v>
      </c>
      <c r="H425" s="135">
        <f>INDEX(Daten!$P$7:$P$429,MATCH('2'!B425,Daten!$A$7:$A$429,0))</f>
        <v>74136615.709999993</v>
      </c>
      <c r="I425" s="135">
        <f>INDEX(Daten!$L$7:$L$429,MATCH('2'!B425,Daten!$A$7:$A$429,0))</f>
        <v>49191141.660000004</v>
      </c>
      <c r="J425" s="135">
        <f>INDEX(Daten!$K$7:$K$429,MATCH('2'!B425,Daten!$A$7:$A$429,0))</f>
        <v>63292492.859999992</v>
      </c>
      <c r="K425" s="135">
        <f>INDEX(Daten!$O$7:$O$429,MATCH('2'!B425,Daten!$A$7:$A$429,0))</f>
        <v>2201997.7999999998</v>
      </c>
      <c r="L425" s="151">
        <f>INDEX(Daten!$Q$7:$Q$429,MATCH('2'!B425,Daten!$A$7:$A$429,0))</f>
        <v>3622696.3200000008</v>
      </c>
    </row>
    <row r="426" spans="1:12" ht="15" customHeight="1">
      <c r="A426" s="172" t="str">
        <f>Daten!C419</f>
        <v>JC Treptow-Köpenick</v>
      </c>
      <c r="B426" s="214" t="str">
        <f>Daten!A419</f>
        <v>92204</v>
      </c>
      <c r="C426" s="172" t="str">
        <f>Daten!F419</f>
        <v>11</v>
      </c>
      <c r="D426" s="145" t="str">
        <f>Daten!E419</f>
        <v>IIIb</v>
      </c>
      <c r="E426" s="282">
        <f>INDEX(Daten!$R$7:$R$429,MATCH('2'!B426,Daten!$A$7:$A$429,0))</f>
        <v>315133619.06999993</v>
      </c>
      <c r="F426" s="175">
        <f>INDEX(Daten!$M$7:$M$429,MATCH('2'!B426,Daten!$A$7:$A$429,0))</f>
        <v>114496271.20999999</v>
      </c>
      <c r="G426" s="135">
        <f>INDEX(Daten!$N$7:$N$429,MATCH('2'!B426,Daten!$A$7:$A$429,0))</f>
        <v>109082421.24000001</v>
      </c>
      <c r="H426" s="135">
        <f>INDEX(Daten!$P$7:$P$429,MATCH('2'!B426,Daten!$A$7:$A$429,0))</f>
        <v>36580220.849999994</v>
      </c>
      <c r="I426" s="135">
        <f>INDEX(Daten!$L$7:$L$429,MATCH('2'!B426,Daten!$A$7:$A$429,0))</f>
        <v>22056455.620000005</v>
      </c>
      <c r="J426" s="135">
        <f>INDEX(Daten!$K$7:$K$429,MATCH('2'!B426,Daten!$A$7:$A$429,0))</f>
        <v>31333042.82</v>
      </c>
      <c r="K426" s="135">
        <f>INDEX(Daten!$O$7:$O$429,MATCH('2'!B426,Daten!$A$7:$A$429,0))</f>
        <v>1585207.33</v>
      </c>
      <c r="L426" s="151">
        <f>INDEX(Daten!$Q$7:$Q$429,MATCH('2'!B426,Daten!$A$7:$A$429,0))</f>
        <v>1560660.5999999996</v>
      </c>
    </row>
    <row r="427" spans="1:12" ht="15" customHeight="1">
      <c r="A427" s="172" t="str">
        <f>Daten!C420</f>
        <v>JC Steglitz-Zehlendorf</v>
      </c>
      <c r="B427" s="214" t="str">
        <f>Daten!A420</f>
        <v>92208</v>
      </c>
      <c r="C427" s="172" t="str">
        <f>Daten!F420</f>
        <v>11</v>
      </c>
      <c r="D427" s="145" t="str">
        <f>Daten!E420</f>
        <v>IIIb</v>
      </c>
      <c r="E427" s="282">
        <f>INDEX(Daten!$R$7:$R$429,MATCH('2'!B427,Daten!$A$7:$A$429,0))</f>
        <v>216426674.39000002</v>
      </c>
      <c r="F427" s="175">
        <f>INDEX(Daten!$M$7:$M$429,MATCH('2'!B427,Daten!$A$7:$A$429,0))</f>
        <v>75615845.610000014</v>
      </c>
      <c r="G427" s="135">
        <f>INDEX(Daten!$N$7:$N$429,MATCH('2'!B427,Daten!$A$7:$A$429,0))</f>
        <v>80258532.549999997</v>
      </c>
      <c r="H427" s="135">
        <f>INDEX(Daten!$P$7:$P$429,MATCH('2'!B427,Daten!$A$7:$A$429,0))</f>
        <v>25367917.940000001</v>
      </c>
      <c r="I427" s="135">
        <f>INDEX(Daten!$L$7:$L$429,MATCH('2'!B427,Daten!$A$7:$A$429,0))</f>
        <v>12383077.6</v>
      </c>
      <c r="J427" s="135">
        <f>INDEX(Daten!$K$7:$K$429,MATCH('2'!B427,Daten!$A$7:$A$429,0))</f>
        <v>21692704.099999998</v>
      </c>
      <c r="K427" s="135">
        <f>INDEX(Daten!$O$7:$O$429,MATCH('2'!B427,Daten!$A$7:$A$429,0))</f>
        <v>1108596.5900000001</v>
      </c>
      <c r="L427" s="151">
        <f>INDEX(Daten!$Q$7:$Q$429,MATCH('2'!B427,Daten!$A$7:$A$429,0))</f>
        <v>1038235.8400000001</v>
      </c>
    </row>
    <row r="428" spans="1:12" ht="15" customHeight="1">
      <c r="A428" s="172" t="str">
        <f>Daten!C421</f>
        <v>JC Tempelhof-Schöneberg</v>
      </c>
      <c r="B428" s="214" t="str">
        <f>Daten!A421</f>
        <v>92210</v>
      </c>
      <c r="C428" s="172" t="str">
        <f>Daten!F421</f>
        <v>11</v>
      </c>
      <c r="D428" s="145" t="str">
        <f>Daten!E421</f>
        <v>IIIb</v>
      </c>
      <c r="E428" s="282">
        <f>INDEX(Daten!$R$7:$R$429,MATCH('2'!B428,Daten!$A$7:$A$429,0))</f>
        <v>447798609.06999993</v>
      </c>
      <c r="F428" s="175">
        <f>INDEX(Daten!$M$7:$M$429,MATCH('2'!B428,Daten!$A$7:$A$429,0))</f>
        <v>161363330.08000001</v>
      </c>
      <c r="G428" s="135">
        <f>INDEX(Daten!$N$7:$N$429,MATCH('2'!B428,Daten!$A$7:$A$429,0))</f>
        <v>152008772.19999996</v>
      </c>
      <c r="H428" s="135">
        <f>INDEX(Daten!$P$7:$P$429,MATCH('2'!B428,Daten!$A$7:$A$429,0))</f>
        <v>53014010.650000006</v>
      </c>
      <c r="I428" s="135">
        <f>INDEX(Daten!$L$7:$L$429,MATCH('2'!B428,Daten!$A$7:$A$429,0))</f>
        <v>32195592.09</v>
      </c>
      <c r="J428" s="135">
        <f>INDEX(Daten!$K$7:$K$429,MATCH('2'!B428,Daten!$A$7:$A$429,0))</f>
        <v>46927316.210000001</v>
      </c>
      <c r="K428" s="135">
        <f>INDEX(Daten!$O$7:$O$429,MATCH('2'!B428,Daten!$A$7:$A$429,0))</f>
        <v>2289587.8400000003</v>
      </c>
      <c r="L428" s="151">
        <f>INDEX(Daten!$Q$7:$Q$429,MATCH('2'!B428,Daten!$A$7:$A$429,0))</f>
        <v>2242238.39</v>
      </c>
    </row>
    <row r="429" spans="1:12" ht="15" customHeight="1">
      <c r="A429" s="172" t="str">
        <f>Daten!C422</f>
        <v>JC Charlottenburg-Wilmersdorf</v>
      </c>
      <c r="B429" s="214" t="str">
        <f>Daten!A422</f>
        <v>95502</v>
      </c>
      <c r="C429" s="172" t="str">
        <f>Daten!F422</f>
        <v>11</v>
      </c>
      <c r="D429" s="145" t="str">
        <f>Daten!E422</f>
        <v>IIIb</v>
      </c>
      <c r="E429" s="282">
        <f>INDEX(Daten!$R$7:$R$429,MATCH('2'!B429,Daten!$A$7:$A$429,0))</f>
        <v>327640755.0399999</v>
      </c>
      <c r="F429" s="175">
        <f>INDEX(Daten!$M$7:$M$429,MATCH('2'!B429,Daten!$A$7:$A$429,0))</f>
        <v>112483593.95999999</v>
      </c>
      <c r="G429" s="135">
        <f>INDEX(Daten!$N$7:$N$429,MATCH('2'!B429,Daten!$A$7:$A$429,0))</f>
        <v>120753270.96999997</v>
      </c>
      <c r="H429" s="135">
        <f>INDEX(Daten!$P$7:$P$429,MATCH('2'!B429,Daten!$A$7:$A$429,0))</f>
        <v>37184896.25999999</v>
      </c>
      <c r="I429" s="135">
        <f>INDEX(Daten!$L$7:$L$429,MATCH('2'!B429,Daten!$A$7:$A$429,0))</f>
        <v>23644357.910000004</v>
      </c>
      <c r="J429" s="135">
        <f>INDEX(Daten!$K$7:$K$429,MATCH('2'!B429,Daten!$A$7:$A$429,0))</f>
        <v>32223705.98</v>
      </c>
      <c r="K429" s="135">
        <f>INDEX(Daten!$O$7:$O$429,MATCH('2'!B429,Daten!$A$7:$A$429,0))</f>
        <v>1350929.96</v>
      </c>
      <c r="L429" s="151">
        <f>INDEX(Daten!$Q$7:$Q$429,MATCH('2'!B429,Daten!$A$7:$A$429,0))</f>
        <v>1332114.21</v>
      </c>
    </row>
    <row r="430" spans="1:12" ht="15" customHeight="1">
      <c r="A430" s="172" t="str">
        <f>Daten!C423</f>
        <v>JC Pankow</v>
      </c>
      <c r="B430" s="214" t="str">
        <f>Daten!A423</f>
        <v>95504</v>
      </c>
      <c r="C430" s="172" t="str">
        <f>Daten!F423</f>
        <v>11</v>
      </c>
      <c r="D430" s="145" t="str">
        <f>Daten!E423</f>
        <v>IIIb</v>
      </c>
      <c r="E430" s="282">
        <f>INDEX(Daten!$R$7:$R$429,MATCH('2'!B430,Daten!$A$7:$A$429,0))</f>
        <v>360387355.62999994</v>
      </c>
      <c r="F430" s="175">
        <f>INDEX(Daten!$M$7:$M$429,MATCH('2'!B430,Daten!$A$7:$A$429,0))</f>
        <v>129779623.60999997</v>
      </c>
      <c r="G430" s="135">
        <f>INDEX(Daten!$N$7:$N$429,MATCH('2'!B430,Daten!$A$7:$A$429,0))</f>
        <v>128464370.56999998</v>
      </c>
      <c r="H430" s="135">
        <f>INDEX(Daten!$P$7:$P$429,MATCH('2'!B430,Daten!$A$7:$A$429,0))</f>
        <v>41501468.769999996</v>
      </c>
      <c r="I430" s="135">
        <f>INDEX(Daten!$L$7:$L$429,MATCH('2'!B430,Daten!$A$7:$A$429,0))</f>
        <v>23321216.43</v>
      </c>
      <c r="J430" s="135">
        <f>INDEX(Daten!$K$7:$K$429,MATCH('2'!B430,Daten!$A$7:$A$429,0))</f>
        <v>35604157.740000002</v>
      </c>
      <c r="K430" s="135">
        <f>INDEX(Daten!$O$7:$O$429,MATCH('2'!B430,Daten!$A$7:$A$429,0))</f>
        <v>1716518.51</v>
      </c>
      <c r="L430" s="151">
        <f>INDEX(Daten!$Q$7:$Q$429,MATCH('2'!B430,Daten!$A$7:$A$429,0))</f>
        <v>1586393.3399999999</v>
      </c>
    </row>
    <row r="431" spans="1:12" ht="15" customHeight="1">
      <c r="A431" s="172" t="str">
        <f>Daten!C424</f>
        <v>JC Reinickendorf</v>
      </c>
      <c r="B431" s="214" t="str">
        <f>Daten!A424</f>
        <v>95506</v>
      </c>
      <c r="C431" s="172" t="str">
        <f>Daten!F424</f>
        <v>11</v>
      </c>
      <c r="D431" s="145" t="str">
        <f>Daten!E424</f>
        <v>IIIb</v>
      </c>
      <c r="E431" s="282">
        <f>INDEX(Daten!$R$7:$R$429,MATCH('2'!B431,Daten!$A$7:$A$429,0))</f>
        <v>388087180.72000009</v>
      </c>
      <c r="F431" s="175">
        <f>INDEX(Daten!$M$7:$M$429,MATCH('2'!B431,Daten!$A$7:$A$429,0))</f>
        <v>140504515.32000002</v>
      </c>
      <c r="G431" s="135">
        <f>INDEX(Daten!$N$7:$N$429,MATCH('2'!B431,Daten!$A$7:$A$429,0))</f>
        <v>131697733.61</v>
      </c>
      <c r="H431" s="135">
        <f>INDEX(Daten!$P$7:$P$429,MATCH('2'!B431,Daten!$A$7:$A$429,0))</f>
        <v>46945668.609999999</v>
      </c>
      <c r="I431" s="135">
        <f>INDEX(Daten!$L$7:$L$429,MATCH('2'!B431,Daten!$A$7:$A$429,0))</f>
        <v>29461146.879999999</v>
      </c>
      <c r="J431" s="135">
        <f>INDEX(Daten!$K$7:$K$429,MATCH('2'!B431,Daten!$A$7:$A$429,0))</f>
        <v>37779663.829999998</v>
      </c>
      <c r="K431" s="135">
        <f>INDEX(Daten!$O$7:$O$429,MATCH('2'!B431,Daten!$A$7:$A$429,0))</f>
        <v>1698452.47</v>
      </c>
      <c r="L431" s="151">
        <f>INDEX(Daten!$Q$7:$Q$429,MATCH('2'!B431,Daten!$A$7:$A$429,0))</f>
        <v>2270702.5400000005</v>
      </c>
    </row>
    <row r="432" spans="1:12" ht="15" customHeight="1">
      <c r="A432" s="172" t="str">
        <f>Daten!C425</f>
        <v>JC Spandau</v>
      </c>
      <c r="B432" s="214" t="str">
        <f>Daten!A425</f>
        <v>95508</v>
      </c>
      <c r="C432" s="172" t="str">
        <f>Daten!F425</f>
        <v>11</v>
      </c>
      <c r="D432" s="145" t="str">
        <f>Daten!E425</f>
        <v>IIIb</v>
      </c>
      <c r="E432" s="282">
        <f>INDEX(Daten!$R$7:$R$429,MATCH('2'!B432,Daten!$A$7:$A$429,0))</f>
        <v>439488189.00999993</v>
      </c>
      <c r="F432" s="175">
        <f>INDEX(Daten!$M$7:$M$429,MATCH('2'!B432,Daten!$A$7:$A$429,0))</f>
        <v>159224511.60999998</v>
      </c>
      <c r="G432" s="135">
        <f>INDEX(Daten!$N$7:$N$429,MATCH('2'!B432,Daten!$A$7:$A$429,0))</f>
        <v>152101348.58999997</v>
      </c>
      <c r="H432" s="135">
        <f>INDEX(Daten!$P$7:$P$429,MATCH('2'!B432,Daten!$A$7:$A$429,0))</f>
        <v>53190825.769999996</v>
      </c>
      <c r="I432" s="135">
        <f>INDEX(Daten!$L$7:$L$429,MATCH('2'!B432,Daten!$A$7:$A$429,0))</f>
        <v>30720823.699999999</v>
      </c>
      <c r="J432" s="135">
        <f>INDEX(Daten!$K$7:$K$429,MATCH('2'!B432,Daten!$A$7:$A$429,0))</f>
        <v>42363274.410000004</v>
      </c>
      <c r="K432" s="135">
        <f>INDEX(Daten!$O$7:$O$429,MATCH('2'!B432,Daten!$A$7:$A$429,0))</f>
        <v>1887404.9300000002</v>
      </c>
      <c r="L432" s="151">
        <f>INDEX(Daten!$Q$7:$Q$429,MATCH('2'!B432,Daten!$A$7:$A$429,0))</f>
        <v>2687751.61</v>
      </c>
    </row>
    <row r="433" spans="1:12" ht="15" customHeight="1">
      <c r="A433" s="172" t="str">
        <f>Daten!C426</f>
        <v>JC Friedrichshain-Kreuzberg</v>
      </c>
      <c r="B433" s="214" t="str">
        <f>Daten!A426</f>
        <v>96202</v>
      </c>
      <c r="C433" s="172" t="str">
        <f>Daten!F426</f>
        <v>11</v>
      </c>
      <c r="D433" s="145" t="str">
        <f>Daten!E426</f>
        <v>IIIb</v>
      </c>
      <c r="E433" s="282">
        <f>INDEX(Daten!$R$7:$R$429,MATCH('2'!B433,Daten!$A$7:$A$429,0))</f>
        <v>433205620.55000001</v>
      </c>
      <c r="F433" s="175">
        <f>INDEX(Daten!$M$7:$M$429,MATCH('2'!B433,Daten!$A$7:$A$429,0))</f>
        <v>150518447.22</v>
      </c>
      <c r="G433" s="135">
        <f>INDEX(Daten!$N$7:$N$429,MATCH('2'!B433,Daten!$A$7:$A$429,0))</f>
        <v>149459049.01000002</v>
      </c>
      <c r="H433" s="135">
        <f>INDEX(Daten!$P$7:$P$429,MATCH('2'!B433,Daten!$A$7:$A$429,0))</f>
        <v>50755831.870000005</v>
      </c>
      <c r="I433" s="135">
        <f>INDEX(Daten!$L$7:$L$429,MATCH('2'!B433,Daten!$A$7:$A$429,0))</f>
        <v>30761274.470000006</v>
      </c>
      <c r="J433" s="135">
        <f>INDEX(Daten!$K$7:$K$429,MATCH('2'!B433,Daten!$A$7:$A$429,0))</f>
        <v>50146662.469999991</v>
      </c>
      <c r="K433" s="135">
        <f>INDEX(Daten!$O$7:$O$429,MATCH('2'!B433,Daten!$A$7:$A$429,0))</f>
        <v>1564355.51</v>
      </c>
      <c r="L433" s="151">
        <f>INDEX(Daten!$Q$7:$Q$429,MATCH('2'!B433,Daten!$A$7:$A$429,0))</f>
        <v>1994258.98</v>
      </c>
    </row>
    <row r="434" spans="1:12" ht="15" customHeight="1">
      <c r="A434" s="172" t="str">
        <f>Daten!C427</f>
        <v>JC Mitte</v>
      </c>
      <c r="B434" s="214" t="str">
        <f>Daten!A427</f>
        <v>96204</v>
      </c>
      <c r="C434" s="172" t="str">
        <f>Daten!F427</f>
        <v>11</v>
      </c>
      <c r="D434" s="145" t="str">
        <f>Daten!E427</f>
        <v>IIIb</v>
      </c>
      <c r="E434" s="282">
        <f>INDEX(Daten!$R$7:$R$429,MATCH('2'!B434,Daten!$A$7:$A$429,0))</f>
        <v>688157360.0200001</v>
      </c>
      <c r="F434" s="175">
        <f>INDEX(Daten!$M$7:$M$429,MATCH('2'!B434,Daten!$A$7:$A$429,0))</f>
        <v>246357094.16000003</v>
      </c>
      <c r="G434" s="135">
        <f>INDEX(Daten!$N$7:$N$429,MATCH('2'!B434,Daten!$A$7:$A$429,0))</f>
        <v>235913477.31999996</v>
      </c>
      <c r="H434" s="135">
        <f>INDEX(Daten!$P$7:$P$429,MATCH('2'!B434,Daten!$A$7:$A$429,0))</f>
        <v>81837842.690000042</v>
      </c>
      <c r="I434" s="135">
        <f>INDEX(Daten!$L$7:$L$429,MATCH('2'!B434,Daten!$A$7:$A$429,0))</f>
        <v>52542627.119999997</v>
      </c>
      <c r="J434" s="135">
        <f>INDEX(Daten!$K$7:$K$429,MATCH('2'!B434,Daten!$A$7:$A$429,0))</f>
        <v>69137793.769999996</v>
      </c>
      <c r="K434" s="135">
        <f>INDEX(Daten!$O$7:$O$429,MATCH('2'!B434,Daten!$A$7:$A$429,0))</f>
        <v>2368524.96</v>
      </c>
      <c r="L434" s="151">
        <f>INDEX(Daten!$Q$7:$Q$429,MATCH('2'!B434,Daten!$A$7:$A$429,0))</f>
        <v>3667164.2800000003</v>
      </c>
    </row>
    <row r="435" spans="1:12" ht="15" customHeight="1">
      <c r="A435" s="172" t="str">
        <f>Daten!C428</f>
        <v>JC Marzahn-Hellersdorf</v>
      </c>
      <c r="B435" s="214" t="str">
        <f>Daten!A428</f>
        <v>96206</v>
      </c>
      <c r="C435" s="172" t="str">
        <f>Daten!F428</f>
        <v>11</v>
      </c>
      <c r="D435" s="145" t="str">
        <f>Daten!E428</f>
        <v>IIIb</v>
      </c>
      <c r="E435" s="282">
        <f>INDEX(Daten!$R$7:$R$429,MATCH('2'!B435,Daten!$A$7:$A$429,0))</f>
        <v>384988621.0800001</v>
      </c>
      <c r="F435" s="175">
        <f>INDEX(Daten!$M$7:$M$429,MATCH('2'!B435,Daten!$A$7:$A$429,0))</f>
        <v>143722447.60000008</v>
      </c>
      <c r="G435" s="135">
        <f>INDEX(Daten!$N$7:$N$429,MATCH('2'!B435,Daten!$A$7:$A$429,0))</f>
        <v>122963701.82000002</v>
      </c>
      <c r="H435" s="135">
        <f>INDEX(Daten!$P$7:$P$429,MATCH('2'!B435,Daten!$A$7:$A$429,0))</f>
        <v>47343801.619999997</v>
      </c>
      <c r="I435" s="135">
        <f>INDEX(Daten!$L$7:$L$429,MATCH('2'!B435,Daten!$A$7:$A$429,0))</f>
        <v>30166378.539999999</v>
      </c>
      <c r="J435" s="135">
        <f>INDEX(Daten!$K$7:$K$429,MATCH('2'!B435,Daten!$A$7:$A$429,0))</f>
        <v>38865884.559999995</v>
      </c>
      <c r="K435" s="135">
        <f>INDEX(Daten!$O$7:$O$429,MATCH('2'!B435,Daten!$A$7:$A$429,0))</f>
        <v>1926406.94</v>
      </c>
      <c r="L435" s="151">
        <f>INDEX(Daten!$Q$7:$Q$429,MATCH('2'!B435,Daten!$A$7:$A$429,0))</f>
        <v>2162775.0099999998</v>
      </c>
    </row>
    <row r="436" spans="1:12" ht="15" customHeight="1">
      <c r="A436" s="173" t="str">
        <f>Daten!C429</f>
        <v>JC Lichtenberg</v>
      </c>
      <c r="B436" s="215" t="str">
        <f>Daten!A429</f>
        <v>96208</v>
      </c>
      <c r="C436" s="173" t="str">
        <f>Daten!F429</f>
        <v>11</v>
      </c>
      <c r="D436" s="146" t="str">
        <f>Daten!E429</f>
        <v>IIIb</v>
      </c>
      <c r="E436" s="283">
        <f>INDEX(Daten!$R$7:$R$429,MATCH('2'!B436,Daten!$A$7:$A$429,0))</f>
        <v>403573377.90000004</v>
      </c>
      <c r="F436" s="176">
        <f>INDEX(Daten!$M$7:$M$429,MATCH('2'!B436,Daten!$A$7:$A$429,0))</f>
        <v>150614642.40000001</v>
      </c>
      <c r="G436" s="166">
        <f>INDEX(Daten!$N$7:$N$429,MATCH('2'!B436,Daten!$A$7:$A$429,0))</f>
        <v>131577569.15000004</v>
      </c>
      <c r="H436" s="166">
        <f>INDEX(Daten!$P$7:$P$429,MATCH('2'!B436,Daten!$A$7:$A$429,0))</f>
        <v>48913571.13000001</v>
      </c>
      <c r="I436" s="166">
        <f>INDEX(Daten!$L$7:$L$429,MATCH('2'!B436,Daten!$A$7:$A$429,0))</f>
        <v>28424274.110000003</v>
      </c>
      <c r="J436" s="166">
        <f>INDEX(Daten!$K$7:$K$429,MATCH('2'!B436,Daten!$A$7:$A$429,0))</f>
        <v>42338485.689999998</v>
      </c>
      <c r="K436" s="166">
        <f>INDEX(Daten!$O$7:$O$429,MATCH('2'!B436,Daten!$A$7:$A$429,0))</f>
        <v>1704835.4200000004</v>
      </c>
      <c r="L436" s="167">
        <f>INDEX(Daten!$Q$7:$Q$429,MATCH('2'!B436,Daten!$A$7:$A$429,0))</f>
        <v>2131743.48</v>
      </c>
    </row>
    <row r="437" spans="1:12" ht="11.25" customHeight="1">
      <c r="A437" s="43"/>
      <c r="B437" s="44"/>
      <c r="C437" s="44"/>
      <c r="D437" s="44"/>
      <c r="E437" s="44"/>
      <c r="F437" s="44"/>
      <c r="G437" s="44"/>
      <c r="H437" s="45"/>
      <c r="I437" s="45"/>
      <c r="J437" s="45"/>
      <c r="K437" s="45"/>
      <c r="L437" s="70" t="s">
        <v>0</v>
      </c>
    </row>
    <row r="438" spans="1:12" ht="11.25" customHeight="1">
      <c r="A438" s="9"/>
      <c r="B438" s="9"/>
      <c r="C438" s="9"/>
      <c r="D438" s="9"/>
      <c r="E438" s="9"/>
      <c r="F438" s="9"/>
      <c r="G438" s="9"/>
      <c r="H438" s="10"/>
      <c r="I438" s="10"/>
      <c r="J438" s="10"/>
      <c r="K438" s="10"/>
      <c r="L438" s="48"/>
    </row>
    <row r="439" spans="1:12" s="42" customFormat="1" ht="27" customHeight="1">
      <c r="A439" s="399" t="str">
        <f>Steuerung_Eckwerte!I10</f>
        <v>¹ Umfasst alle Eingliederungsleistungen nach § 16 ff. SGB II (ohne kommunale Eingliederungsleistungen gem. § 16a SGB II), die durch den Bund erstattungsfähig sind. Die Kosten für die Eignungsfeststellung nach § 16 SGB II in Verbindung mit § 32 SGB III können sowohl über das Verwaltungsbudget als auch als Eingliederungsleistung abgerechnet werden.</v>
      </c>
      <c r="B439" s="399"/>
      <c r="C439" s="399"/>
      <c r="D439" s="399"/>
      <c r="E439" s="399"/>
      <c r="F439" s="399"/>
      <c r="G439" s="399"/>
      <c r="H439" s="399"/>
      <c r="I439" s="399"/>
      <c r="J439" s="399"/>
      <c r="K439" s="399"/>
      <c r="L439" s="399"/>
    </row>
    <row r="440" spans="1:12" s="42" customFormat="1" ht="22.5" customHeight="1">
      <c r="A440" s="399" t="str">
        <f>Steuerung_Eckwerte!I11</f>
        <v>² Die Ausgaben für überörtliche Verwaltungsaufgaben der BA sowie für sonstige überörtlich wahrzunehmende Aufgaben der BA (z.B. SGB II-Statistik) und Sonderbedarfe (z.B. für Organisationsänderungen gemäß § 6a Absatz 7 SGB II und für die Umsetzung der Bundesprogramme) sind nicht enthalten.</v>
      </c>
      <c r="B440" s="399"/>
      <c r="C440" s="399"/>
      <c r="D440" s="399"/>
      <c r="E440" s="399"/>
      <c r="F440" s="399"/>
      <c r="G440" s="399"/>
      <c r="H440" s="399"/>
      <c r="I440" s="399"/>
      <c r="J440" s="399"/>
      <c r="K440" s="399"/>
      <c r="L440" s="399"/>
    </row>
    <row r="441" spans="1:12" s="42" customFormat="1" ht="11.25" customHeight="1">
      <c r="A441" s="399" t="str">
        <f>Steuerung_Eckwerte!I12</f>
        <v>³ Die Verwaltungsausgaben beinhalten nicht den kommunalen Finanzierungsanteil.</v>
      </c>
      <c r="B441" s="399"/>
      <c r="C441" s="399"/>
      <c r="D441" s="399"/>
      <c r="E441" s="399"/>
      <c r="F441" s="399"/>
      <c r="G441" s="399"/>
      <c r="H441" s="399"/>
      <c r="I441" s="399"/>
      <c r="J441" s="399"/>
      <c r="K441" s="399"/>
      <c r="L441" s="399"/>
    </row>
    <row r="442" spans="1:12" s="42" customFormat="1" ht="33.75" customHeight="1">
      <c r="A442" s="399" t="str">
        <f>Steuerung_Eckwerte!I13</f>
        <v>⁴ Für die Leistungen für Bildung und Teilhabe nach § 28 SGB II besteht noch keine vollständige Datenübermittlung. Aus diesem Grund werden die Ausgaben für Bildung und Teilhabe nur nachrichtlich für die einzelnen Jobcenter berichtet und fließen daher auch nicht in die Insgesamtsumme ein. Es werden keine Summen für Deutschland, Westdeutschland, Ostdeutschland und für die Bundesländer gebildet. Ein Vorjahresvergleich ist nur eingeschränkt möglich.</v>
      </c>
      <c r="B442" s="399"/>
      <c r="C442" s="399"/>
      <c r="D442" s="399"/>
      <c r="E442" s="399"/>
      <c r="F442" s="399"/>
      <c r="G442" s="399"/>
      <c r="H442" s="399"/>
      <c r="I442" s="399"/>
      <c r="J442" s="399"/>
      <c r="K442" s="399"/>
      <c r="L442" s="399"/>
    </row>
    <row r="443" spans="1:12" s="42" customFormat="1" ht="11.25" customHeight="1">
      <c r="A443" s="399" t="str">
        <f>Steuerung_Eckwerte!I14</f>
        <v>⁵ Aufgrund von Änderungen in der Regionalzuordnung von Gemeinden zu Jobcentern ist ein Vergleich mit dem Vorjahr nur eingeschränkt möglich.</v>
      </c>
      <c r="B443" s="399"/>
      <c r="C443" s="399"/>
      <c r="D443" s="399"/>
      <c r="E443" s="399"/>
      <c r="F443" s="399"/>
      <c r="G443" s="399"/>
      <c r="H443" s="399"/>
      <c r="I443" s="399"/>
      <c r="J443" s="399"/>
      <c r="K443" s="399"/>
      <c r="L443" s="399"/>
    </row>
  </sheetData>
  <autoFilter ref="A13:D437" xr:uid="{42A2E15A-2E6C-4976-9079-20413B4E4F1E}"/>
  <mergeCells count="12">
    <mergeCell ref="A442:L442"/>
    <mergeCell ref="A441:L441"/>
    <mergeCell ref="A443:L443"/>
    <mergeCell ref="K3:L3"/>
    <mergeCell ref="A440:L440"/>
    <mergeCell ref="E11:E12"/>
    <mergeCell ref="A9:L9"/>
    <mergeCell ref="F11:K11"/>
    <mergeCell ref="L11:L12"/>
    <mergeCell ref="A439:L439"/>
    <mergeCell ref="A8:L8"/>
    <mergeCell ref="A7:L7"/>
  </mergeCells>
  <hyperlinks>
    <hyperlink ref="K3:L3" location="Inhaltsverzeichnis!A1" tooltip="zurück zum Inhalt" display="zurück zum Inhalt" xr:uid="{00000000-0004-0000-0400-000000000000}"/>
  </hyperlinks>
  <printOptions horizontalCentered="1"/>
  <pageMargins left="0.51181102362204722" right="0.31496062992125984" top="0.39370078740157483" bottom="0.78740157480314965" header="0.31496062992125984" footer="0.31496062992125984"/>
  <pageSetup paperSize="9" scale="63"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A1589-B171-404B-94F0-567CAA7D7C4B}">
  <sheetPr codeName="Tabelle4">
    <pageSetUpPr autoPageBreaks="0"/>
  </sheetPr>
  <dimension ref="A1:L418"/>
  <sheetViews>
    <sheetView showGridLines="0" zoomScaleNormal="100" zoomScaleSheetLayoutView="100" workbookViewId="0">
      <pane ySplit="10" topLeftCell="A11" activePane="bottomLeft" state="frozen"/>
      <selection activeCell="A417" sqref="A417"/>
      <selection pane="bottomLeft"/>
    </sheetView>
  </sheetViews>
  <sheetFormatPr baseColWidth="10" defaultColWidth="11.42578125" defaultRowHeight="15"/>
  <cols>
    <col min="1" max="1" width="29.42578125" style="219" customWidth="1"/>
    <col min="2" max="4" width="6.42578125" style="219" customWidth="1"/>
    <col min="5" max="9" width="12.85546875" style="220" customWidth="1"/>
    <col min="10" max="10" width="11.42578125" style="219"/>
    <col min="11" max="11" width="11.42578125" style="219" customWidth="1"/>
    <col min="12" max="16384" width="11.42578125" style="219"/>
  </cols>
  <sheetData>
    <row r="1" spans="1:12" s="1" customFormat="1" ht="33.75" customHeight="1">
      <c r="A1" s="79"/>
      <c r="B1" s="79"/>
      <c r="C1" s="79"/>
      <c r="D1" s="80"/>
      <c r="E1" s="80"/>
      <c r="F1" s="80"/>
      <c r="G1" s="80"/>
      <c r="H1" s="81"/>
      <c r="I1" s="81" t="s">
        <v>678</v>
      </c>
      <c r="J1" s="92"/>
      <c r="K1" s="92"/>
      <c r="L1" s="92"/>
    </row>
    <row r="2" spans="1:12" s="239" customFormat="1" ht="11.25" customHeight="1">
      <c r="E2" s="240"/>
      <c r="F2" s="240"/>
      <c r="G2" s="240"/>
      <c r="H2" s="240"/>
      <c r="I2" s="240"/>
    </row>
    <row r="3" spans="1:12" ht="15" customHeight="1">
      <c r="A3" s="410" t="s">
        <v>1052</v>
      </c>
      <c r="B3" s="410"/>
      <c r="C3" s="410"/>
      <c r="D3" s="410"/>
      <c r="E3" s="410"/>
      <c r="F3" s="410"/>
      <c r="G3" s="410"/>
      <c r="H3" s="411" t="s">
        <v>950</v>
      </c>
      <c r="I3" s="411"/>
    </row>
    <row r="4" spans="1:12" ht="11.25" customHeight="1">
      <c r="A4" s="238" t="s">
        <v>1195</v>
      </c>
      <c r="B4" s="238"/>
      <c r="C4" s="238"/>
      <c r="D4" s="238"/>
    </row>
    <row r="5" spans="1:12" ht="11.25" customHeight="1">
      <c r="A5" s="237" t="s">
        <v>1196</v>
      </c>
      <c r="B5" s="237"/>
      <c r="C5" s="237"/>
      <c r="D5" s="237"/>
    </row>
    <row r="6" spans="1:12" ht="11.25" customHeight="1"/>
    <row r="7" spans="1:12" s="236" customFormat="1">
      <c r="A7" s="216"/>
      <c r="B7" s="217"/>
      <c r="C7" s="217"/>
      <c r="D7" s="217"/>
      <c r="E7" s="412" t="s">
        <v>1051</v>
      </c>
      <c r="F7" s="413" t="s">
        <v>1050</v>
      </c>
      <c r="G7" s="415" t="s">
        <v>1049</v>
      </c>
      <c r="H7" s="416"/>
      <c r="I7" s="417"/>
    </row>
    <row r="8" spans="1:12" s="236" customFormat="1">
      <c r="A8" s="396" t="s">
        <v>1017</v>
      </c>
      <c r="B8" s="418" t="s">
        <v>732</v>
      </c>
      <c r="C8" s="418" t="s">
        <v>1018</v>
      </c>
      <c r="D8" s="418" t="s">
        <v>1019</v>
      </c>
      <c r="E8" s="406"/>
      <c r="F8" s="414"/>
      <c r="G8" s="406" t="s">
        <v>1048</v>
      </c>
      <c r="H8" s="408" t="s">
        <v>1047</v>
      </c>
      <c r="I8" s="409"/>
    </row>
    <row r="9" spans="1:12" ht="56.25" customHeight="1">
      <c r="A9" s="396"/>
      <c r="B9" s="418"/>
      <c r="C9" s="418"/>
      <c r="D9" s="418"/>
      <c r="E9" s="407"/>
      <c r="F9" s="409"/>
      <c r="G9" s="407"/>
      <c r="H9" s="235" t="s">
        <v>1046</v>
      </c>
      <c r="I9" s="234" t="s">
        <v>1045</v>
      </c>
    </row>
    <row r="10" spans="1:12" ht="11.25" customHeight="1">
      <c r="A10" s="233"/>
      <c r="B10" s="232"/>
      <c r="C10" s="232"/>
      <c r="D10" s="232"/>
      <c r="E10" s="309">
        <v>1</v>
      </c>
      <c r="F10" s="310">
        <v>2</v>
      </c>
      <c r="G10" s="311">
        <v>3</v>
      </c>
      <c r="H10" s="309">
        <v>4</v>
      </c>
      <c r="I10" s="309">
        <v>5</v>
      </c>
    </row>
    <row r="11" spans="1:12" s="230" customFormat="1" ht="15" customHeight="1">
      <c r="A11" s="231" t="s">
        <v>388</v>
      </c>
      <c r="B11" s="204" t="s">
        <v>713</v>
      </c>
      <c r="C11" s="204" t="s">
        <v>713</v>
      </c>
      <c r="D11" s="306"/>
      <c r="E11" s="300">
        <v>2931462.9166597254</v>
      </c>
      <c r="F11" s="300">
        <v>5766789.8333403692</v>
      </c>
      <c r="G11" s="301">
        <v>5501028.2500074878</v>
      </c>
      <c r="H11" s="301">
        <v>3987699.5833433699</v>
      </c>
      <c r="I11" s="302">
        <v>1513328.6666641301</v>
      </c>
    </row>
    <row r="12" spans="1:12" ht="15" customHeight="1">
      <c r="A12" s="229" t="s">
        <v>389</v>
      </c>
      <c r="B12" s="228" t="s">
        <v>714</v>
      </c>
      <c r="C12" s="228" t="s">
        <v>714</v>
      </c>
      <c r="D12" s="307"/>
      <c r="E12" s="298">
        <v>2220341.9166597254</v>
      </c>
      <c r="F12" s="298">
        <v>4460279.8333403682</v>
      </c>
      <c r="G12" s="297">
        <v>4262943.5833408209</v>
      </c>
      <c r="H12" s="297">
        <v>3061166.3333433699</v>
      </c>
      <c r="I12" s="299">
        <v>1201777.2499974633</v>
      </c>
    </row>
    <row r="13" spans="1:12" ht="15" customHeight="1">
      <c r="A13" s="226" t="s">
        <v>390</v>
      </c>
      <c r="B13" s="225" t="s">
        <v>715</v>
      </c>
      <c r="C13" s="225" t="s">
        <v>715</v>
      </c>
      <c r="D13" s="308"/>
      <c r="E13" s="303">
        <v>711121</v>
      </c>
      <c r="F13" s="303">
        <v>1306510</v>
      </c>
      <c r="G13" s="304">
        <v>1238084.6666666667</v>
      </c>
      <c r="H13" s="304">
        <v>926533.25</v>
      </c>
      <c r="I13" s="305">
        <v>311551.41666666669</v>
      </c>
    </row>
    <row r="14" spans="1:12" ht="15" customHeight="1">
      <c r="A14" s="6" t="s">
        <v>1199</v>
      </c>
      <c r="B14" s="6" t="s">
        <v>903</v>
      </c>
      <c r="C14" s="6" t="s">
        <v>728</v>
      </c>
      <c r="D14" s="294" t="s">
        <v>884</v>
      </c>
      <c r="E14" s="298">
        <v>10592.583333333334</v>
      </c>
      <c r="F14" s="298">
        <v>18498.5</v>
      </c>
      <c r="G14" s="297">
        <v>17111.833333333332</v>
      </c>
      <c r="H14" s="297">
        <v>13370.916666666666</v>
      </c>
      <c r="I14" s="299">
        <v>3740.9166666666665</v>
      </c>
    </row>
    <row r="15" spans="1:12" ht="15" customHeight="1">
      <c r="A15" s="7" t="s">
        <v>912</v>
      </c>
      <c r="B15" s="7" t="s">
        <v>391</v>
      </c>
      <c r="C15" s="7" t="s">
        <v>728</v>
      </c>
      <c r="D15" s="295" t="s">
        <v>884</v>
      </c>
      <c r="E15" s="298">
        <v>7214.916666666667</v>
      </c>
      <c r="F15" s="298">
        <v>12801</v>
      </c>
      <c r="G15" s="297">
        <v>11941.5</v>
      </c>
      <c r="H15" s="297">
        <v>9079.5</v>
      </c>
      <c r="I15" s="299">
        <v>2862</v>
      </c>
    </row>
    <row r="16" spans="1:12" ht="15" customHeight="1">
      <c r="A16" s="7" t="s">
        <v>911</v>
      </c>
      <c r="B16" s="7" t="s">
        <v>392</v>
      </c>
      <c r="C16" s="7" t="s">
        <v>728</v>
      </c>
      <c r="D16" s="295" t="s">
        <v>884</v>
      </c>
      <c r="E16" s="298">
        <v>4790.75</v>
      </c>
      <c r="F16" s="298">
        <v>8188.5</v>
      </c>
      <c r="G16" s="297">
        <v>7491.583333333333</v>
      </c>
      <c r="H16" s="297">
        <v>5845.333333333333</v>
      </c>
      <c r="I16" s="299">
        <v>1646.25</v>
      </c>
    </row>
    <row r="17" spans="1:9" ht="15" customHeight="1">
      <c r="A17" s="7" t="s">
        <v>4</v>
      </c>
      <c r="B17" s="7" t="s">
        <v>393</v>
      </c>
      <c r="C17" s="7" t="s">
        <v>728</v>
      </c>
      <c r="D17" s="295" t="s">
        <v>885</v>
      </c>
      <c r="E17" s="298">
        <v>9801.5833333333339</v>
      </c>
      <c r="F17" s="298">
        <v>16261.083333333334</v>
      </c>
      <c r="G17" s="297">
        <v>15243.666666666666</v>
      </c>
      <c r="H17" s="297">
        <v>11928.5</v>
      </c>
      <c r="I17" s="299">
        <v>3315.1666666666665</v>
      </c>
    </row>
    <row r="18" spans="1:9" ht="15" customHeight="1">
      <c r="A18" s="7" t="s">
        <v>978</v>
      </c>
      <c r="B18" s="7" t="s">
        <v>394</v>
      </c>
      <c r="C18" s="7" t="s">
        <v>728</v>
      </c>
      <c r="D18" s="295" t="s">
        <v>881</v>
      </c>
      <c r="E18" s="298">
        <v>6813.75</v>
      </c>
      <c r="F18" s="298">
        <v>12325.666666666666</v>
      </c>
      <c r="G18" s="297">
        <v>11432.25</v>
      </c>
      <c r="H18" s="297">
        <v>8659.0833333333339</v>
      </c>
      <c r="I18" s="299">
        <v>2773.1666666666665</v>
      </c>
    </row>
    <row r="19" spans="1:9" ht="15" customHeight="1">
      <c r="A19" s="7" t="s">
        <v>5</v>
      </c>
      <c r="B19" s="7" t="s">
        <v>395</v>
      </c>
      <c r="C19" s="7" t="s">
        <v>728</v>
      </c>
      <c r="D19" s="295" t="s">
        <v>885</v>
      </c>
      <c r="E19" s="298">
        <v>6133.583333333333</v>
      </c>
      <c r="F19" s="298">
        <v>11336.25</v>
      </c>
      <c r="G19" s="297">
        <v>10687.75</v>
      </c>
      <c r="H19" s="297">
        <v>7975.583333333333</v>
      </c>
      <c r="I19" s="299">
        <v>2712.1666666666665</v>
      </c>
    </row>
    <row r="20" spans="1:9" ht="15" customHeight="1">
      <c r="A20" s="7" t="s">
        <v>6</v>
      </c>
      <c r="B20" s="7" t="s">
        <v>396</v>
      </c>
      <c r="C20" s="7" t="s">
        <v>728</v>
      </c>
      <c r="D20" s="295" t="s">
        <v>881</v>
      </c>
      <c r="E20" s="298">
        <v>5266.333333333333</v>
      </c>
      <c r="F20" s="298">
        <v>9373.1666666666661</v>
      </c>
      <c r="G20" s="297">
        <v>8650.75</v>
      </c>
      <c r="H20" s="297">
        <v>6661.583333333333</v>
      </c>
      <c r="I20" s="299">
        <v>1989.1666666666667</v>
      </c>
    </row>
    <row r="21" spans="1:9" ht="15" customHeight="1">
      <c r="A21" s="7" t="s">
        <v>774</v>
      </c>
      <c r="B21" s="7" t="s">
        <v>397</v>
      </c>
      <c r="C21" s="7" t="s">
        <v>728</v>
      </c>
      <c r="D21" s="295" t="s">
        <v>884</v>
      </c>
      <c r="E21" s="298">
        <v>6332</v>
      </c>
      <c r="F21" s="298">
        <v>11712.5</v>
      </c>
      <c r="G21" s="297">
        <v>10792.916666666666</v>
      </c>
      <c r="H21" s="297">
        <v>8074.333333333333</v>
      </c>
      <c r="I21" s="299">
        <v>2718.5833333333335</v>
      </c>
    </row>
    <row r="22" spans="1:9" ht="15" customHeight="1">
      <c r="A22" s="7" t="s">
        <v>888</v>
      </c>
      <c r="B22" s="7" t="s">
        <v>862</v>
      </c>
      <c r="C22" s="7" t="s">
        <v>728</v>
      </c>
      <c r="D22" s="295" t="s">
        <v>884</v>
      </c>
      <c r="E22" s="298">
        <v>9495.0833333333339</v>
      </c>
      <c r="F22" s="298">
        <v>16003.5</v>
      </c>
      <c r="G22" s="297">
        <v>15395.75</v>
      </c>
      <c r="H22" s="297">
        <v>11828.25</v>
      </c>
      <c r="I22" s="299">
        <v>3567.5</v>
      </c>
    </row>
    <row r="23" spans="1:9" ht="15" customHeight="1">
      <c r="A23" s="7" t="s">
        <v>7</v>
      </c>
      <c r="B23" s="7" t="s">
        <v>398</v>
      </c>
      <c r="C23" s="7" t="s">
        <v>727</v>
      </c>
      <c r="D23" s="295" t="s">
        <v>885</v>
      </c>
      <c r="E23" s="298">
        <v>5610.166666666667</v>
      </c>
      <c r="F23" s="298">
        <v>10229.5</v>
      </c>
      <c r="G23" s="297">
        <v>9652.0833333333339</v>
      </c>
      <c r="H23" s="297">
        <v>7171.083333333333</v>
      </c>
      <c r="I23" s="299">
        <v>2481</v>
      </c>
    </row>
    <row r="24" spans="1:9" ht="15" customHeight="1">
      <c r="A24" s="7" t="s">
        <v>8</v>
      </c>
      <c r="B24" s="7" t="s">
        <v>399</v>
      </c>
      <c r="C24" s="7" t="s">
        <v>727</v>
      </c>
      <c r="D24" s="295" t="s">
        <v>884</v>
      </c>
      <c r="E24" s="298">
        <v>3612</v>
      </c>
      <c r="F24" s="298">
        <v>6237.416666666667</v>
      </c>
      <c r="G24" s="297">
        <v>5849.166666666667</v>
      </c>
      <c r="H24" s="297">
        <v>4476.666666666667</v>
      </c>
      <c r="I24" s="299">
        <v>1372.5</v>
      </c>
    </row>
    <row r="25" spans="1:9" ht="15" customHeight="1">
      <c r="A25" s="7" t="s">
        <v>9</v>
      </c>
      <c r="B25" s="7" t="s">
        <v>400</v>
      </c>
      <c r="C25" s="7" t="s">
        <v>727</v>
      </c>
      <c r="D25" s="295" t="s">
        <v>884</v>
      </c>
      <c r="E25" s="298">
        <v>4491.75</v>
      </c>
      <c r="F25" s="298">
        <v>7801.416666666667</v>
      </c>
      <c r="G25" s="297">
        <v>7284.083333333333</v>
      </c>
      <c r="H25" s="297">
        <v>5624.833333333333</v>
      </c>
      <c r="I25" s="299">
        <v>1659.25</v>
      </c>
    </row>
    <row r="26" spans="1:9" ht="15" customHeight="1">
      <c r="A26" s="7" t="s">
        <v>24</v>
      </c>
      <c r="B26" s="7" t="s">
        <v>859</v>
      </c>
      <c r="C26" s="7" t="s">
        <v>727</v>
      </c>
      <c r="D26" s="295" t="s">
        <v>885</v>
      </c>
      <c r="E26" s="298">
        <v>4137.5</v>
      </c>
      <c r="F26" s="298">
        <v>7632.833333333333</v>
      </c>
      <c r="G26" s="297">
        <v>7179.166666666667</v>
      </c>
      <c r="H26" s="297">
        <v>5285.083333333333</v>
      </c>
      <c r="I26" s="299">
        <v>1894.0833333333333</v>
      </c>
    </row>
    <row r="27" spans="1:9" ht="15" customHeight="1">
      <c r="A27" s="7" t="s">
        <v>10</v>
      </c>
      <c r="B27" s="7" t="s">
        <v>401</v>
      </c>
      <c r="C27" s="7" t="s">
        <v>727</v>
      </c>
      <c r="D27" s="295" t="s">
        <v>881</v>
      </c>
      <c r="E27" s="298">
        <v>3720.0833333333335</v>
      </c>
      <c r="F27" s="298">
        <v>6315.083333333333</v>
      </c>
      <c r="G27" s="297">
        <v>5941.083333333333</v>
      </c>
      <c r="H27" s="297">
        <v>4674.25</v>
      </c>
      <c r="I27" s="299">
        <v>1266.8333333333333</v>
      </c>
    </row>
    <row r="28" spans="1:9" ht="15" customHeight="1">
      <c r="A28" s="7" t="s">
        <v>11</v>
      </c>
      <c r="B28" s="7" t="s">
        <v>402</v>
      </c>
      <c r="C28" s="7" t="s">
        <v>727</v>
      </c>
      <c r="D28" s="295" t="s">
        <v>881</v>
      </c>
      <c r="E28" s="298">
        <v>5637.5</v>
      </c>
      <c r="F28" s="298">
        <v>9969.4166666666661</v>
      </c>
      <c r="G28" s="297">
        <v>9382.0833333333339</v>
      </c>
      <c r="H28" s="297">
        <v>7106.666666666667</v>
      </c>
      <c r="I28" s="299">
        <v>2275.4166666666665</v>
      </c>
    </row>
    <row r="29" spans="1:9" ht="15" customHeight="1">
      <c r="A29" s="7" t="s">
        <v>12</v>
      </c>
      <c r="B29" s="7" t="s">
        <v>403</v>
      </c>
      <c r="C29" s="7" t="s">
        <v>727</v>
      </c>
      <c r="D29" s="295" t="s">
        <v>884</v>
      </c>
      <c r="E29" s="298">
        <v>6993.25</v>
      </c>
      <c r="F29" s="298">
        <v>11989.25</v>
      </c>
      <c r="G29" s="297">
        <v>11202.166666666666</v>
      </c>
      <c r="H29" s="297">
        <v>8747.4166666666661</v>
      </c>
      <c r="I29" s="299">
        <v>2454.75</v>
      </c>
    </row>
    <row r="30" spans="1:9" ht="15" customHeight="1">
      <c r="A30" s="7" t="s">
        <v>13</v>
      </c>
      <c r="B30" s="7" t="s">
        <v>404</v>
      </c>
      <c r="C30" s="7" t="s">
        <v>727</v>
      </c>
      <c r="D30" s="295" t="s">
        <v>885</v>
      </c>
      <c r="E30" s="298">
        <v>3248.3333333333335</v>
      </c>
      <c r="F30" s="298">
        <v>5911.916666666667</v>
      </c>
      <c r="G30" s="297">
        <v>5603.25</v>
      </c>
      <c r="H30" s="297">
        <v>4163.166666666667</v>
      </c>
      <c r="I30" s="299">
        <v>1440.0833333333333</v>
      </c>
    </row>
    <row r="31" spans="1:9" ht="15" customHeight="1">
      <c r="A31" s="7" t="s">
        <v>14</v>
      </c>
      <c r="B31" s="7" t="s">
        <v>405</v>
      </c>
      <c r="C31" s="7" t="s">
        <v>727</v>
      </c>
      <c r="D31" s="295" t="s">
        <v>881</v>
      </c>
      <c r="E31" s="298">
        <v>6197.833333333333</v>
      </c>
      <c r="F31" s="298">
        <v>10753.416666666666</v>
      </c>
      <c r="G31" s="297">
        <v>10420.083333333334</v>
      </c>
      <c r="H31" s="297">
        <v>7958.166666666667</v>
      </c>
      <c r="I31" s="299">
        <v>2461.9166666666665</v>
      </c>
    </row>
    <row r="32" spans="1:9" ht="15" customHeight="1">
      <c r="A32" s="7" t="s">
        <v>15</v>
      </c>
      <c r="B32" s="7" t="s">
        <v>406</v>
      </c>
      <c r="C32" s="7" t="s">
        <v>727</v>
      </c>
      <c r="D32" s="295" t="s">
        <v>881</v>
      </c>
      <c r="E32" s="298">
        <v>5843.083333333333</v>
      </c>
      <c r="F32" s="298">
        <v>10244.083333333334</v>
      </c>
      <c r="G32" s="297">
        <v>9609.25</v>
      </c>
      <c r="H32" s="297">
        <v>7299.5</v>
      </c>
      <c r="I32" s="299">
        <v>2309.75</v>
      </c>
    </row>
    <row r="33" spans="1:9" ht="15" customHeight="1">
      <c r="A33" s="7" t="s">
        <v>16</v>
      </c>
      <c r="B33" s="7" t="s">
        <v>407</v>
      </c>
      <c r="C33" s="7" t="s">
        <v>727</v>
      </c>
      <c r="D33" s="295" t="s">
        <v>884</v>
      </c>
      <c r="E33" s="298">
        <v>3796.5</v>
      </c>
      <c r="F33" s="298">
        <v>6352</v>
      </c>
      <c r="G33" s="297">
        <v>5940.333333333333</v>
      </c>
      <c r="H33" s="297">
        <v>4695.583333333333</v>
      </c>
      <c r="I33" s="299">
        <v>1244.75</v>
      </c>
    </row>
    <row r="34" spans="1:9" ht="15" customHeight="1">
      <c r="A34" s="7" t="s">
        <v>17</v>
      </c>
      <c r="B34" s="7" t="s">
        <v>408</v>
      </c>
      <c r="C34" s="7" t="s">
        <v>727</v>
      </c>
      <c r="D34" s="295" t="s">
        <v>884</v>
      </c>
      <c r="E34" s="298">
        <v>3347.8333333333335</v>
      </c>
      <c r="F34" s="298">
        <v>5992.666666666667</v>
      </c>
      <c r="G34" s="297">
        <v>5618.25</v>
      </c>
      <c r="H34" s="297">
        <v>4233.333333333333</v>
      </c>
      <c r="I34" s="299">
        <v>1384.9166666666667</v>
      </c>
    </row>
    <row r="35" spans="1:9" ht="15" customHeight="1">
      <c r="A35" s="7" t="s">
        <v>18</v>
      </c>
      <c r="B35" s="7" t="s">
        <v>409</v>
      </c>
      <c r="C35" s="7" t="s">
        <v>727</v>
      </c>
      <c r="D35" s="295" t="s">
        <v>881</v>
      </c>
      <c r="E35" s="298">
        <v>5756.916666666667</v>
      </c>
      <c r="F35" s="298">
        <v>9994.6666666666661</v>
      </c>
      <c r="G35" s="297">
        <v>9527.4166666666661</v>
      </c>
      <c r="H35" s="297">
        <v>7287.916666666667</v>
      </c>
      <c r="I35" s="299">
        <v>2239.5</v>
      </c>
    </row>
    <row r="36" spans="1:9" ht="15" customHeight="1">
      <c r="A36" s="7" t="s">
        <v>19</v>
      </c>
      <c r="B36" s="7" t="s">
        <v>860</v>
      </c>
      <c r="C36" s="7" t="s">
        <v>727</v>
      </c>
      <c r="D36" s="295" t="s">
        <v>881</v>
      </c>
      <c r="E36" s="298">
        <v>5142.25</v>
      </c>
      <c r="F36" s="298">
        <v>9347.9166666666661</v>
      </c>
      <c r="G36" s="297">
        <v>8842.0833333333339</v>
      </c>
      <c r="H36" s="297">
        <v>6627.75</v>
      </c>
      <c r="I36" s="299">
        <v>2214.3333333333335</v>
      </c>
    </row>
    <row r="37" spans="1:9" ht="15" customHeight="1">
      <c r="A37" s="7" t="s">
        <v>20</v>
      </c>
      <c r="B37" s="7" t="s">
        <v>410</v>
      </c>
      <c r="C37" s="7" t="s">
        <v>727</v>
      </c>
      <c r="D37" s="295" t="s">
        <v>885</v>
      </c>
      <c r="E37" s="298">
        <v>4303.666666666667</v>
      </c>
      <c r="F37" s="298">
        <v>7521.75</v>
      </c>
      <c r="G37" s="297">
        <v>7176.083333333333</v>
      </c>
      <c r="H37" s="297">
        <v>5393.666666666667</v>
      </c>
      <c r="I37" s="299">
        <v>1782.4166666666667</v>
      </c>
    </row>
    <row r="38" spans="1:9" ht="15" customHeight="1">
      <c r="A38" s="7" t="s">
        <v>21</v>
      </c>
      <c r="B38" s="7" t="s">
        <v>411</v>
      </c>
      <c r="C38" s="7" t="s">
        <v>727</v>
      </c>
      <c r="D38" s="295" t="s">
        <v>885</v>
      </c>
      <c r="E38" s="298">
        <v>6951.583333333333</v>
      </c>
      <c r="F38" s="298">
        <v>12810</v>
      </c>
      <c r="G38" s="297">
        <v>12125.416666666666</v>
      </c>
      <c r="H38" s="297">
        <v>8967.4166666666661</v>
      </c>
      <c r="I38" s="299">
        <v>3158</v>
      </c>
    </row>
    <row r="39" spans="1:9" ht="15" customHeight="1">
      <c r="A39" s="7" t="s">
        <v>22</v>
      </c>
      <c r="B39" s="7" t="s">
        <v>412</v>
      </c>
      <c r="C39" s="7" t="s">
        <v>727</v>
      </c>
      <c r="D39" s="295" t="s">
        <v>881</v>
      </c>
      <c r="E39" s="298">
        <v>4569.166666666667</v>
      </c>
      <c r="F39" s="298">
        <v>8242.0833333333339</v>
      </c>
      <c r="G39" s="297">
        <v>7732.833333333333</v>
      </c>
      <c r="H39" s="297">
        <v>5804.833333333333</v>
      </c>
      <c r="I39" s="299">
        <v>1928</v>
      </c>
    </row>
    <row r="40" spans="1:9" ht="15" customHeight="1">
      <c r="A40" s="7" t="s">
        <v>23</v>
      </c>
      <c r="B40" s="7" t="s">
        <v>861</v>
      </c>
      <c r="C40" s="7" t="s">
        <v>727</v>
      </c>
      <c r="D40" s="295" t="s">
        <v>881</v>
      </c>
      <c r="E40" s="298">
        <v>4154.166666666667</v>
      </c>
      <c r="F40" s="298">
        <v>7452.916666666667</v>
      </c>
      <c r="G40" s="297">
        <v>7048.416666666667</v>
      </c>
      <c r="H40" s="297">
        <v>5322.666666666667</v>
      </c>
      <c r="I40" s="299">
        <v>1725.75</v>
      </c>
    </row>
    <row r="41" spans="1:9" ht="15" customHeight="1">
      <c r="A41" s="7" t="s">
        <v>25</v>
      </c>
      <c r="B41" s="7" t="s">
        <v>413</v>
      </c>
      <c r="C41" s="7" t="s">
        <v>730</v>
      </c>
      <c r="D41" s="295" t="s">
        <v>884</v>
      </c>
      <c r="E41" s="298">
        <v>4141.083333333333</v>
      </c>
      <c r="F41" s="298">
        <v>7578.083333333333</v>
      </c>
      <c r="G41" s="297">
        <v>7209.416666666667</v>
      </c>
      <c r="H41" s="297">
        <v>5348.416666666667</v>
      </c>
      <c r="I41" s="299">
        <v>1861</v>
      </c>
    </row>
    <row r="42" spans="1:9" ht="15" customHeight="1">
      <c r="A42" s="7" t="s">
        <v>26</v>
      </c>
      <c r="B42" s="7" t="s">
        <v>414</v>
      </c>
      <c r="C42" s="7" t="s">
        <v>730</v>
      </c>
      <c r="D42" s="295" t="s">
        <v>884</v>
      </c>
      <c r="E42" s="298">
        <v>6826.75</v>
      </c>
      <c r="F42" s="298">
        <v>11967.25</v>
      </c>
      <c r="G42" s="297">
        <v>11102.583333333334</v>
      </c>
      <c r="H42" s="297">
        <v>8589.0833333333339</v>
      </c>
      <c r="I42" s="299">
        <v>2513.5</v>
      </c>
    </row>
    <row r="43" spans="1:9" ht="15" customHeight="1">
      <c r="A43" s="7" t="s">
        <v>34</v>
      </c>
      <c r="B43" s="7" t="s">
        <v>864</v>
      </c>
      <c r="C43" s="7" t="s">
        <v>730</v>
      </c>
      <c r="D43" s="295" t="s">
        <v>884</v>
      </c>
      <c r="E43" s="298">
        <v>4550.75</v>
      </c>
      <c r="F43" s="298">
        <v>8037.75</v>
      </c>
      <c r="G43" s="297">
        <v>7523.416666666667</v>
      </c>
      <c r="H43" s="297">
        <v>5699</v>
      </c>
      <c r="I43" s="299">
        <v>1824.4166666666667</v>
      </c>
    </row>
    <row r="44" spans="1:9" ht="15" customHeight="1">
      <c r="A44" s="7" t="s">
        <v>762</v>
      </c>
      <c r="B44" s="7" t="s">
        <v>415</v>
      </c>
      <c r="C44" s="7" t="s">
        <v>730</v>
      </c>
      <c r="D44" s="295" t="s">
        <v>884</v>
      </c>
      <c r="E44" s="298">
        <v>8000.75</v>
      </c>
      <c r="F44" s="298">
        <v>13281.75</v>
      </c>
      <c r="G44" s="297">
        <v>12407.333333333334</v>
      </c>
      <c r="H44" s="297">
        <v>9989.25</v>
      </c>
      <c r="I44" s="299">
        <v>2418.0833333333335</v>
      </c>
    </row>
    <row r="45" spans="1:9" ht="15" customHeight="1">
      <c r="A45" s="7" t="s">
        <v>761</v>
      </c>
      <c r="B45" s="7" t="s">
        <v>1030</v>
      </c>
      <c r="C45" s="7" t="s">
        <v>730</v>
      </c>
      <c r="D45" s="295" t="s">
        <v>884</v>
      </c>
      <c r="E45" s="298">
        <v>9751.6666666666661</v>
      </c>
      <c r="F45" s="298">
        <v>16559.333333333332</v>
      </c>
      <c r="G45" s="297">
        <v>15235.916666666666</v>
      </c>
      <c r="H45" s="297">
        <v>12030.583333333334</v>
      </c>
      <c r="I45" s="299">
        <v>3205.3333333333335</v>
      </c>
    </row>
    <row r="46" spans="1:9" ht="15" customHeight="1">
      <c r="A46" s="7" t="s">
        <v>27</v>
      </c>
      <c r="B46" s="7" t="s">
        <v>416</v>
      </c>
      <c r="C46" s="7" t="s">
        <v>730</v>
      </c>
      <c r="D46" s="295" t="s">
        <v>885</v>
      </c>
      <c r="E46" s="298">
        <v>14196.25</v>
      </c>
      <c r="F46" s="298">
        <v>27728.583333333332</v>
      </c>
      <c r="G46" s="297">
        <v>26119.583333333332</v>
      </c>
      <c r="H46" s="297">
        <v>18762.333333333332</v>
      </c>
      <c r="I46" s="299">
        <v>7357.25</v>
      </c>
    </row>
    <row r="47" spans="1:9" ht="15" customHeight="1">
      <c r="A47" s="7" t="s">
        <v>763</v>
      </c>
      <c r="B47" s="7" t="s">
        <v>865</v>
      </c>
      <c r="C47" s="7" t="s">
        <v>730</v>
      </c>
      <c r="D47" s="295" t="s">
        <v>884</v>
      </c>
      <c r="E47" s="298">
        <v>6636.833333333333</v>
      </c>
      <c r="F47" s="298">
        <v>12230.416666666666</v>
      </c>
      <c r="G47" s="297">
        <v>11456.333333333334</v>
      </c>
      <c r="H47" s="297">
        <v>8642.0833333333339</v>
      </c>
      <c r="I47" s="299">
        <v>2814.25</v>
      </c>
    </row>
    <row r="48" spans="1:9" ht="15" customHeight="1">
      <c r="A48" s="7" t="s">
        <v>31</v>
      </c>
      <c r="B48" s="7" t="s">
        <v>1031</v>
      </c>
      <c r="C48" s="7" t="s">
        <v>730</v>
      </c>
      <c r="D48" s="295" t="s">
        <v>884</v>
      </c>
      <c r="E48" s="298">
        <v>8230.5</v>
      </c>
      <c r="F48" s="298">
        <v>14612.583333333334</v>
      </c>
      <c r="G48" s="297">
        <v>13703.916666666666</v>
      </c>
      <c r="H48" s="297">
        <v>10509.583333333334</v>
      </c>
      <c r="I48" s="299">
        <v>3194.3333333333335</v>
      </c>
    </row>
    <row r="49" spans="1:9" ht="15" customHeight="1">
      <c r="A49" s="7" t="s">
        <v>764</v>
      </c>
      <c r="B49" s="7" t="s">
        <v>1032</v>
      </c>
      <c r="C49" s="7" t="s">
        <v>730</v>
      </c>
      <c r="D49" s="295" t="s">
        <v>884</v>
      </c>
      <c r="E49" s="298">
        <v>6607.833333333333</v>
      </c>
      <c r="F49" s="298">
        <v>11792.75</v>
      </c>
      <c r="G49" s="297">
        <v>11084.916666666666</v>
      </c>
      <c r="H49" s="297">
        <v>8411.0833333333339</v>
      </c>
      <c r="I49" s="299">
        <v>2673.8333333333335</v>
      </c>
    </row>
    <row r="50" spans="1:9" ht="15" customHeight="1">
      <c r="A50" s="7" t="s">
        <v>28</v>
      </c>
      <c r="B50" s="7" t="s">
        <v>417</v>
      </c>
      <c r="C50" s="7" t="s">
        <v>730</v>
      </c>
      <c r="D50" s="295" t="s">
        <v>885</v>
      </c>
      <c r="E50" s="298">
        <v>13336.666666666666</v>
      </c>
      <c r="F50" s="298">
        <v>23938.5</v>
      </c>
      <c r="G50" s="297">
        <v>22412.5</v>
      </c>
      <c r="H50" s="297">
        <v>16969.333333333332</v>
      </c>
      <c r="I50" s="299">
        <v>5443.166666666667</v>
      </c>
    </row>
    <row r="51" spans="1:9" ht="15" customHeight="1">
      <c r="A51" s="7" t="s">
        <v>29</v>
      </c>
      <c r="B51" s="7" t="s">
        <v>418</v>
      </c>
      <c r="C51" s="7" t="s">
        <v>730</v>
      </c>
      <c r="D51" s="295" t="s">
        <v>884</v>
      </c>
      <c r="E51" s="298">
        <v>3249</v>
      </c>
      <c r="F51" s="298">
        <v>5641.916666666667</v>
      </c>
      <c r="G51" s="297">
        <v>5286.333333333333</v>
      </c>
      <c r="H51" s="297">
        <v>4049.9166666666665</v>
      </c>
      <c r="I51" s="299">
        <v>1236.4166666666667</v>
      </c>
    </row>
    <row r="52" spans="1:9" ht="15" customHeight="1">
      <c r="A52" s="7" t="s">
        <v>30</v>
      </c>
      <c r="B52" s="7" t="s">
        <v>419</v>
      </c>
      <c r="C52" s="7" t="s">
        <v>730</v>
      </c>
      <c r="D52" s="295" t="s">
        <v>884</v>
      </c>
      <c r="E52" s="298">
        <v>4876.833333333333</v>
      </c>
      <c r="F52" s="298">
        <v>8399.3333333333339</v>
      </c>
      <c r="G52" s="297">
        <v>7823.5</v>
      </c>
      <c r="H52" s="297">
        <v>6112.5</v>
      </c>
      <c r="I52" s="299">
        <v>1711</v>
      </c>
    </row>
    <row r="53" spans="1:9" ht="15" customHeight="1">
      <c r="A53" s="7" t="s">
        <v>32</v>
      </c>
      <c r="B53" s="7" t="s">
        <v>1013</v>
      </c>
      <c r="C53" s="7" t="s">
        <v>730</v>
      </c>
      <c r="D53" s="295" t="s">
        <v>884</v>
      </c>
      <c r="E53" s="298">
        <v>5750.083333333333</v>
      </c>
      <c r="F53" s="298">
        <v>10458.666666666666</v>
      </c>
      <c r="G53" s="297">
        <v>9687.9166666666661</v>
      </c>
      <c r="H53" s="297">
        <v>7326.833333333333</v>
      </c>
      <c r="I53" s="299">
        <v>2361.0833333333335</v>
      </c>
    </row>
    <row r="54" spans="1:9" ht="15" customHeight="1">
      <c r="A54" s="7" t="s">
        <v>33</v>
      </c>
      <c r="B54" s="7" t="s">
        <v>1012</v>
      </c>
      <c r="C54" s="7" t="s">
        <v>730</v>
      </c>
      <c r="D54" s="295" t="s">
        <v>881</v>
      </c>
      <c r="E54" s="298">
        <v>3234</v>
      </c>
      <c r="F54" s="298">
        <v>5501.333333333333</v>
      </c>
      <c r="G54" s="297">
        <v>5065.25</v>
      </c>
      <c r="H54" s="297">
        <v>4047.5833333333335</v>
      </c>
      <c r="I54" s="299">
        <v>1017.6666666666666</v>
      </c>
    </row>
    <row r="55" spans="1:9" ht="15" customHeight="1">
      <c r="A55" s="7" t="s">
        <v>775</v>
      </c>
      <c r="B55" s="7" t="s">
        <v>863</v>
      </c>
      <c r="C55" s="7" t="s">
        <v>729</v>
      </c>
      <c r="D55" s="295" t="s">
        <v>881</v>
      </c>
      <c r="E55" s="298">
        <v>8132.416666666667</v>
      </c>
      <c r="F55" s="298">
        <v>13870.166666666666</v>
      </c>
      <c r="G55" s="297">
        <v>12965.75</v>
      </c>
      <c r="H55" s="297">
        <v>10071.083333333334</v>
      </c>
      <c r="I55" s="299">
        <v>2894.6666666666665</v>
      </c>
    </row>
    <row r="56" spans="1:9" ht="15" customHeight="1">
      <c r="A56" s="7" t="s">
        <v>36</v>
      </c>
      <c r="B56" s="7" t="s">
        <v>421</v>
      </c>
      <c r="C56" s="7" t="s">
        <v>729</v>
      </c>
      <c r="D56" s="295" t="s">
        <v>884</v>
      </c>
      <c r="E56" s="298">
        <v>8417.4166666666661</v>
      </c>
      <c r="F56" s="298">
        <v>14625.666666666666</v>
      </c>
      <c r="G56" s="297">
        <v>13707.583333333334</v>
      </c>
      <c r="H56" s="297">
        <v>10581.25</v>
      </c>
      <c r="I56" s="299">
        <v>3126.3333333333335</v>
      </c>
    </row>
    <row r="57" spans="1:9" ht="15" customHeight="1">
      <c r="A57" s="7" t="s">
        <v>757</v>
      </c>
      <c r="B57" s="7" t="s">
        <v>422</v>
      </c>
      <c r="C57" s="7" t="s">
        <v>729</v>
      </c>
      <c r="D57" s="295" t="s">
        <v>884</v>
      </c>
      <c r="E57" s="298">
        <v>10886.75</v>
      </c>
      <c r="F57" s="298">
        <v>18989.916666666668</v>
      </c>
      <c r="G57" s="297">
        <v>17563.25</v>
      </c>
      <c r="H57" s="297">
        <v>13716.75</v>
      </c>
      <c r="I57" s="299">
        <v>3846.5</v>
      </c>
    </row>
    <row r="58" spans="1:9" ht="15" customHeight="1">
      <c r="A58" s="7" t="s">
        <v>37</v>
      </c>
      <c r="B58" s="7" t="s">
        <v>423</v>
      </c>
      <c r="C58" s="7" t="s">
        <v>729</v>
      </c>
      <c r="D58" s="295" t="s">
        <v>885</v>
      </c>
      <c r="E58" s="298">
        <v>12539.833333333334</v>
      </c>
      <c r="F58" s="298">
        <v>23770.25</v>
      </c>
      <c r="G58" s="297">
        <v>22424.666666666668</v>
      </c>
      <c r="H58" s="297">
        <v>16517.333333333332</v>
      </c>
      <c r="I58" s="299">
        <v>5907.333333333333</v>
      </c>
    </row>
    <row r="59" spans="1:9" ht="15" customHeight="1">
      <c r="A59" s="7" t="s">
        <v>38</v>
      </c>
      <c r="B59" s="7" t="s">
        <v>424</v>
      </c>
      <c r="C59" s="7" t="s">
        <v>729</v>
      </c>
      <c r="D59" s="295" t="s">
        <v>885</v>
      </c>
      <c r="E59" s="298">
        <v>22584.833333333332</v>
      </c>
      <c r="F59" s="298">
        <v>39887.916666666664</v>
      </c>
      <c r="G59" s="297">
        <v>38358.75</v>
      </c>
      <c r="H59" s="297">
        <v>28621.833333333332</v>
      </c>
      <c r="I59" s="299">
        <v>9736.9166666666661</v>
      </c>
    </row>
    <row r="60" spans="1:9" ht="15" customHeight="1">
      <c r="A60" s="7" t="s">
        <v>39</v>
      </c>
      <c r="B60" s="7" t="s">
        <v>425</v>
      </c>
      <c r="C60" s="7" t="s">
        <v>729</v>
      </c>
      <c r="D60" s="295" t="s">
        <v>885</v>
      </c>
      <c r="E60" s="298">
        <v>31571.916666666668</v>
      </c>
      <c r="F60" s="298">
        <v>55532.166666666664</v>
      </c>
      <c r="G60" s="297">
        <v>52885.166666666664</v>
      </c>
      <c r="H60" s="297">
        <v>39989.666666666664</v>
      </c>
      <c r="I60" s="299">
        <v>12895.5</v>
      </c>
    </row>
    <row r="61" spans="1:9" ht="15" customHeight="1">
      <c r="A61" s="7" t="s">
        <v>759</v>
      </c>
      <c r="B61" s="7" t="s">
        <v>426</v>
      </c>
      <c r="C61" s="7" t="s">
        <v>729</v>
      </c>
      <c r="D61" s="295" t="s">
        <v>884</v>
      </c>
      <c r="E61" s="298">
        <v>6652.75</v>
      </c>
      <c r="F61" s="298">
        <v>11842.25</v>
      </c>
      <c r="G61" s="297">
        <v>11040.75</v>
      </c>
      <c r="H61" s="297">
        <v>8481.3333333333339</v>
      </c>
      <c r="I61" s="299">
        <v>2559.4166666666665</v>
      </c>
    </row>
    <row r="62" spans="1:9" ht="15" customHeight="1">
      <c r="A62" s="7" t="s">
        <v>776</v>
      </c>
      <c r="B62" s="7" t="s">
        <v>427</v>
      </c>
      <c r="C62" s="7" t="s">
        <v>729</v>
      </c>
      <c r="D62" s="295" t="s">
        <v>881</v>
      </c>
      <c r="E62" s="298">
        <v>8353.5833333333339</v>
      </c>
      <c r="F62" s="298">
        <v>14621.666666666666</v>
      </c>
      <c r="G62" s="297">
        <v>13961.5</v>
      </c>
      <c r="H62" s="297">
        <v>10655.75</v>
      </c>
      <c r="I62" s="299">
        <v>3305.75</v>
      </c>
    </row>
    <row r="63" spans="1:9" ht="15" customHeight="1">
      <c r="A63" s="7" t="s">
        <v>40</v>
      </c>
      <c r="B63" s="7" t="s">
        <v>428</v>
      </c>
      <c r="C63" s="7" t="s">
        <v>729</v>
      </c>
      <c r="D63" s="295" t="s">
        <v>881</v>
      </c>
      <c r="E63" s="298">
        <v>6688.5</v>
      </c>
      <c r="F63" s="298">
        <v>11691.083333333334</v>
      </c>
      <c r="G63" s="297">
        <v>11034.25</v>
      </c>
      <c r="H63" s="297">
        <v>8459.3333333333339</v>
      </c>
      <c r="I63" s="299">
        <v>2574.9166666666665</v>
      </c>
    </row>
    <row r="64" spans="1:9" ht="15" customHeight="1">
      <c r="A64" s="7" t="s">
        <v>41</v>
      </c>
      <c r="B64" s="7" t="s">
        <v>429</v>
      </c>
      <c r="C64" s="7" t="s">
        <v>729</v>
      </c>
      <c r="D64" s="295" t="s">
        <v>881</v>
      </c>
      <c r="E64" s="298">
        <v>6638.333333333333</v>
      </c>
      <c r="F64" s="298">
        <v>11922.083333333334</v>
      </c>
      <c r="G64" s="297">
        <v>11022.416666666666</v>
      </c>
      <c r="H64" s="297">
        <v>8376.9166666666661</v>
      </c>
      <c r="I64" s="299">
        <v>2645.5</v>
      </c>
    </row>
    <row r="65" spans="1:9" ht="15" customHeight="1">
      <c r="A65" s="7" t="s">
        <v>42</v>
      </c>
      <c r="B65" s="7" t="s">
        <v>430</v>
      </c>
      <c r="C65" s="7" t="s">
        <v>729</v>
      </c>
      <c r="D65" s="295" t="s">
        <v>881</v>
      </c>
      <c r="E65" s="298">
        <v>7385.75</v>
      </c>
      <c r="F65" s="298">
        <v>12768.916666666666</v>
      </c>
      <c r="G65" s="297">
        <v>12014.416666666666</v>
      </c>
      <c r="H65" s="297">
        <v>9341.4166666666661</v>
      </c>
      <c r="I65" s="299">
        <v>2673</v>
      </c>
    </row>
    <row r="66" spans="1:9" ht="15" customHeight="1">
      <c r="A66" s="7" t="s">
        <v>758</v>
      </c>
      <c r="B66" s="7" t="s">
        <v>904</v>
      </c>
      <c r="C66" s="7" t="s">
        <v>729</v>
      </c>
      <c r="D66" s="295" t="s">
        <v>881</v>
      </c>
      <c r="E66" s="298">
        <v>8503.1666666666661</v>
      </c>
      <c r="F66" s="298">
        <v>15089.916666666666</v>
      </c>
      <c r="G66" s="297">
        <v>14043.166666666666</v>
      </c>
      <c r="H66" s="297">
        <v>10768.583333333334</v>
      </c>
      <c r="I66" s="299">
        <v>3274.5833333333335</v>
      </c>
    </row>
    <row r="67" spans="1:9" ht="15" customHeight="1">
      <c r="A67" s="7" t="s">
        <v>760</v>
      </c>
      <c r="B67" s="7" t="s">
        <v>431</v>
      </c>
      <c r="C67" s="7" t="s">
        <v>729</v>
      </c>
      <c r="D67" s="295" t="s">
        <v>881</v>
      </c>
      <c r="E67" s="298">
        <v>9380.9166666666661</v>
      </c>
      <c r="F67" s="298">
        <v>17152.166666666668</v>
      </c>
      <c r="G67" s="297">
        <v>16203</v>
      </c>
      <c r="H67" s="297">
        <v>12070.416666666666</v>
      </c>
      <c r="I67" s="299">
        <v>4132.583333333333</v>
      </c>
    </row>
    <row r="68" spans="1:9" ht="15" customHeight="1">
      <c r="A68" s="7" t="s">
        <v>43</v>
      </c>
      <c r="B68" s="7" t="s">
        <v>432</v>
      </c>
      <c r="C68" s="7" t="s">
        <v>731</v>
      </c>
      <c r="D68" s="295" t="s">
        <v>885</v>
      </c>
      <c r="E68" s="298">
        <v>8013.166666666667</v>
      </c>
      <c r="F68" s="298">
        <v>15244.666666666666</v>
      </c>
      <c r="G68" s="297">
        <v>14535.833333333334</v>
      </c>
      <c r="H68" s="297">
        <v>10600.083333333334</v>
      </c>
      <c r="I68" s="299">
        <v>3935.75</v>
      </c>
    </row>
    <row r="69" spans="1:9" ht="15" customHeight="1">
      <c r="A69" s="7" t="s">
        <v>44</v>
      </c>
      <c r="B69" s="7" t="s">
        <v>433</v>
      </c>
      <c r="C69" s="7" t="s">
        <v>731</v>
      </c>
      <c r="D69" s="295" t="s">
        <v>881</v>
      </c>
      <c r="E69" s="298">
        <v>3497.25</v>
      </c>
      <c r="F69" s="298">
        <v>6473.833333333333</v>
      </c>
      <c r="G69" s="297">
        <v>6055.416666666667</v>
      </c>
      <c r="H69" s="297">
        <v>4550.75</v>
      </c>
      <c r="I69" s="299">
        <v>1504.6666666666667</v>
      </c>
    </row>
    <row r="70" spans="1:9" ht="15" customHeight="1">
      <c r="A70" s="7" t="s">
        <v>45</v>
      </c>
      <c r="B70" s="7" t="s">
        <v>434</v>
      </c>
      <c r="C70" s="7" t="s">
        <v>731</v>
      </c>
      <c r="D70" s="295" t="s">
        <v>884</v>
      </c>
      <c r="E70" s="298">
        <v>2170.6666666666665</v>
      </c>
      <c r="F70" s="298">
        <v>3810.3333333333335</v>
      </c>
      <c r="G70" s="297">
        <v>3577.3333333333335</v>
      </c>
      <c r="H70" s="297">
        <v>2710.25</v>
      </c>
      <c r="I70" s="299">
        <v>867.08333333333337</v>
      </c>
    </row>
    <row r="71" spans="1:9" ht="15" customHeight="1">
      <c r="A71" s="7" t="s">
        <v>766</v>
      </c>
      <c r="B71" s="7" t="s">
        <v>765</v>
      </c>
      <c r="C71" s="7" t="s">
        <v>731</v>
      </c>
      <c r="D71" s="295" t="s">
        <v>885</v>
      </c>
      <c r="E71" s="298">
        <v>2642.3333333333335</v>
      </c>
      <c r="F71" s="298">
        <v>4747.083333333333</v>
      </c>
      <c r="G71" s="297">
        <v>4466.083333333333</v>
      </c>
      <c r="H71" s="297">
        <v>3302.9166666666665</v>
      </c>
      <c r="I71" s="299">
        <v>1163.1666666666667</v>
      </c>
    </row>
    <row r="72" spans="1:9" ht="15" customHeight="1">
      <c r="A72" s="7" t="s">
        <v>767</v>
      </c>
      <c r="B72" s="7" t="s">
        <v>435</v>
      </c>
      <c r="C72" s="7" t="s">
        <v>731</v>
      </c>
      <c r="D72" s="295" t="s">
        <v>881</v>
      </c>
      <c r="E72" s="298">
        <v>2122.25</v>
      </c>
      <c r="F72" s="298">
        <v>4226</v>
      </c>
      <c r="G72" s="297">
        <v>3986.8333333333335</v>
      </c>
      <c r="H72" s="297">
        <v>2794</v>
      </c>
      <c r="I72" s="299">
        <v>1192.8333333333333</v>
      </c>
    </row>
    <row r="73" spans="1:9" ht="15" customHeight="1">
      <c r="A73" s="7" t="s">
        <v>49</v>
      </c>
      <c r="B73" s="7" t="s">
        <v>1029</v>
      </c>
      <c r="C73" s="7" t="s">
        <v>731</v>
      </c>
      <c r="D73" s="295" t="s">
        <v>881</v>
      </c>
      <c r="E73" s="298">
        <v>4015.4166666666665</v>
      </c>
      <c r="F73" s="298">
        <v>7467.583333333333</v>
      </c>
      <c r="G73" s="297">
        <v>7008</v>
      </c>
      <c r="H73" s="297">
        <v>5187.416666666667</v>
      </c>
      <c r="I73" s="299">
        <v>1820.5833333333333</v>
      </c>
    </row>
    <row r="74" spans="1:9" ht="15" customHeight="1">
      <c r="A74" s="7" t="s">
        <v>46</v>
      </c>
      <c r="B74" s="7" t="s">
        <v>436</v>
      </c>
      <c r="C74" s="7" t="s">
        <v>731</v>
      </c>
      <c r="D74" s="295" t="s">
        <v>885</v>
      </c>
      <c r="E74" s="298">
        <v>5633.916666666667</v>
      </c>
      <c r="F74" s="298">
        <v>10888.583333333334</v>
      </c>
      <c r="G74" s="297">
        <v>10286.166666666666</v>
      </c>
      <c r="H74" s="297">
        <v>7508.833333333333</v>
      </c>
      <c r="I74" s="299">
        <v>2777.3333333333335</v>
      </c>
    </row>
    <row r="75" spans="1:9" ht="15" customHeight="1">
      <c r="A75" s="7" t="s">
        <v>48</v>
      </c>
      <c r="B75" s="7" t="s">
        <v>437</v>
      </c>
      <c r="C75" s="7" t="s">
        <v>731</v>
      </c>
      <c r="D75" s="295" t="s">
        <v>881</v>
      </c>
      <c r="E75" s="298">
        <v>1991.0833333333333</v>
      </c>
      <c r="F75" s="298">
        <v>3622.4166666666665</v>
      </c>
      <c r="G75" s="297">
        <v>3380.25</v>
      </c>
      <c r="H75" s="297">
        <v>2515.25</v>
      </c>
      <c r="I75" s="299">
        <v>865</v>
      </c>
    </row>
    <row r="76" spans="1:9" ht="15" customHeight="1">
      <c r="A76" s="7" t="s">
        <v>35</v>
      </c>
      <c r="B76" s="7" t="s">
        <v>867</v>
      </c>
      <c r="C76" s="7" t="s">
        <v>731</v>
      </c>
      <c r="D76" s="295" t="s">
        <v>884</v>
      </c>
      <c r="E76" s="298">
        <v>4179.833333333333</v>
      </c>
      <c r="F76" s="298">
        <v>7723.75</v>
      </c>
      <c r="G76" s="297">
        <v>7304.166666666667</v>
      </c>
      <c r="H76" s="297">
        <v>5554.5</v>
      </c>
      <c r="I76" s="299">
        <v>1749.6666666666667</v>
      </c>
    </row>
    <row r="77" spans="1:9" ht="15" customHeight="1">
      <c r="A77" s="7" t="s">
        <v>51</v>
      </c>
      <c r="B77" s="7" t="s">
        <v>1026</v>
      </c>
      <c r="C77" s="7" t="s">
        <v>731</v>
      </c>
      <c r="D77" s="295" t="s">
        <v>885</v>
      </c>
      <c r="E77" s="298">
        <v>3447.75</v>
      </c>
      <c r="F77" s="298">
        <v>5902.083333333333</v>
      </c>
      <c r="G77" s="297">
        <v>5638.166666666667</v>
      </c>
      <c r="H77" s="297">
        <v>4344.333333333333</v>
      </c>
      <c r="I77" s="299">
        <v>1293.8333333333333</v>
      </c>
    </row>
    <row r="78" spans="1:9" ht="15" customHeight="1">
      <c r="A78" s="7" t="s">
        <v>52</v>
      </c>
      <c r="B78" s="7" t="s">
        <v>1027</v>
      </c>
      <c r="C78" s="7" t="s">
        <v>731</v>
      </c>
      <c r="D78" s="295" t="s">
        <v>881</v>
      </c>
      <c r="E78" s="298">
        <v>1890.25</v>
      </c>
      <c r="F78" s="298">
        <v>3177.1666666666665</v>
      </c>
      <c r="G78" s="297">
        <v>2998.0833333333335</v>
      </c>
      <c r="H78" s="297">
        <v>2343.6666666666665</v>
      </c>
      <c r="I78" s="299">
        <v>654.41666666666663</v>
      </c>
    </row>
    <row r="79" spans="1:9" ht="15" customHeight="1">
      <c r="A79" s="7" t="s">
        <v>53</v>
      </c>
      <c r="B79" s="7" t="s">
        <v>1028</v>
      </c>
      <c r="C79" s="7" t="s">
        <v>731</v>
      </c>
      <c r="D79" s="295" t="s">
        <v>881</v>
      </c>
      <c r="E79" s="298">
        <v>3309.4166666666665</v>
      </c>
      <c r="F79" s="298">
        <v>5973.583333333333</v>
      </c>
      <c r="G79" s="297">
        <v>5689.5</v>
      </c>
      <c r="H79" s="297">
        <v>4247.583333333333</v>
      </c>
      <c r="I79" s="299">
        <v>1441.9166666666667</v>
      </c>
    </row>
    <row r="80" spans="1:9" ht="15" customHeight="1">
      <c r="A80" s="7" t="s">
        <v>47</v>
      </c>
      <c r="B80" s="7" t="s">
        <v>868</v>
      </c>
      <c r="C80" s="7" t="s">
        <v>731</v>
      </c>
      <c r="D80" s="295" t="s">
        <v>881</v>
      </c>
      <c r="E80" s="298">
        <v>2401.4166666666665</v>
      </c>
      <c r="F80" s="298">
        <v>4353.833333333333</v>
      </c>
      <c r="G80" s="297">
        <v>4044.0833333333335</v>
      </c>
      <c r="H80" s="297">
        <v>3033.4166666666665</v>
      </c>
      <c r="I80" s="299">
        <v>1010.6666666666666</v>
      </c>
    </row>
    <row r="81" spans="1:9" ht="15" customHeight="1">
      <c r="A81" s="7" t="s">
        <v>54</v>
      </c>
      <c r="B81" s="7" t="s">
        <v>438</v>
      </c>
      <c r="C81" s="7" t="s">
        <v>731</v>
      </c>
      <c r="D81" s="295" t="s">
        <v>884</v>
      </c>
      <c r="E81" s="298">
        <v>3659.0833333333335</v>
      </c>
      <c r="F81" s="298">
        <v>6848.083333333333</v>
      </c>
      <c r="G81" s="297">
        <v>6376.5</v>
      </c>
      <c r="H81" s="297">
        <v>4773.333333333333</v>
      </c>
      <c r="I81" s="299">
        <v>1603.1666666666667</v>
      </c>
    </row>
    <row r="82" spans="1:9" ht="15" customHeight="1">
      <c r="A82" s="7" t="s">
        <v>55</v>
      </c>
      <c r="B82" s="7" t="s">
        <v>439</v>
      </c>
      <c r="C82" s="7" t="s">
        <v>731</v>
      </c>
      <c r="D82" s="295" t="s">
        <v>875</v>
      </c>
      <c r="E82" s="298">
        <v>2036.75</v>
      </c>
      <c r="F82" s="298">
        <v>3847</v>
      </c>
      <c r="G82" s="297">
        <v>3686.5833333333335</v>
      </c>
      <c r="H82" s="297">
        <v>2706.6666666666665</v>
      </c>
      <c r="I82" s="299">
        <v>979.91666666666663</v>
      </c>
    </row>
    <row r="83" spans="1:9" ht="15" customHeight="1">
      <c r="A83" s="7" t="s">
        <v>56</v>
      </c>
      <c r="B83" s="7" t="s">
        <v>440</v>
      </c>
      <c r="C83" s="7" t="s">
        <v>731</v>
      </c>
      <c r="D83" s="295" t="s">
        <v>884</v>
      </c>
      <c r="E83" s="298">
        <v>3105</v>
      </c>
      <c r="F83" s="298">
        <v>5716.416666666667</v>
      </c>
      <c r="G83" s="297">
        <v>5294.333333333333</v>
      </c>
      <c r="H83" s="297">
        <v>4048.25</v>
      </c>
      <c r="I83" s="299">
        <v>1246.0833333333333</v>
      </c>
    </row>
    <row r="84" spans="1:9" ht="15" customHeight="1">
      <c r="A84" s="7" t="s">
        <v>50</v>
      </c>
      <c r="B84" s="7" t="s">
        <v>1037</v>
      </c>
      <c r="C84" s="7" t="s">
        <v>731</v>
      </c>
      <c r="D84" s="295" t="s">
        <v>884</v>
      </c>
      <c r="E84" s="298">
        <v>3745.5833333333335</v>
      </c>
      <c r="F84" s="298">
        <v>7158.083333333333</v>
      </c>
      <c r="G84" s="297">
        <v>6729.333333333333</v>
      </c>
      <c r="H84" s="297">
        <v>4937.666666666667</v>
      </c>
      <c r="I84" s="299">
        <v>1791.6666666666667</v>
      </c>
    </row>
    <row r="85" spans="1:9" ht="15" customHeight="1">
      <c r="A85" s="7" t="s">
        <v>57</v>
      </c>
      <c r="B85" s="7" t="s">
        <v>441</v>
      </c>
      <c r="C85" s="7" t="s">
        <v>731</v>
      </c>
      <c r="D85" s="295" t="s">
        <v>881</v>
      </c>
      <c r="E85" s="298">
        <v>1083.25</v>
      </c>
      <c r="F85" s="298">
        <v>1771.1666666666667</v>
      </c>
      <c r="G85" s="297">
        <v>1669.6666666666667</v>
      </c>
      <c r="H85" s="297">
        <v>1321.1666666666667</v>
      </c>
      <c r="I85" s="299">
        <v>348.5</v>
      </c>
    </row>
    <row r="86" spans="1:9" ht="15" customHeight="1">
      <c r="A86" s="7" t="s">
        <v>58</v>
      </c>
      <c r="B86" s="7" t="s">
        <v>442</v>
      </c>
      <c r="C86" s="7" t="s">
        <v>731</v>
      </c>
      <c r="D86" s="295" t="s">
        <v>875</v>
      </c>
      <c r="E86" s="298">
        <v>1129.0833333333333</v>
      </c>
      <c r="F86" s="298">
        <v>2066.1666666666665</v>
      </c>
      <c r="G86" s="297">
        <v>1926.5833333333333</v>
      </c>
      <c r="H86" s="297">
        <v>1482.3333333333333</v>
      </c>
      <c r="I86" s="299">
        <v>444.25</v>
      </c>
    </row>
    <row r="87" spans="1:9" ht="15" customHeight="1">
      <c r="A87" s="7" t="s">
        <v>59</v>
      </c>
      <c r="B87" s="7" t="s">
        <v>443</v>
      </c>
      <c r="C87" s="7" t="s">
        <v>731</v>
      </c>
      <c r="D87" s="295" t="s">
        <v>875</v>
      </c>
      <c r="E87" s="298">
        <v>1209.0833333333333</v>
      </c>
      <c r="F87" s="298">
        <v>2223.0833333333335</v>
      </c>
      <c r="G87" s="297">
        <v>2024.6666666666667</v>
      </c>
      <c r="H87" s="297">
        <v>1547.6666666666667</v>
      </c>
      <c r="I87" s="299">
        <v>477</v>
      </c>
    </row>
    <row r="88" spans="1:9" ht="15" customHeight="1">
      <c r="A88" s="7" t="s">
        <v>60</v>
      </c>
      <c r="B88" s="7" t="s">
        <v>444</v>
      </c>
      <c r="C88" s="7" t="s">
        <v>731</v>
      </c>
      <c r="D88" s="295" t="s">
        <v>875</v>
      </c>
      <c r="E88" s="298">
        <v>4239</v>
      </c>
      <c r="F88" s="298">
        <v>7824.5</v>
      </c>
      <c r="G88" s="297">
        <v>7341.25</v>
      </c>
      <c r="H88" s="297">
        <v>5431.75</v>
      </c>
      <c r="I88" s="299">
        <v>1909.5</v>
      </c>
    </row>
    <row r="89" spans="1:9" ht="15" customHeight="1">
      <c r="A89" s="7" t="s">
        <v>61</v>
      </c>
      <c r="B89" s="7" t="s">
        <v>869</v>
      </c>
      <c r="C89" s="7" t="s">
        <v>731</v>
      </c>
      <c r="D89" s="295" t="s">
        <v>875</v>
      </c>
      <c r="E89" s="298">
        <v>2598.5</v>
      </c>
      <c r="F89" s="298">
        <v>4564.75</v>
      </c>
      <c r="G89" s="297">
        <v>4214.916666666667</v>
      </c>
      <c r="H89" s="297">
        <v>3257.1666666666665</v>
      </c>
      <c r="I89" s="299">
        <v>957.75</v>
      </c>
    </row>
    <row r="90" spans="1:9" ht="15" customHeight="1">
      <c r="A90" s="7" t="s">
        <v>62</v>
      </c>
      <c r="B90" s="7" t="s">
        <v>445</v>
      </c>
      <c r="C90" s="7" t="s">
        <v>716</v>
      </c>
      <c r="D90" s="295" t="s">
        <v>878</v>
      </c>
      <c r="E90" s="298">
        <v>5891.666666666667</v>
      </c>
      <c r="F90" s="298">
        <v>12309</v>
      </c>
      <c r="G90" s="297">
        <v>11887.166666666666</v>
      </c>
      <c r="H90" s="297">
        <v>8420.75</v>
      </c>
      <c r="I90" s="299">
        <v>3466.4166666666665</v>
      </c>
    </row>
    <row r="91" spans="1:9" ht="15" customHeight="1">
      <c r="A91" s="7" t="s">
        <v>63</v>
      </c>
      <c r="B91" s="7" t="s">
        <v>446</v>
      </c>
      <c r="C91" s="7" t="s">
        <v>716</v>
      </c>
      <c r="D91" s="295" t="s">
        <v>878</v>
      </c>
      <c r="E91" s="298">
        <v>6238.416666666667</v>
      </c>
      <c r="F91" s="298">
        <v>13073.916666666666</v>
      </c>
      <c r="G91" s="297">
        <v>12468.416666666666</v>
      </c>
      <c r="H91" s="297">
        <v>8764.5833333333339</v>
      </c>
      <c r="I91" s="299">
        <v>3703.8333333333335</v>
      </c>
    </row>
    <row r="92" spans="1:9" ht="15" customHeight="1">
      <c r="A92" s="7" t="s">
        <v>64</v>
      </c>
      <c r="B92" s="7" t="s">
        <v>447</v>
      </c>
      <c r="C92" s="7" t="s">
        <v>716</v>
      </c>
      <c r="D92" s="295" t="s">
        <v>878</v>
      </c>
      <c r="E92" s="298">
        <v>11166.5</v>
      </c>
      <c r="F92" s="298">
        <v>22860.75</v>
      </c>
      <c r="G92" s="297">
        <v>21980.666666666668</v>
      </c>
      <c r="H92" s="297">
        <v>15528.75</v>
      </c>
      <c r="I92" s="299">
        <v>6451.916666666667</v>
      </c>
    </row>
    <row r="93" spans="1:9" ht="15" customHeight="1">
      <c r="A93" s="7" t="s">
        <v>76</v>
      </c>
      <c r="B93" s="7" t="s">
        <v>777</v>
      </c>
      <c r="C93" s="7" t="s">
        <v>716</v>
      </c>
      <c r="D93" s="295" t="s">
        <v>878</v>
      </c>
      <c r="E93" s="298">
        <v>7996.5</v>
      </c>
      <c r="F93" s="298">
        <v>15981.5</v>
      </c>
      <c r="G93" s="297">
        <v>15288.333333333334</v>
      </c>
      <c r="H93" s="297">
        <v>10997.25</v>
      </c>
      <c r="I93" s="299">
        <v>4291.083333333333</v>
      </c>
    </row>
    <row r="94" spans="1:9" ht="15" customHeight="1">
      <c r="A94" s="7" t="s">
        <v>66</v>
      </c>
      <c r="B94" s="7" t="s">
        <v>448</v>
      </c>
      <c r="C94" s="7" t="s">
        <v>716</v>
      </c>
      <c r="D94" s="295" t="s">
        <v>882</v>
      </c>
      <c r="E94" s="298">
        <v>5586.833333333333</v>
      </c>
      <c r="F94" s="298">
        <v>10380.416666666666</v>
      </c>
      <c r="G94" s="297">
        <v>9731.1666666666661</v>
      </c>
      <c r="H94" s="297">
        <v>7197.583333333333</v>
      </c>
      <c r="I94" s="299">
        <v>2533.5833333333335</v>
      </c>
    </row>
    <row r="95" spans="1:9" ht="15" customHeight="1">
      <c r="A95" s="7" t="s">
        <v>67</v>
      </c>
      <c r="B95" s="7" t="s">
        <v>449</v>
      </c>
      <c r="C95" s="7" t="s">
        <v>716</v>
      </c>
      <c r="D95" s="295" t="s">
        <v>878</v>
      </c>
      <c r="E95" s="298">
        <v>5600</v>
      </c>
      <c r="F95" s="298">
        <v>11026.083333333334</v>
      </c>
      <c r="G95" s="297">
        <v>10532.583333333334</v>
      </c>
      <c r="H95" s="297">
        <v>7528.166666666667</v>
      </c>
      <c r="I95" s="299">
        <v>3004.4166666666665</v>
      </c>
    </row>
    <row r="96" spans="1:9" ht="15" customHeight="1">
      <c r="A96" s="7" t="s">
        <v>68</v>
      </c>
      <c r="B96" s="7" t="s">
        <v>450</v>
      </c>
      <c r="C96" s="7" t="s">
        <v>716</v>
      </c>
      <c r="D96" s="295" t="s">
        <v>878</v>
      </c>
      <c r="E96" s="298">
        <v>4690.583333333333</v>
      </c>
      <c r="F96" s="298">
        <v>8910.0833333333339</v>
      </c>
      <c r="G96" s="297">
        <v>8505.3333333333339</v>
      </c>
      <c r="H96" s="297">
        <v>6151.75</v>
      </c>
      <c r="I96" s="299">
        <v>2353.5833333333335</v>
      </c>
    </row>
    <row r="97" spans="1:9" ht="15" customHeight="1">
      <c r="A97" s="7" t="s">
        <v>69</v>
      </c>
      <c r="B97" s="7" t="s">
        <v>451</v>
      </c>
      <c r="C97" s="7" t="s">
        <v>717</v>
      </c>
      <c r="D97" s="295" t="s">
        <v>882</v>
      </c>
      <c r="E97" s="298">
        <v>101855.33333333333</v>
      </c>
      <c r="F97" s="298">
        <v>197383.75</v>
      </c>
      <c r="G97" s="297">
        <v>189307.33333333334</v>
      </c>
      <c r="H97" s="297">
        <v>136842.83333333334</v>
      </c>
      <c r="I97" s="299">
        <v>52464.5</v>
      </c>
    </row>
    <row r="98" spans="1:9" ht="15" customHeight="1">
      <c r="A98" s="7" t="s">
        <v>70</v>
      </c>
      <c r="B98" s="7" t="s">
        <v>452</v>
      </c>
      <c r="C98" s="7" t="s">
        <v>716</v>
      </c>
      <c r="D98" s="295" t="s">
        <v>878</v>
      </c>
      <c r="E98" s="298">
        <v>5115.833333333333</v>
      </c>
      <c r="F98" s="298">
        <v>10026.666666666666</v>
      </c>
      <c r="G98" s="297">
        <v>9431.5833333333339</v>
      </c>
      <c r="H98" s="297">
        <v>6825</v>
      </c>
      <c r="I98" s="299">
        <v>2606.5833333333335</v>
      </c>
    </row>
    <row r="99" spans="1:9" ht="15" customHeight="1">
      <c r="A99" s="7" t="s">
        <v>65</v>
      </c>
      <c r="B99" s="7" t="s">
        <v>778</v>
      </c>
      <c r="C99" s="7" t="s">
        <v>716</v>
      </c>
      <c r="D99" s="295" t="s">
        <v>878</v>
      </c>
      <c r="E99" s="298">
        <v>4606.083333333333</v>
      </c>
      <c r="F99" s="298">
        <v>8814</v>
      </c>
      <c r="G99" s="297">
        <v>8256.1666666666661</v>
      </c>
      <c r="H99" s="297">
        <v>6143.083333333333</v>
      </c>
      <c r="I99" s="299">
        <v>2113.0833333333335</v>
      </c>
    </row>
    <row r="100" spans="1:9" ht="15" customHeight="1">
      <c r="A100" s="7" t="s">
        <v>71</v>
      </c>
      <c r="B100" s="7" t="s">
        <v>453</v>
      </c>
      <c r="C100" s="7" t="s">
        <v>716</v>
      </c>
      <c r="D100" s="295" t="s">
        <v>882</v>
      </c>
      <c r="E100" s="298">
        <v>15059.166666666666</v>
      </c>
      <c r="F100" s="298">
        <v>29333.916666666668</v>
      </c>
      <c r="G100" s="297">
        <v>27955.166666666668</v>
      </c>
      <c r="H100" s="297">
        <v>20455.083333333332</v>
      </c>
      <c r="I100" s="299">
        <v>7500.083333333333</v>
      </c>
    </row>
    <row r="101" spans="1:9" ht="15" customHeight="1">
      <c r="A101" s="7" t="s">
        <v>72</v>
      </c>
      <c r="B101" s="7" t="s">
        <v>454</v>
      </c>
      <c r="C101" s="7" t="s">
        <v>716</v>
      </c>
      <c r="D101" s="295" t="s">
        <v>878</v>
      </c>
      <c r="E101" s="298">
        <v>3440.0833333333335</v>
      </c>
      <c r="F101" s="298">
        <v>7066.666666666667</v>
      </c>
      <c r="G101" s="297">
        <v>6702.833333333333</v>
      </c>
      <c r="H101" s="297">
        <v>4685</v>
      </c>
      <c r="I101" s="299">
        <v>2017.8333333333333</v>
      </c>
    </row>
    <row r="102" spans="1:9" ht="15" customHeight="1">
      <c r="A102" s="7" t="s">
        <v>73</v>
      </c>
      <c r="B102" s="7" t="s">
        <v>455</v>
      </c>
      <c r="C102" s="7" t="s">
        <v>716</v>
      </c>
      <c r="D102" s="295" t="s">
        <v>882</v>
      </c>
      <c r="E102" s="298">
        <v>11879.416666666666</v>
      </c>
      <c r="F102" s="298">
        <v>22570.916666666668</v>
      </c>
      <c r="G102" s="297">
        <v>21554.25</v>
      </c>
      <c r="H102" s="297">
        <v>15941.5</v>
      </c>
      <c r="I102" s="299">
        <v>5612.75</v>
      </c>
    </row>
    <row r="103" spans="1:9" ht="15" customHeight="1">
      <c r="A103" s="7" t="s">
        <v>74</v>
      </c>
      <c r="B103" s="7" t="s">
        <v>456</v>
      </c>
      <c r="C103" s="7" t="s">
        <v>716</v>
      </c>
      <c r="D103" s="295" t="s">
        <v>878</v>
      </c>
      <c r="E103" s="298">
        <v>5219.916666666667</v>
      </c>
      <c r="F103" s="298">
        <v>9977.25</v>
      </c>
      <c r="G103" s="297">
        <v>9432.75</v>
      </c>
      <c r="H103" s="297">
        <v>6942.5</v>
      </c>
      <c r="I103" s="299">
        <v>2490.25</v>
      </c>
    </row>
    <row r="104" spans="1:9" ht="15" customHeight="1">
      <c r="A104" s="7" t="s">
        <v>75</v>
      </c>
      <c r="B104" s="7" t="s">
        <v>457</v>
      </c>
      <c r="C104" s="7" t="s">
        <v>716</v>
      </c>
      <c r="D104" s="295" t="s">
        <v>882</v>
      </c>
      <c r="E104" s="298">
        <v>4419.916666666667</v>
      </c>
      <c r="F104" s="298">
        <v>8790.4166666666661</v>
      </c>
      <c r="G104" s="297">
        <v>8246.9166666666661</v>
      </c>
      <c r="H104" s="297">
        <v>5919.666666666667</v>
      </c>
      <c r="I104" s="299">
        <v>2327.25</v>
      </c>
    </row>
    <row r="105" spans="1:9" ht="15" customHeight="1">
      <c r="A105" s="7" t="s">
        <v>77</v>
      </c>
      <c r="B105" s="7" t="s">
        <v>458</v>
      </c>
      <c r="C105" s="7" t="s">
        <v>716</v>
      </c>
      <c r="D105" s="295" t="s">
        <v>878</v>
      </c>
      <c r="E105" s="298">
        <v>7089.333333333333</v>
      </c>
      <c r="F105" s="298">
        <v>14609.166666666666</v>
      </c>
      <c r="G105" s="297">
        <v>13776.083333333334</v>
      </c>
      <c r="H105" s="297">
        <v>9738.1666666666661</v>
      </c>
      <c r="I105" s="299">
        <v>4037.9166666666665</v>
      </c>
    </row>
    <row r="106" spans="1:9" ht="15" customHeight="1">
      <c r="A106" s="7" t="s">
        <v>78</v>
      </c>
      <c r="B106" s="7" t="s">
        <v>459</v>
      </c>
      <c r="C106" s="7" t="s">
        <v>718</v>
      </c>
      <c r="D106" s="295" t="s">
        <v>882</v>
      </c>
      <c r="E106" s="298">
        <v>10333.083333333334</v>
      </c>
      <c r="F106" s="298">
        <v>18531.583333333332</v>
      </c>
      <c r="G106" s="297">
        <v>17779.166666666668</v>
      </c>
      <c r="H106" s="297">
        <v>13514.583333333334</v>
      </c>
      <c r="I106" s="299">
        <v>4264.583333333333</v>
      </c>
    </row>
    <row r="107" spans="1:9" ht="15" customHeight="1">
      <c r="A107" s="7" t="s">
        <v>79</v>
      </c>
      <c r="B107" s="7" t="s">
        <v>460</v>
      </c>
      <c r="C107" s="7" t="s">
        <v>718</v>
      </c>
      <c r="D107" s="295" t="s">
        <v>883</v>
      </c>
      <c r="E107" s="298">
        <v>6090.416666666667</v>
      </c>
      <c r="F107" s="298">
        <v>13380.833333333334</v>
      </c>
      <c r="G107" s="297">
        <v>12645.5</v>
      </c>
      <c r="H107" s="297">
        <v>8645.5833333333339</v>
      </c>
      <c r="I107" s="299">
        <v>3999.9166666666665</v>
      </c>
    </row>
    <row r="108" spans="1:9" ht="15" customHeight="1">
      <c r="A108" s="7" t="s">
        <v>80</v>
      </c>
      <c r="B108" s="7" t="s">
        <v>461</v>
      </c>
      <c r="C108" s="7" t="s">
        <v>718</v>
      </c>
      <c r="D108" s="295" t="s">
        <v>878</v>
      </c>
      <c r="E108" s="298">
        <v>3670.4166666666665</v>
      </c>
      <c r="F108" s="298">
        <v>7466.416666666667</v>
      </c>
      <c r="G108" s="297">
        <v>7177.416666666667</v>
      </c>
      <c r="H108" s="297">
        <v>5155.833333333333</v>
      </c>
      <c r="I108" s="299">
        <v>2021.5833333333333</v>
      </c>
    </row>
    <row r="109" spans="1:9" ht="15" customHeight="1">
      <c r="A109" s="7" t="s">
        <v>89</v>
      </c>
      <c r="B109" s="7" t="s">
        <v>779</v>
      </c>
      <c r="C109" s="7" t="s">
        <v>718</v>
      </c>
      <c r="D109" s="295" t="s">
        <v>878</v>
      </c>
      <c r="E109" s="298">
        <v>5632.583333333333</v>
      </c>
      <c r="F109" s="298">
        <v>10806.75</v>
      </c>
      <c r="G109" s="297">
        <v>10294.333333333334</v>
      </c>
      <c r="H109" s="297">
        <v>7477.75</v>
      </c>
      <c r="I109" s="299">
        <v>2816.5833333333335</v>
      </c>
    </row>
    <row r="110" spans="1:9" ht="15" customHeight="1">
      <c r="A110" s="7" t="s">
        <v>82</v>
      </c>
      <c r="B110" s="7" t="s">
        <v>462</v>
      </c>
      <c r="C110" s="7" t="s">
        <v>719</v>
      </c>
      <c r="D110" s="295" t="s">
        <v>882</v>
      </c>
      <c r="E110" s="298">
        <v>39511.833333333336</v>
      </c>
      <c r="F110" s="298">
        <v>79861.583333333328</v>
      </c>
      <c r="G110" s="297">
        <v>76465.833333333328</v>
      </c>
      <c r="H110" s="297">
        <v>53939</v>
      </c>
      <c r="I110" s="299">
        <v>22526.833333333332</v>
      </c>
    </row>
    <row r="111" spans="1:9" ht="15" customHeight="1">
      <c r="A111" s="7" t="s">
        <v>83</v>
      </c>
      <c r="B111" s="7" t="s">
        <v>463</v>
      </c>
      <c r="C111" s="7" t="s">
        <v>718</v>
      </c>
      <c r="D111" s="295" t="s">
        <v>878</v>
      </c>
      <c r="E111" s="298">
        <v>2225.4166666666665</v>
      </c>
      <c r="F111" s="298">
        <v>4780.75</v>
      </c>
      <c r="G111" s="297">
        <v>4453.833333333333</v>
      </c>
      <c r="H111" s="297">
        <v>3130.5</v>
      </c>
      <c r="I111" s="299">
        <v>1323.3333333333333</v>
      </c>
    </row>
    <row r="112" spans="1:9" ht="15" customHeight="1">
      <c r="A112" s="7" t="s">
        <v>84</v>
      </c>
      <c r="B112" s="7" t="s">
        <v>791</v>
      </c>
      <c r="C112" s="7" t="s">
        <v>719</v>
      </c>
      <c r="D112" s="295" t="s">
        <v>883</v>
      </c>
      <c r="E112" s="298">
        <v>10346.166666666666</v>
      </c>
      <c r="F112" s="298">
        <v>21134.666666666668</v>
      </c>
      <c r="G112" s="297">
        <v>19975.333333333332</v>
      </c>
      <c r="H112" s="297">
        <v>14183.5</v>
      </c>
      <c r="I112" s="299">
        <v>5791.833333333333</v>
      </c>
    </row>
    <row r="113" spans="1:9" ht="15" customHeight="1">
      <c r="A113" s="7" t="s">
        <v>85</v>
      </c>
      <c r="B113" s="7" t="s">
        <v>464</v>
      </c>
      <c r="C113" s="7" t="s">
        <v>718</v>
      </c>
      <c r="D113" s="295" t="s">
        <v>879</v>
      </c>
      <c r="E113" s="298">
        <v>6445.75</v>
      </c>
      <c r="F113" s="298">
        <v>12949.333333333334</v>
      </c>
      <c r="G113" s="297">
        <v>12193.416666666666</v>
      </c>
      <c r="H113" s="297">
        <v>8883.8333333333339</v>
      </c>
      <c r="I113" s="299">
        <v>3309.5833333333335</v>
      </c>
    </row>
    <row r="114" spans="1:9" ht="15" customHeight="1">
      <c r="A114" s="7" t="s">
        <v>733</v>
      </c>
      <c r="B114" s="7" t="s">
        <v>465</v>
      </c>
      <c r="C114" s="7" t="s">
        <v>718</v>
      </c>
      <c r="D114" s="295" t="s">
        <v>878</v>
      </c>
      <c r="E114" s="298">
        <v>4543.5</v>
      </c>
      <c r="F114" s="298">
        <v>8917.4166666666661</v>
      </c>
      <c r="G114" s="297">
        <v>8605.75</v>
      </c>
      <c r="H114" s="297">
        <v>6164.583333333333</v>
      </c>
      <c r="I114" s="299">
        <v>2441.1666666666665</v>
      </c>
    </row>
    <row r="115" spans="1:9" ht="15" customHeight="1">
      <c r="A115" s="7" t="s">
        <v>86</v>
      </c>
      <c r="B115" s="7" t="s">
        <v>466</v>
      </c>
      <c r="C115" s="7" t="s">
        <v>718</v>
      </c>
      <c r="D115" s="295" t="s">
        <v>882</v>
      </c>
      <c r="E115" s="298">
        <v>2722.5</v>
      </c>
      <c r="F115" s="298">
        <v>5408</v>
      </c>
      <c r="G115" s="297">
        <v>5087.083333333333</v>
      </c>
      <c r="H115" s="297">
        <v>3665.6666666666665</v>
      </c>
      <c r="I115" s="299">
        <v>1421.4166666666667</v>
      </c>
    </row>
    <row r="116" spans="1:9" ht="15" customHeight="1">
      <c r="A116" s="7" t="s">
        <v>101</v>
      </c>
      <c r="B116" s="7" t="s">
        <v>780</v>
      </c>
      <c r="C116" s="7" t="s">
        <v>718</v>
      </c>
      <c r="D116" s="295" t="s">
        <v>878</v>
      </c>
      <c r="E116" s="298">
        <v>4908.333333333333</v>
      </c>
      <c r="F116" s="298">
        <v>9767.6666666666661</v>
      </c>
      <c r="G116" s="297">
        <v>9370.8333333333339</v>
      </c>
      <c r="H116" s="297">
        <v>6749.75</v>
      </c>
      <c r="I116" s="299">
        <v>2621.0833333333335</v>
      </c>
    </row>
    <row r="117" spans="1:9" ht="15" customHeight="1">
      <c r="A117" s="7" t="s">
        <v>88</v>
      </c>
      <c r="B117" s="7" t="s">
        <v>781</v>
      </c>
      <c r="C117" s="7" t="s">
        <v>718</v>
      </c>
      <c r="D117" s="295" t="s">
        <v>878</v>
      </c>
      <c r="E117" s="298">
        <v>1732.1666666666667</v>
      </c>
      <c r="F117" s="298">
        <v>3626.75</v>
      </c>
      <c r="G117" s="297">
        <v>3439.4166666666665</v>
      </c>
      <c r="H117" s="297">
        <v>2435.1666666666665</v>
      </c>
      <c r="I117" s="299">
        <v>1004.25</v>
      </c>
    </row>
    <row r="118" spans="1:9" ht="15" customHeight="1">
      <c r="A118" s="7" t="s">
        <v>87</v>
      </c>
      <c r="B118" s="7" t="s">
        <v>782</v>
      </c>
      <c r="C118" s="7" t="s">
        <v>718</v>
      </c>
      <c r="D118" s="295" t="s">
        <v>878</v>
      </c>
      <c r="E118" s="298">
        <v>6319.75</v>
      </c>
      <c r="F118" s="298">
        <v>12755.166666666666</v>
      </c>
      <c r="G118" s="297">
        <v>12055.416666666666</v>
      </c>
      <c r="H118" s="297">
        <v>8651.6666666666661</v>
      </c>
      <c r="I118" s="299">
        <v>3403.75</v>
      </c>
    </row>
    <row r="119" spans="1:9" ht="15" customHeight="1">
      <c r="A119" s="7" t="s">
        <v>90</v>
      </c>
      <c r="B119" s="7" t="s">
        <v>467</v>
      </c>
      <c r="C119" s="7" t="s">
        <v>718</v>
      </c>
      <c r="D119" s="295" t="s">
        <v>879</v>
      </c>
      <c r="E119" s="298">
        <v>11632.333333333334</v>
      </c>
      <c r="F119" s="298">
        <v>21928.75</v>
      </c>
      <c r="G119" s="297">
        <v>20674.583333333332</v>
      </c>
      <c r="H119" s="297">
        <v>15315.5</v>
      </c>
      <c r="I119" s="299">
        <v>5359.083333333333</v>
      </c>
    </row>
    <row r="120" spans="1:9" ht="15" customHeight="1">
      <c r="A120" s="7" t="s">
        <v>91</v>
      </c>
      <c r="B120" s="7" t="s">
        <v>468</v>
      </c>
      <c r="C120" s="7" t="s">
        <v>718</v>
      </c>
      <c r="D120" s="295" t="s">
        <v>876</v>
      </c>
      <c r="E120" s="298">
        <v>4556.833333333333</v>
      </c>
      <c r="F120" s="298">
        <v>9170.0833333333339</v>
      </c>
      <c r="G120" s="297">
        <v>8539.1666666666661</v>
      </c>
      <c r="H120" s="297">
        <v>6242.416666666667</v>
      </c>
      <c r="I120" s="299">
        <v>2296.75</v>
      </c>
    </row>
    <row r="121" spans="1:9" ht="15" customHeight="1">
      <c r="A121" s="7" t="s">
        <v>92</v>
      </c>
      <c r="B121" s="7" t="s">
        <v>469</v>
      </c>
      <c r="C121" s="7" t="s">
        <v>718</v>
      </c>
      <c r="D121" s="295" t="s">
        <v>879</v>
      </c>
      <c r="E121" s="298">
        <v>2719.5833333333335</v>
      </c>
      <c r="F121" s="298">
        <v>5300.416666666667</v>
      </c>
      <c r="G121" s="297">
        <v>4990.333333333333</v>
      </c>
      <c r="H121" s="297">
        <v>3614.5</v>
      </c>
      <c r="I121" s="299">
        <v>1375.8333333333333</v>
      </c>
    </row>
    <row r="122" spans="1:9" ht="15" customHeight="1">
      <c r="A122" s="7" t="s">
        <v>93</v>
      </c>
      <c r="B122" s="7" t="s">
        <v>470</v>
      </c>
      <c r="C122" s="7" t="s">
        <v>718</v>
      </c>
      <c r="D122" s="295" t="s">
        <v>878</v>
      </c>
      <c r="E122" s="298">
        <v>6300.083333333333</v>
      </c>
      <c r="F122" s="298">
        <v>13484.75</v>
      </c>
      <c r="G122" s="297">
        <v>12818</v>
      </c>
      <c r="H122" s="297">
        <v>8932.25</v>
      </c>
      <c r="I122" s="299">
        <v>3885.75</v>
      </c>
    </row>
    <row r="123" spans="1:9" ht="15" customHeight="1">
      <c r="A123" s="7" t="s">
        <v>94</v>
      </c>
      <c r="B123" s="7" t="s">
        <v>783</v>
      </c>
      <c r="C123" s="7" t="s">
        <v>718</v>
      </c>
      <c r="D123" s="295" t="s">
        <v>878</v>
      </c>
      <c r="E123" s="298">
        <v>4887.75</v>
      </c>
      <c r="F123" s="298">
        <v>9642.4166666666661</v>
      </c>
      <c r="G123" s="297">
        <v>9244.3333333333339</v>
      </c>
      <c r="H123" s="297">
        <v>6670</v>
      </c>
      <c r="I123" s="299">
        <v>2574.3333333333335</v>
      </c>
    </row>
    <row r="124" spans="1:9" ht="15" customHeight="1">
      <c r="A124" s="7" t="s">
        <v>95</v>
      </c>
      <c r="B124" s="7" t="s">
        <v>471</v>
      </c>
      <c r="C124" s="7" t="s">
        <v>718</v>
      </c>
      <c r="D124" s="295" t="s">
        <v>882</v>
      </c>
      <c r="E124" s="298">
        <v>57364.666666666664</v>
      </c>
      <c r="F124" s="298">
        <v>114290.25</v>
      </c>
      <c r="G124" s="297">
        <v>109445.25</v>
      </c>
      <c r="H124" s="297">
        <v>79798.416666666672</v>
      </c>
      <c r="I124" s="299">
        <v>29646.833333333332</v>
      </c>
    </row>
    <row r="125" spans="1:9" ht="15" customHeight="1">
      <c r="A125" s="7" t="s">
        <v>96</v>
      </c>
      <c r="B125" s="7" t="s">
        <v>472</v>
      </c>
      <c r="C125" s="7" t="s">
        <v>718</v>
      </c>
      <c r="D125" s="295" t="s">
        <v>876</v>
      </c>
      <c r="E125" s="298">
        <v>3481.5833333333335</v>
      </c>
      <c r="F125" s="298">
        <v>6632.083333333333</v>
      </c>
      <c r="G125" s="297">
        <v>6196.416666666667</v>
      </c>
      <c r="H125" s="297">
        <v>4534.666666666667</v>
      </c>
      <c r="I125" s="299">
        <v>1661.75</v>
      </c>
    </row>
    <row r="126" spans="1:9" ht="15" customHeight="1">
      <c r="A126" s="7" t="s">
        <v>97</v>
      </c>
      <c r="B126" s="7" t="s">
        <v>473</v>
      </c>
      <c r="C126" s="7" t="s">
        <v>718</v>
      </c>
      <c r="D126" s="295" t="s">
        <v>878</v>
      </c>
      <c r="E126" s="298">
        <v>4261</v>
      </c>
      <c r="F126" s="298">
        <v>8818.5</v>
      </c>
      <c r="G126" s="297">
        <v>8317.8333333333339</v>
      </c>
      <c r="H126" s="297">
        <v>5940.5</v>
      </c>
      <c r="I126" s="299">
        <v>2377.3333333333335</v>
      </c>
    </row>
    <row r="127" spans="1:9" ht="15" customHeight="1">
      <c r="A127" s="7" t="s">
        <v>98</v>
      </c>
      <c r="B127" s="7" t="s">
        <v>474</v>
      </c>
      <c r="C127" s="7" t="s">
        <v>718</v>
      </c>
      <c r="D127" s="295" t="s">
        <v>880</v>
      </c>
      <c r="E127" s="298">
        <v>4864.166666666667</v>
      </c>
      <c r="F127" s="298">
        <v>10274.083333333334</v>
      </c>
      <c r="G127" s="297">
        <v>9845</v>
      </c>
      <c r="H127" s="297">
        <v>6846.75</v>
      </c>
      <c r="I127" s="299">
        <v>2998.25</v>
      </c>
    </row>
    <row r="128" spans="1:9" ht="15" customHeight="1">
      <c r="A128" s="7" t="s">
        <v>99</v>
      </c>
      <c r="B128" s="7" t="s">
        <v>475</v>
      </c>
      <c r="C128" s="7" t="s">
        <v>718</v>
      </c>
      <c r="D128" s="295" t="s">
        <v>879</v>
      </c>
      <c r="E128" s="298">
        <v>10942.916666666666</v>
      </c>
      <c r="F128" s="298">
        <v>21400.666666666668</v>
      </c>
      <c r="G128" s="297">
        <v>20335.5</v>
      </c>
      <c r="H128" s="297">
        <v>14891.25</v>
      </c>
      <c r="I128" s="299">
        <v>5444.25</v>
      </c>
    </row>
    <row r="129" spans="1:9" ht="15" customHeight="1">
      <c r="A129" s="7" t="s">
        <v>81</v>
      </c>
      <c r="B129" s="7" t="s">
        <v>784</v>
      </c>
      <c r="C129" s="7" t="s">
        <v>718</v>
      </c>
      <c r="D129" s="295" t="s">
        <v>878</v>
      </c>
      <c r="E129" s="298">
        <v>4502.916666666667</v>
      </c>
      <c r="F129" s="298">
        <v>10128.916666666666</v>
      </c>
      <c r="G129" s="297">
        <v>9625.5</v>
      </c>
      <c r="H129" s="297">
        <v>6631.583333333333</v>
      </c>
      <c r="I129" s="299">
        <v>2993.9166666666665</v>
      </c>
    </row>
    <row r="130" spans="1:9" ht="15" customHeight="1">
      <c r="A130" s="7" t="s">
        <v>102</v>
      </c>
      <c r="B130" s="7" t="s">
        <v>476</v>
      </c>
      <c r="C130" s="7" t="s">
        <v>718</v>
      </c>
      <c r="D130" s="295" t="s">
        <v>878</v>
      </c>
      <c r="E130" s="298">
        <v>5860.333333333333</v>
      </c>
      <c r="F130" s="298">
        <v>11513.166666666666</v>
      </c>
      <c r="G130" s="297">
        <v>10932.583333333334</v>
      </c>
      <c r="H130" s="297">
        <v>7970.916666666667</v>
      </c>
      <c r="I130" s="299">
        <v>2961.6666666666665</v>
      </c>
    </row>
    <row r="131" spans="1:9" ht="15" customHeight="1">
      <c r="A131" s="7" t="s">
        <v>103</v>
      </c>
      <c r="B131" s="7" t="s">
        <v>477</v>
      </c>
      <c r="C131" s="7" t="s">
        <v>718</v>
      </c>
      <c r="D131" s="295" t="s">
        <v>878</v>
      </c>
      <c r="E131" s="298">
        <v>6042.25</v>
      </c>
      <c r="F131" s="298">
        <v>12486.416666666666</v>
      </c>
      <c r="G131" s="297">
        <v>11973.666666666666</v>
      </c>
      <c r="H131" s="297">
        <v>8443.5833333333339</v>
      </c>
      <c r="I131" s="299">
        <v>3530.0833333333335</v>
      </c>
    </row>
    <row r="132" spans="1:9" ht="15" customHeight="1">
      <c r="A132" s="7" t="s">
        <v>116</v>
      </c>
      <c r="B132" s="7" t="s">
        <v>785</v>
      </c>
      <c r="C132" s="7" t="s">
        <v>718</v>
      </c>
      <c r="D132" s="295" t="s">
        <v>878</v>
      </c>
      <c r="E132" s="298">
        <v>1785.0833333333333</v>
      </c>
      <c r="F132" s="298">
        <v>3207.6666666666665</v>
      </c>
      <c r="G132" s="297">
        <v>2942.5833333333335</v>
      </c>
      <c r="H132" s="297">
        <v>2219.9166666666665</v>
      </c>
      <c r="I132" s="299">
        <v>722.66666666666663</v>
      </c>
    </row>
    <row r="133" spans="1:9" ht="15" customHeight="1">
      <c r="A133" s="7" t="s">
        <v>117</v>
      </c>
      <c r="B133" s="7" t="s">
        <v>786</v>
      </c>
      <c r="C133" s="7" t="s">
        <v>718</v>
      </c>
      <c r="D133" s="295" t="s">
        <v>876</v>
      </c>
      <c r="E133" s="298">
        <v>2837.25</v>
      </c>
      <c r="F133" s="298">
        <v>5597</v>
      </c>
      <c r="G133" s="297">
        <v>5252.333333333333</v>
      </c>
      <c r="H133" s="297">
        <v>3755.3333333333335</v>
      </c>
      <c r="I133" s="299">
        <v>1497</v>
      </c>
    </row>
    <row r="134" spans="1:9" ht="15" customHeight="1">
      <c r="A134" s="7" t="s">
        <v>105</v>
      </c>
      <c r="B134" s="7" t="s">
        <v>478</v>
      </c>
      <c r="C134" s="7" t="s">
        <v>718</v>
      </c>
      <c r="D134" s="295" t="s">
        <v>874</v>
      </c>
      <c r="E134" s="298">
        <v>3310.9166666666665</v>
      </c>
      <c r="F134" s="298">
        <v>6795.333333333333</v>
      </c>
      <c r="G134" s="297">
        <v>6597.166666666667</v>
      </c>
      <c r="H134" s="297">
        <v>4650.416666666667</v>
      </c>
      <c r="I134" s="299">
        <v>1946.75</v>
      </c>
    </row>
    <row r="135" spans="1:9" ht="15" customHeight="1">
      <c r="A135" s="7" t="s">
        <v>100</v>
      </c>
      <c r="B135" s="7" t="s">
        <v>787</v>
      </c>
      <c r="C135" s="7" t="s">
        <v>718</v>
      </c>
      <c r="D135" s="295" t="s">
        <v>874</v>
      </c>
      <c r="E135" s="298">
        <v>6851.416666666667</v>
      </c>
      <c r="F135" s="298">
        <v>13567</v>
      </c>
      <c r="G135" s="297">
        <v>12858.666666666666</v>
      </c>
      <c r="H135" s="297">
        <v>9264.1666666666661</v>
      </c>
      <c r="I135" s="299">
        <v>3594.5</v>
      </c>
    </row>
    <row r="136" spans="1:9" ht="15" customHeight="1">
      <c r="A136" s="7" t="s">
        <v>106</v>
      </c>
      <c r="B136" s="7" t="s">
        <v>479</v>
      </c>
      <c r="C136" s="7" t="s">
        <v>718</v>
      </c>
      <c r="D136" s="295" t="s">
        <v>883</v>
      </c>
      <c r="E136" s="298">
        <v>4560.916666666667</v>
      </c>
      <c r="F136" s="298">
        <v>9611.0833333333339</v>
      </c>
      <c r="G136" s="297">
        <v>8897.1666666666661</v>
      </c>
      <c r="H136" s="297">
        <v>6488.583333333333</v>
      </c>
      <c r="I136" s="299">
        <v>2408.5833333333335</v>
      </c>
    </row>
    <row r="137" spans="1:9" ht="15" customHeight="1">
      <c r="A137" s="7" t="s">
        <v>107</v>
      </c>
      <c r="B137" s="7" t="s">
        <v>480</v>
      </c>
      <c r="C137" s="7" t="s">
        <v>718</v>
      </c>
      <c r="D137" s="295" t="s">
        <v>882</v>
      </c>
      <c r="E137" s="298">
        <v>8557.75</v>
      </c>
      <c r="F137" s="298">
        <v>16061.25</v>
      </c>
      <c r="G137" s="297">
        <v>15471</v>
      </c>
      <c r="H137" s="297">
        <v>11462.583333333334</v>
      </c>
      <c r="I137" s="299">
        <v>4008.4166666666665</v>
      </c>
    </row>
    <row r="138" spans="1:9" ht="15" customHeight="1">
      <c r="A138" s="7" t="s">
        <v>108</v>
      </c>
      <c r="B138" s="7" t="s">
        <v>481</v>
      </c>
      <c r="C138" s="7" t="s">
        <v>718</v>
      </c>
      <c r="D138" s="295" t="s">
        <v>879</v>
      </c>
      <c r="E138" s="298">
        <v>3223.8333333333335</v>
      </c>
      <c r="F138" s="298">
        <v>6479.333333333333</v>
      </c>
      <c r="G138" s="297">
        <v>6107.25</v>
      </c>
      <c r="H138" s="297">
        <v>4396.666666666667</v>
      </c>
      <c r="I138" s="299">
        <v>1710.5833333333333</v>
      </c>
    </row>
    <row r="139" spans="1:9" ht="15" customHeight="1">
      <c r="A139" s="7" t="s">
        <v>109</v>
      </c>
      <c r="B139" s="7" t="s">
        <v>482</v>
      </c>
      <c r="C139" s="7" t="s">
        <v>718</v>
      </c>
      <c r="D139" s="295" t="s">
        <v>878</v>
      </c>
      <c r="E139" s="298">
        <v>3086.1666666666665</v>
      </c>
      <c r="F139" s="298">
        <v>6273.916666666667</v>
      </c>
      <c r="G139" s="297">
        <v>6080.5</v>
      </c>
      <c r="H139" s="297">
        <v>4368.666666666667</v>
      </c>
      <c r="I139" s="299">
        <v>1711.8333333333333</v>
      </c>
    </row>
    <row r="140" spans="1:9" ht="15" customHeight="1">
      <c r="A140" s="7" t="s">
        <v>110</v>
      </c>
      <c r="B140" s="7" t="s">
        <v>483</v>
      </c>
      <c r="C140" s="7" t="s">
        <v>718</v>
      </c>
      <c r="D140" s="295" t="s">
        <v>878</v>
      </c>
      <c r="E140" s="298">
        <v>2814</v>
      </c>
      <c r="F140" s="298">
        <v>5807.166666666667</v>
      </c>
      <c r="G140" s="297">
        <v>5672.333333333333</v>
      </c>
      <c r="H140" s="297">
        <v>4008.75</v>
      </c>
      <c r="I140" s="299">
        <v>1663.5833333333333</v>
      </c>
    </row>
    <row r="141" spans="1:9" ht="15" customHeight="1">
      <c r="A141" s="7" t="s">
        <v>122</v>
      </c>
      <c r="B141" s="7" t="s">
        <v>788</v>
      </c>
      <c r="C141" s="7" t="s">
        <v>718</v>
      </c>
      <c r="D141" s="295" t="s">
        <v>882</v>
      </c>
      <c r="E141" s="298">
        <v>5703.083333333333</v>
      </c>
      <c r="F141" s="298">
        <v>10800.75</v>
      </c>
      <c r="G141" s="297">
        <v>10339.083333333334</v>
      </c>
      <c r="H141" s="297">
        <v>7564.25</v>
      </c>
      <c r="I141" s="299">
        <v>2774.8333333333335</v>
      </c>
    </row>
    <row r="142" spans="1:9" ht="15" customHeight="1">
      <c r="A142" s="7" t="s">
        <v>123</v>
      </c>
      <c r="B142" s="7" t="s">
        <v>789</v>
      </c>
      <c r="C142" s="7" t="s">
        <v>718</v>
      </c>
      <c r="D142" s="295" t="s">
        <v>878</v>
      </c>
      <c r="E142" s="298">
        <v>2560.9166666666665</v>
      </c>
      <c r="F142" s="298">
        <v>5176.333333333333</v>
      </c>
      <c r="G142" s="297">
        <v>4860.75</v>
      </c>
      <c r="H142" s="297">
        <v>3511.6666666666665</v>
      </c>
      <c r="I142" s="299">
        <v>1349.0833333333333</v>
      </c>
    </row>
    <row r="143" spans="1:9" ht="15" customHeight="1">
      <c r="A143" s="7" t="s">
        <v>111</v>
      </c>
      <c r="B143" s="7" t="s">
        <v>484</v>
      </c>
      <c r="C143" s="7" t="s">
        <v>718</v>
      </c>
      <c r="D143" s="295" t="s">
        <v>882</v>
      </c>
      <c r="E143" s="298">
        <v>8315.4166666666661</v>
      </c>
      <c r="F143" s="298">
        <v>15448.166666666666</v>
      </c>
      <c r="G143" s="297">
        <v>14791</v>
      </c>
      <c r="H143" s="297">
        <v>10966.25</v>
      </c>
      <c r="I143" s="299">
        <v>3824.75</v>
      </c>
    </row>
    <row r="144" spans="1:9" ht="15" customHeight="1">
      <c r="A144" s="7" t="s">
        <v>112</v>
      </c>
      <c r="B144" s="7" t="s">
        <v>485</v>
      </c>
      <c r="C144" s="7" t="s">
        <v>718</v>
      </c>
      <c r="D144" s="295" t="s">
        <v>876</v>
      </c>
      <c r="E144" s="298">
        <v>6396.25</v>
      </c>
      <c r="F144" s="298">
        <v>13201.5</v>
      </c>
      <c r="G144" s="297">
        <v>12432.333333333334</v>
      </c>
      <c r="H144" s="297">
        <v>8768.5</v>
      </c>
      <c r="I144" s="299">
        <v>3663.8333333333335</v>
      </c>
    </row>
    <row r="145" spans="1:9" ht="15" customHeight="1">
      <c r="A145" s="7" t="s">
        <v>113</v>
      </c>
      <c r="B145" s="7" t="s">
        <v>486</v>
      </c>
      <c r="C145" s="7" t="s">
        <v>718</v>
      </c>
      <c r="D145" s="295" t="s">
        <v>879</v>
      </c>
      <c r="E145" s="298">
        <v>7153.25</v>
      </c>
      <c r="F145" s="298">
        <v>15646.583333333334</v>
      </c>
      <c r="G145" s="297">
        <v>14971.083333333334</v>
      </c>
      <c r="H145" s="297">
        <v>10384.333333333334</v>
      </c>
      <c r="I145" s="299">
        <v>4586.75</v>
      </c>
    </row>
    <row r="146" spans="1:9" ht="15" customHeight="1">
      <c r="A146" s="7" t="s">
        <v>114</v>
      </c>
      <c r="B146" s="7" t="s">
        <v>487</v>
      </c>
      <c r="C146" s="7" t="s">
        <v>718</v>
      </c>
      <c r="D146" s="295" t="s">
        <v>878</v>
      </c>
      <c r="E146" s="298">
        <v>5800.5</v>
      </c>
      <c r="F146" s="298">
        <v>12002.166666666666</v>
      </c>
      <c r="G146" s="297">
        <v>11214.083333333334</v>
      </c>
      <c r="H146" s="297">
        <v>8012</v>
      </c>
      <c r="I146" s="299">
        <v>3202.0833333333335</v>
      </c>
    </row>
    <row r="147" spans="1:9" ht="15" customHeight="1">
      <c r="A147" s="7" t="s">
        <v>115</v>
      </c>
      <c r="B147" s="7" t="s">
        <v>488</v>
      </c>
      <c r="C147" s="7" t="s">
        <v>718</v>
      </c>
      <c r="D147" s="295" t="s">
        <v>878</v>
      </c>
      <c r="E147" s="298">
        <v>3228.75</v>
      </c>
      <c r="F147" s="298">
        <v>6581.333333333333</v>
      </c>
      <c r="G147" s="297">
        <v>6151.833333333333</v>
      </c>
      <c r="H147" s="297">
        <v>4432.583333333333</v>
      </c>
      <c r="I147" s="299">
        <v>1719.25</v>
      </c>
    </row>
    <row r="148" spans="1:9" ht="15" customHeight="1">
      <c r="A148" s="7" t="s">
        <v>118</v>
      </c>
      <c r="B148" s="7" t="s">
        <v>489</v>
      </c>
      <c r="C148" s="7" t="s">
        <v>718</v>
      </c>
      <c r="D148" s="295" t="s">
        <v>874</v>
      </c>
      <c r="E148" s="298">
        <v>3052</v>
      </c>
      <c r="F148" s="298">
        <v>6655.583333333333</v>
      </c>
      <c r="G148" s="297">
        <v>6337.833333333333</v>
      </c>
      <c r="H148" s="297">
        <v>4445.25</v>
      </c>
      <c r="I148" s="299">
        <v>1892.5833333333333</v>
      </c>
    </row>
    <row r="149" spans="1:9" ht="15" customHeight="1">
      <c r="A149" s="7" t="s">
        <v>119</v>
      </c>
      <c r="B149" s="7" t="s">
        <v>490</v>
      </c>
      <c r="C149" s="7" t="s">
        <v>718</v>
      </c>
      <c r="D149" s="295" t="s">
        <v>876</v>
      </c>
      <c r="E149" s="298">
        <v>4191.833333333333</v>
      </c>
      <c r="F149" s="298">
        <v>8910.6666666666661</v>
      </c>
      <c r="G149" s="297">
        <v>8361.5833333333339</v>
      </c>
      <c r="H149" s="297">
        <v>5855.25</v>
      </c>
      <c r="I149" s="299">
        <v>2506.3333333333335</v>
      </c>
    </row>
    <row r="150" spans="1:9" ht="15" customHeight="1">
      <c r="A150" s="7" t="s">
        <v>120</v>
      </c>
      <c r="B150" s="7" t="s">
        <v>491</v>
      </c>
      <c r="C150" s="7" t="s">
        <v>718</v>
      </c>
      <c r="D150" s="295" t="s">
        <v>879</v>
      </c>
      <c r="E150" s="298">
        <v>3357.5833333333335</v>
      </c>
      <c r="F150" s="298">
        <v>6987.5</v>
      </c>
      <c r="G150" s="297">
        <v>6572.416666666667</v>
      </c>
      <c r="H150" s="297">
        <v>4618.25</v>
      </c>
      <c r="I150" s="299">
        <v>1954.1666666666667</v>
      </c>
    </row>
    <row r="151" spans="1:9" ht="15" customHeight="1">
      <c r="A151" s="7" t="s">
        <v>121</v>
      </c>
      <c r="B151" s="7" t="s">
        <v>492</v>
      </c>
      <c r="C151" s="7" t="s">
        <v>718</v>
      </c>
      <c r="D151" s="295" t="s">
        <v>878</v>
      </c>
      <c r="E151" s="298">
        <v>5314</v>
      </c>
      <c r="F151" s="298">
        <v>11630.166666666666</v>
      </c>
      <c r="G151" s="297">
        <v>11022</v>
      </c>
      <c r="H151" s="297">
        <v>7601.416666666667</v>
      </c>
      <c r="I151" s="299">
        <v>3420.5833333333335</v>
      </c>
    </row>
    <row r="152" spans="1:9" ht="15" customHeight="1">
      <c r="A152" s="7" t="s">
        <v>104</v>
      </c>
      <c r="B152" s="7" t="s">
        <v>790</v>
      </c>
      <c r="C152" s="7" t="s">
        <v>718</v>
      </c>
      <c r="D152" s="295" t="s">
        <v>878</v>
      </c>
      <c r="E152" s="298">
        <v>4410.75</v>
      </c>
      <c r="F152" s="298">
        <v>9903.3333333333339</v>
      </c>
      <c r="G152" s="297">
        <v>9383</v>
      </c>
      <c r="H152" s="297">
        <v>6482.5</v>
      </c>
      <c r="I152" s="299">
        <v>2900.5</v>
      </c>
    </row>
    <row r="153" spans="1:9" ht="15" customHeight="1">
      <c r="A153" s="7" t="s">
        <v>124</v>
      </c>
      <c r="B153" s="7" t="s">
        <v>493</v>
      </c>
      <c r="C153" s="7" t="s">
        <v>720</v>
      </c>
      <c r="D153" s="295" t="s">
        <v>879</v>
      </c>
      <c r="E153" s="298">
        <v>8342.4166666666661</v>
      </c>
      <c r="F153" s="298">
        <v>16920.083333333332</v>
      </c>
      <c r="G153" s="297">
        <v>15687</v>
      </c>
      <c r="H153" s="297">
        <v>11354</v>
      </c>
      <c r="I153" s="299">
        <v>4333</v>
      </c>
    </row>
    <row r="154" spans="1:9" ht="15" customHeight="1">
      <c r="A154" s="7" t="s">
        <v>125</v>
      </c>
      <c r="B154" s="7" t="s">
        <v>494</v>
      </c>
      <c r="C154" s="7" t="s">
        <v>720</v>
      </c>
      <c r="D154" s="295" t="s">
        <v>882</v>
      </c>
      <c r="E154" s="298">
        <v>25380.583333333332</v>
      </c>
      <c r="F154" s="298">
        <v>49776.5</v>
      </c>
      <c r="G154" s="297">
        <v>47101.416666666664</v>
      </c>
      <c r="H154" s="297">
        <v>34572.666666666664</v>
      </c>
      <c r="I154" s="299">
        <v>12528.75</v>
      </c>
    </row>
    <row r="155" spans="1:9" ht="15" customHeight="1">
      <c r="A155" s="7" t="s">
        <v>142</v>
      </c>
      <c r="B155" s="7" t="s">
        <v>792</v>
      </c>
      <c r="C155" s="7" t="s">
        <v>720</v>
      </c>
      <c r="D155" s="295" t="s">
        <v>879</v>
      </c>
      <c r="E155" s="298">
        <v>10932</v>
      </c>
      <c r="F155" s="298">
        <v>22548.25</v>
      </c>
      <c r="G155" s="297">
        <v>21439.25</v>
      </c>
      <c r="H155" s="297">
        <v>15349.25</v>
      </c>
      <c r="I155" s="299">
        <v>6090</v>
      </c>
    </row>
    <row r="156" spans="1:9" ht="15" customHeight="1">
      <c r="A156" s="7" t="s">
        <v>127</v>
      </c>
      <c r="B156" s="7" t="s">
        <v>495</v>
      </c>
      <c r="C156" s="7" t="s">
        <v>720</v>
      </c>
      <c r="D156" s="295" t="s">
        <v>880</v>
      </c>
      <c r="E156" s="298">
        <v>7968.416666666667</v>
      </c>
      <c r="F156" s="298">
        <v>17026.416666666668</v>
      </c>
      <c r="G156" s="297">
        <v>16420.166666666668</v>
      </c>
      <c r="H156" s="297">
        <v>11567.5</v>
      </c>
      <c r="I156" s="299">
        <v>4852.666666666667</v>
      </c>
    </row>
    <row r="157" spans="1:9" ht="15" customHeight="1">
      <c r="A157" s="7" t="s">
        <v>128</v>
      </c>
      <c r="B157" s="7" t="s">
        <v>496</v>
      </c>
      <c r="C157" s="7" t="s">
        <v>720</v>
      </c>
      <c r="D157" s="295" t="s">
        <v>879</v>
      </c>
      <c r="E157" s="298">
        <v>7985.916666666667</v>
      </c>
      <c r="F157" s="298">
        <v>15818.333333333334</v>
      </c>
      <c r="G157" s="297">
        <v>15076.583333333334</v>
      </c>
      <c r="H157" s="297">
        <v>10906.5</v>
      </c>
      <c r="I157" s="299">
        <v>4170.083333333333</v>
      </c>
    </row>
    <row r="158" spans="1:9" ht="15" customHeight="1">
      <c r="A158" s="7" t="s">
        <v>129</v>
      </c>
      <c r="B158" s="7" t="s">
        <v>497</v>
      </c>
      <c r="C158" s="7" t="s">
        <v>720</v>
      </c>
      <c r="D158" s="295" t="s">
        <v>879</v>
      </c>
      <c r="E158" s="298">
        <v>9387.5833333333339</v>
      </c>
      <c r="F158" s="298">
        <v>18497.416666666668</v>
      </c>
      <c r="G158" s="297">
        <v>17895.75</v>
      </c>
      <c r="H158" s="297">
        <v>13049.833333333334</v>
      </c>
      <c r="I158" s="299">
        <v>4845.916666666667</v>
      </c>
    </row>
    <row r="159" spans="1:9" ht="15" customHeight="1">
      <c r="A159" s="7" t="s">
        <v>130</v>
      </c>
      <c r="B159" s="7" t="s">
        <v>498</v>
      </c>
      <c r="C159" s="7" t="s">
        <v>720</v>
      </c>
      <c r="D159" s="295" t="s">
        <v>882</v>
      </c>
      <c r="E159" s="298">
        <v>17568.5</v>
      </c>
      <c r="F159" s="298">
        <v>35282.916666666664</v>
      </c>
      <c r="G159" s="297">
        <v>33828</v>
      </c>
      <c r="H159" s="297">
        <v>24491.25</v>
      </c>
      <c r="I159" s="299">
        <v>9336.75</v>
      </c>
    </row>
    <row r="160" spans="1:9" ht="15" customHeight="1">
      <c r="A160" s="7" t="s">
        <v>131</v>
      </c>
      <c r="B160" s="7" t="s">
        <v>793</v>
      </c>
      <c r="C160" s="7" t="s">
        <v>720</v>
      </c>
      <c r="D160" s="295" t="s">
        <v>879</v>
      </c>
      <c r="E160" s="298">
        <v>9811.5</v>
      </c>
      <c r="F160" s="298">
        <v>19834.583333333332</v>
      </c>
      <c r="G160" s="297">
        <v>19139.916666666668</v>
      </c>
      <c r="H160" s="297">
        <v>13822.5</v>
      </c>
      <c r="I160" s="299">
        <v>5317.416666666667</v>
      </c>
    </row>
    <row r="161" spans="1:9" ht="15" customHeight="1">
      <c r="A161" s="7" t="s">
        <v>132</v>
      </c>
      <c r="B161" s="7" t="s">
        <v>499</v>
      </c>
      <c r="C161" s="7" t="s">
        <v>720</v>
      </c>
      <c r="D161" s="295" t="s">
        <v>883</v>
      </c>
      <c r="E161" s="298">
        <v>20960.083333333332</v>
      </c>
      <c r="F161" s="298">
        <v>41589.666666666664</v>
      </c>
      <c r="G161" s="297">
        <v>39826.666666666664</v>
      </c>
      <c r="H161" s="297">
        <v>29360.583333333332</v>
      </c>
      <c r="I161" s="299">
        <v>10466.083333333334</v>
      </c>
    </row>
    <row r="162" spans="1:9" ht="15" customHeight="1">
      <c r="A162" s="7" t="s">
        <v>133</v>
      </c>
      <c r="B162" s="7" t="s">
        <v>500</v>
      </c>
      <c r="C162" s="7" t="s">
        <v>720</v>
      </c>
      <c r="D162" s="295" t="s">
        <v>883</v>
      </c>
      <c r="E162" s="298">
        <v>11347.083333333334</v>
      </c>
      <c r="F162" s="298">
        <v>23582.75</v>
      </c>
      <c r="G162" s="297">
        <v>22589.416666666668</v>
      </c>
      <c r="H162" s="297">
        <v>16280.833333333334</v>
      </c>
      <c r="I162" s="299">
        <v>6308.583333333333</v>
      </c>
    </row>
    <row r="163" spans="1:9" ht="15" customHeight="1">
      <c r="A163" s="7" t="s">
        <v>134</v>
      </c>
      <c r="B163" s="7" t="s">
        <v>501</v>
      </c>
      <c r="C163" s="7" t="s">
        <v>720</v>
      </c>
      <c r="D163" s="295" t="s">
        <v>880</v>
      </c>
      <c r="E163" s="298">
        <v>14003.833333333334</v>
      </c>
      <c r="F163" s="298">
        <v>29510.666666666668</v>
      </c>
      <c r="G163" s="297">
        <v>28227.333333333332</v>
      </c>
      <c r="H163" s="297">
        <v>20193.916666666668</v>
      </c>
      <c r="I163" s="299">
        <v>8033.416666666667</v>
      </c>
    </row>
    <row r="164" spans="1:9" ht="15" customHeight="1">
      <c r="A164" s="7" t="s">
        <v>135</v>
      </c>
      <c r="B164" s="7" t="s">
        <v>502</v>
      </c>
      <c r="C164" s="7" t="s">
        <v>720</v>
      </c>
      <c r="D164" s="295" t="s">
        <v>879</v>
      </c>
      <c r="E164" s="298">
        <v>18036</v>
      </c>
      <c r="F164" s="298">
        <v>36751.083333333336</v>
      </c>
      <c r="G164" s="297">
        <v>35386</v>
      </c>
      <c r="H164" s="297">
        <v>25345.166666666668</v>
      </c>
      <c r="I164" s="299">
        <v>10040.833333333334</v>
      </c>
    </row>
    <row r="165" spans="1:9" ht="15" customHeight="1">
      <c r="A165" s="7" t="s">
        <v>136</v>
      </c>
      <c r="B165" s="7" t="s">
        <v>503</v>
      </c>
      <c r="C165" s="7" t="s">
        <v>720</v>
      </c>
      <c r="D165" s="295" t="s">
        <v>879</v>
      </c>
      <c r="E165" s="298">
        <v>16106.083333333334</v>
      </c>
      <c r="F165" s="298">
        <v>33754.666666666664</v>
      </c>
      <c r="G165" s="297">
        <v>32337.833333333332</v>
      </c>
      <c r="H165" s="297">
        <v>23074.25</v>
      </c>
      <c r="I165" s="299">
        <v>9263.5833333333339</v>
      </c>
    </row>
    <row r="166" spans="1:9" ht="15" customHeight="1">
      <c r="A166" s="7" t="s">
        <v>137</v>
      </c>
      <c r="B166" s="7" t="s">
        <v>504</v>
      </c>
      <c r="C166" s="7" t="s">
        <v>720</v>
      </c>
      <c r="D166" s="295" t="s">
        <v>879</v>
      </c>
      <c r="E166" s="298">
        <v>5552.083333333333</v>
      </c>
      <c r="F166" s="298">
        <v>11265.416666666666</v>
      </c>
      <c r="G166" s="297">
        <v>10645.416666666666</v>
      </c>
      <c r="H166" s="297">
        <v>7667.333333333333</v>
      </c>
      <c r="I166" s="299">
        <v>2978.0833333333335</v>
      </c>
    </row>
    <row r="167" spans="1:9" ht="15" customHeight="1">
      <c r="A167" s="7" t="s">
        <v>138</v>
      </c>
      <c r="B167" s="7" t="s">
        <v>505</v>
      </c>
      <c r="C167" s="7" t="s">
        <v>720</v>
      </c>
      <c r="D167" s="295" t="s">
        <v>879</v>
      </c>
      <c r="E167" s="298">
        <v>8807.3333333333339</v>
      </c>
      <c r="F167" s="298">
        <v>17907</v>
      </c>
      <c r="G167" s="297">
        <v>16986.083333333332</v>
      </c>
      <c r="H167" s="297">
        <v>12191.25</v>
      </c>
      <c r="I167" s="299">
        <v>4794.833333333333</v>
      </c>
    </row>
    <row r="168" spans="1:9" ht="15" customHeight="1">
      <c r="A168" s="7" t="s">
        <v>139</v>
      </c>
      <c r="B168" s="7" t="s">
        <v>506</v>
      </c>
      <c r="C168" s="7" t="s">
        <v>720</v>
      </c>
      <c r="D168" s="295" t="s">
        <v>878</v>
      </c>
      <c r="E168" s="298">
        <v>5366.416666666667</v>
      </c>
      <c r="F168" s="298">
        <v>10523.5</v>
      </c>
      <c r="G168" s="297">
        <v>10131.833333333334</v>
      </c>
      <c r="H168" s="297">
        <v>7266.5</v>
      </c>
      <c r="I168" s="299">
        <v>2865.3333333333335</v>
      </c>
    </row>
    <row r="169" spans="1:9" ht="15" customHeight="1">
      <c r="A169" s="7" t="s">
        <v>140</v>
      </c>
      <c r="B169" s="7" t="s">
        <v>794</v>
      </c>
      <c r="C169" s="7" t="s">
        <v>720</v>
      </c>
      <c r="D169" s="295" t="s">
        <v>879</v>
      </c>
      <c r="E169" s="298">
        <v>12146.833333333334</v>
      </c>
      <c r="F169" s="298">
        <v>25165.416666666668</v>
      </c>
      <c r="G169" s="297">
        <v>24221.25</v>
      </c>
      <c r="H169" s="297">
        <v>17231.75</v>
      </c>
      <c r="I169" s="299">
        <v>6989.5</v>
      </c>
    </row>
    <row r="170" spans="1:9" ht="15" customHeight="1">
      <c r="A170" s="7" t="s">
        <v>141</v>
      </c>
      <c r="B170" s="7" t="s">
        <v>507</v>
      </c>
      <c r="C170" s="7" t="s">
        <v>720</v>
      </c>
      <c r="D170" s="295" t="s">
        <v>883</v>
      </c>
      <c r="E170" s="298">
        <v>45066.583333333336</v>
      </c>
      <c r="F170" s="298">
        <v>92834.833333333328</v>
      </c>
      <c r="G170" s="297">
        <v>89699.5</v>
      </c>
      <c r="H170" s="297">
        <v>63817.333333333336</v>
      </c>
      <c r="I170" s="299">
        <v>25882.166666666668</v>
      </c>
    </row>
    <row r="171" spans="1:9" ht="15" customHeight="1">
      <c r="A171" s="7" t="s">
        <v>143</v>
      </c>
      <c r="B171" s="7" t="s">
        <v>508</v>
      </c>
      <c r="C171" s="7" t="s">
        <v>720</v>
      </c>
      <c r="D171" s="295" t="s">
        <v>882</v>
      </c>
      <c r="E171" s="298">
        <v>27869.833333333332</v>
      </c>
      <c r="F171" s="298">
        <v>53579.5</v>
      </c>
      <c r="G171" s="297">
        <v>51352.333333333336</v>
      </c>
      <c r="H171" s="297">
        <v>38020.666666666664</v>
      </c>
      <c r="I171" s="299">
        <v>13331.666666666666</v>
      </c>
    </row>
    <row r="172" spans="1:9" ht="15" customHeight="1">
      <c r="A172" s="7" t="s">
        <v>145</v>
      </c>
      <c r="B172" s="7" t="s">
        <v>509</v>
      </c>
      <c r="C172" s="7" t="s">
        <v>720</v>
      </c>
      <c r="D172" s="295" t="s">
        <v>883</v>
      </c>
      <c r="E172" s="298">
        <v>35207.916666666664</v>
      </c>
      <c r="F172" s="298">
        <v>76284.166666666672</v>
      </c>
      <c r="G172" s="297">
        <v>72933.916666666672</v>
      </c>
      <c r="H172" s="297">
        <v>51266.083333333336</v>
      </c>
      <c r="I172" s="299">
        <v>21667.833333333332</v>
      </c>
    </row>
    <row r="173" spans="1:9" ht="15" customHeight="1">
      <c r="A173" s="7" t="s">
        <v>146</v>
      </c>
      <c r="B173" s="7" t="s">
        <v>795</v>
      </c>
      <c r="C173" s="7" t="s">
        <v>720</v>
      </c>
      <c r="D173" s="295" t="s">
        <v>883</v>
      </c>
      <c r="E173" s="298">
        <v>42999.416666666664</v>
      </c>
      <c r="F173" s="298">
        <v>87866.25</v>
      </c>
      <c r="G173" s="297">
        <v>86092.916666666672</v>
      </c>
      <c r="H173" s="297">
        <v>61331.166666666664</v>
      </c>
      <c r="I173" s="299">
        <v>24761.75</v>
      </c>
    </row>
    <row r="174" spans="1:9" ht="15" customHeight="1">
      <c r="A174" s="7" t="s">
        <v>147</v>
      </c>
      <c r="B174" s="7" t="s">
        <v>510</v>
      </c>
      <c r="C174" s="7" t="s">
        <v>720</v>
      </c>
      <c r="D174" s="295" t="s">
        <v>883</v>
      </c>
      <c r="E174" s="298">
        <v>24029.25</v>
      </c>
      <c r="F174" s="298">
        <v>53117.25</v>
      </c>
      <c r="G174" s="297">
        <v>50813.083333333336</v>
      </c>
      <c r="H174" s="297">
        <v>35536.916666666664</v>
      </c>
      <c r="I174" s="299">
        <v>15276.166666666666</v>
      </c>
    </row>
    <row r="175" spans="1:9" ht="15" customHeight="1">
      <c r="A175" s="7" t="s">
        <v>148</v>
      </c>
      <c r="B175" s="7" t="s">
        <v>511</v>
      </c>
      <c r="C175" s="7" t="s">
        <v>720</v>
      </c>
      <c r="D175" s="295" t="s">
        <v>883</v>
      </c>
      <c r="E175" s="298">
        <v>5584.583333333333</v>
      </c>
      <c r="F175" s="298">
        <v>11395.166666666666</v>
      </c>
      <c r="G175" s="297">
        <v>10864.083333333334</v>
      </c>
      <c r="H175" s="297">
        <v>7803.25</v>
      </c>
      <c r="I175" s="299">
        <v>3060.8333333333335</v>
      </c>
    </row>
    <row r="176" spans="1:9" ht="15" customHeight="1">
      <c r="A176" s="7" t="s">
        <v>149</v>
      </c>
      <c r="B176" s="7" t="s">
        <v>512</v>
      </c>
      <c r="C176" s="7" t="s">
        <v>720</v>
      </c>
      <c r="D176" s="295" t="s">
        <v>879</v>
      </c>
      <c r="E176" s="298">
        <v>14169.083333333334</v>
      </c>
      <c r="F176" s="298">
        <v>27640.25</v>
      </c>
      <c r="G176" s="297">
        <v>26838.25</v>
      </c>
      <c r="H176" s="297">
        <v>19470.166666666668</v>
      </c>
      <c r="I176" s="299">
        <v>7368.083333333333</v>
      </c>
    </row>
    <row r="177" spans="1:9" ht="15" customHeight="1">
      <c r="A177" s="7" t="s">
        <v>150</v>
      </c>
      <c r="B177" s="7" t="s">
        <v>513</v>
      </c>
      <c r="C177" s="7" t="s">
        <v>720</v>
      </c>
      <c r="D177" s="295" t="s">
        <v>883</v>
      </c>
      <c r="E177" s="298">
        <v>12455</v>
      </c>
      <c r="F177" s="298">
        <v>27528.833333333332</v>
      </c>
      <c r="G177" s="297">
        <v>26147.166666666668</v>
      </c>
      <c r="H177" s="297">
        <v>18300.416666666668</v>
      </c>
      <c r="I177" s="299">
        <v>7846.75</v>
      </c>
    </row>
    <row r="178" spans="1:9" ht="15" customHeight="1">
      <c r="A178" s="7" t="s">
        <v>151</v>
      </c>
      <c r="B178" s="7" t="s">
        <v>514</v>
      </c>
      <c r="C178" s="7" t="s">
        <v>720</v>
      </c>
      <c r="D178" s="295" t="s">
        <v>883</v>
      </c>
      <c r="E178" s="298">
        <v>9741.5833333333339</v>
      </c>
      <c r="F178" s="298">
        <v>17996</v>
      </c>
      <c r="G178" s="297">
        <v>16361.083333333334</v>
      </c>
      <c r="H178" s="297">
        <v>13041.333333333334</v>
      </c>
      <c r="I178" s="299">
        <v>3319.75</v>
      </c>
    </row>
    <row r="179" spans="1:9" ht="15" customHeight="1">
      <c r="A179" s="7" t="s">
        <v>152</v>
      </c>
      <c r="B179" s="7" t="s">
        <v>515</v>
      </c>
      <c r="C179" s="7" t="s">
        <v>720</v>
      </c>
      <c r="D179" s="295" t="s">
        <v>883</v>
      </c>
      <c r="E179" s="298">
        <v>17187.25</v>
      </c>
      <c r="F179" s="298">
        <v>34406.416666666664</v>
      </c>
      <c r="G179" s="297">
        <v>32814.166666666664</v>
      </c>
      <c r="H179" s="297">
        <v>23846.5</v>
      </c>
      <c r="I179" s="299">
        <v>8967.6666666666661</v>
      </c>
    </row>
    <row r="180" spans="1:9" ht="15" customHeight="1">
      <c r="A180" s="7" t="s">
        <v>153</v>
      </c>
      <c r="B180" s="7" t="s">
        <v>516</v>
      </c>
      <c r="C180" s="7" t="s">
        <v>720</v>
      </c>
      <c r="D180" s="295" t="s">
        <v>879</v>
      </c>
      <c r="E180" s="298">
        <v>8294.6666666666661</v>
      </c>
      <c r="F180" s="298">
        <v>17289.833333333332</v>
      </c>
      <c r="G180" s="297">
        <v>16424</v>
      </c>
      <c r="H180" s="297">
        <v>11630.166666666666</v>
      </c>
      <c r="I180" s="299">
        <v>4793.833333333333</v>
      </c>
    </row>
    <row r="181" spans="1:9" ht="15" customHeight="1">
      <c r="A181" s="7" t="s">
        <v>154</v>
      </c>
      <c r="B181" s="7" t="s">
        <v>517</v>
      </c>
      <c r="C181" s="7" t="s">
        <v>720</v>
      </c>
      <c r="D181" s="295" t="s">
        <v>879</v>
      </c>
      <c r="E181" s="298">
        <v>11417.583333333334</v>
      </c>
      <c r="F181" s="298">
        <v>24893.083333333332</v>
      </c>
      <c r="G181" s="297">
        <v>24053.416666666668</v>
      </c>
      <c r="H181" s="297">
        <v>16840.333333333332</v>
      </c>
      <c r="I181" s="299">
        <v>7213.083333333333</v>
      </c>
    </row>
    <row r="182" spans="1:9" ht="15" customHeight="1">
      <c r="A182" s="7" t="s">
        <v>155</v>
      </c>
      <c r="B182" s="7" t="s">
        <v>518</v>
      </c>
      <c r="C182" s="7" t="s">
        <v>720</v>
      </c>
      <c r="D182" s="295" t="s">
        <v>879</v>
      </c>
      <c r="E182" s="298">
        <v>17443</v>
      </c>
      <c r="F182" s="298">
        <v>34329</v>
      </c>
      <c r="G182" s="297">
        <v>32678.25</v>
      </c>
      <c r="H182" s="297">
        <v>23931.75</v>
      </c>
      <c r="I182" s="299">
        <v>8746.5</v>
      </c>
    </row>
    <row r="183" spans="1:9" ht="15" customHeight="1">
      <c r="A183" s="7" t="s">
        <v>156</v>
      </c>
      <c r="B183" s="7" t="s">
        <v>519</v>
      </c>
      <c r="C183" s="7" t="s">
        <v>720</v>
      </c>
      <c r="D183" s="295" t="s">
        <v>882</v>
      </c>
      <c r="E183" s="298">
        <v>59312.75</v>
      </c>
      <c r="F183" s="298">
        <v>115376.75</v>
      </c>
      <c r="G183" s="297">
        <v>111269.08333333333</v>
      </c>
      <c r="H183" s="297">
        <v>81478.166666666672</v>
      </c>
      <c r="I183" s="299">
        <v>29790.916666666668</v>
      </c>
    </row>
    <row r="184" spans="1:9" ht="15" customHeight="1">
      <c r="A184" s="7" t="s">
        <v>157</v>
      </c>
      <c r="B184" s="7" t="s">
        <v>520</v>
      </c>
      <c r="C184" s="7" t="s">
        <v>720</v>
      </c>
      <c r="D184" s="295" t="s">
        <v>882</v>
      </c>
      <c r="E184" s="298">
        <v>14215.5</v>
      </c>
      <c r="F184" s="298">
        <v>27641.5</v>
      </c>
      <c r="G184" s="297">
        <v>26499.833333333332</v>
      </c>
      <c r="H184" s="297">
        <v>19476.75</v>
      </c>
      <c r="I184" s="299">
        <v>7023.083333333333</v>
      </c>
    </row>
    <row r="185" spans="1:9" ht="15" customHeight="1">
      <c r="A185" s="7" t="s">
        <v>158</v>
      </c>
      <c r="B185" s="7" t="s">
        <v>521</v>
      </c>
      <c r="C185" s="7" t="s">
        <v>720</v>
      </c>
      <c r="D185" s="295" t="s">
        <v>879</v>
      </c>
      <c r="E185" s="298">
        <v>9547.6666666666661</v>
      </c>
      <c r="F185" s="298">
        <v>18061.583333333332</v>
      </c>
      <c r="G185" s="297">
        <v>17230.25</v>
      </c>
      <c r="H185" s="297">
        <v>12737.166666666666</v>
      </c>
      <c r="I185" s="299">
        <v>4493.083333333333</v>
      </c>
    </row>
    <row r="186" spans="1:9" ht="15" customHeight="1">
      <c r="A186" s="7" t="s">
        <v>144</v>
      </c>
      <c r="B186" s="7" t="s">
        <v>889</v>
      </c>
      <c r="C186" s="7" t="s">
        <v>720</v>
      </c>
      <c r="D186" s="295" t="s">
        <v>879</v>
      </c>
      <c r="E186" s="298">
        <v>19945.166666666668</v>
      </c>
      <c r="F186" s="298">
        <v>40882.416666666664</v>
      </c>
      <c r="G186" s="297">
        <v>39635</v>
      </c>
      <c r="H186" s="297">
        <v>28020.583333333332</v>
      </c>
      <c r="I186" s="299">
        <v>11614.416666666666</v>
      </c>
    </row>
    <row r="187" spans="1:9" ht="15" customHeight="1">
      <c r="A187" s="7" t="s">
        <v>160</v>
      </c>
      <c r="B187" s="7" t="s">
        <v>522</v>
      </c>
      <c r="C187" s="7" t="s">
        <v>720</v>
      </c>
      <c r="D187" s="295" t="s">
        <v>883</v>
      </c>
      <c r="E187" s="298">
        <v>17089.25</v>
      </c>
      <c r="F187" s="298">
        <v>35242.5</v>
      </c>
      <c r="G187" s="297">
        <v>33756.916666666664</v>
      </c>
      <c r="H187" s="297">
        <v>23908.833333333332</v>
      </c>
      <c r="I187" s="299">
        <v>9848.0833333333339</v>
      </c>
    </row>
    <row r="188" spans="1:9" ht="15" customHeight="1">
      <c r="A188" s="7" t="s">
        <v>161</v>
      </c>
      <c r="B188" s="7" t="s">
        <v>523</v>
      </c>
      <c r="C188" s="7" t="s">
        <v>720</v>
      </c>
      <c r="D188" s="295" t="s">
        <v>879</v>
      </c>
      <c r="E188" s="298">
        <v>15522.916666666666</v>
      </c>
      <c r="F188" s="298">
        <v>31749.5</v>
      </c>
      <c r="G188" s="297">
        <v>30426</v>
      </c>
      <c r="H188" s="297">
        <v>21930.916666666668</v>
      </c>
      <c r="I188" s="299">
        <v>8495.0833333333339</v>
      </c>
    </row>
    <row r="189" spans="1:9" ht="15" customHeight="1">
      <c r="A189" s="7" t="s">
        <v>126</v>
      </c>
      <c r="B189" s="7" t="s">
        <v>796</v>
      </c>
      <c r="C189" s="7" t="s">
        <v>720</v>
      </c>
      <c r="D189" s="295" t="s">
        <v>879</v>
      </c>
      <c r="E189" s="298">
        <v>8025.666666666667</v>
      </c>
      <c r="F189" s="298">
        <v>16249.5</v>
      </c>
      <c r="G189" s="297">
        <v>15852.083333333334</v>
      </c>
      <c r="H189" s="297">
        <v>11422.916666666666</v>
      </c>
      <c r="I189" s="299">
        <v>4429.166666666667</v>
      </c>
    </row>
    <row r="190" spans="1:9" ht="15" customHeight="1">
      <c r="A190" s="7" t="s">
        <v>162</v>
      </c>
      <c r="B190" s="7" t="s">
        <v>797</v>
      </c>
      <c r="C190" s="7" t="s">
        <v>720</v>
      </c>
      <c r="D190" s="295" t="s">
        <v>880</v>
      </c>
      <c r="E190" s="298">
        <v>10484.583333333334</v>
      </c>
      <c r="F190" s="298">
        <v>20368.25</v>
      </c>
      <c r="G190" s="297">
        <v>19479.5</v>
      </c>
      <c r="H190" s="297">
        <v>14166</v>
      </c>
      <c r="I190" s="299">
        <v>5313.5</v>
      </c>
    </row>
    <row r="191" spans="1:9" ht="15" customHeight="1">
      <c r="A191" s="7" t="s">
        <v>163</v>
      </c>
      <c r="B191" s="7" t="s">
        <v>524</v>
      </c>
      <c r="C191" s="7" t="s">
        <v>720</v>
      </c>
      <c r="D191" s="295" t="s">
        <v>883</v>
      </c>
      <c r="E191" s="298">
        <v>9543.5</v>
      </c>
      <c r="F191" s="298">
        <v>20293</v>
      </c>
      <c r="G191" s="297">
        <v>19831.75</v>
      </c>
      <c r="H191" s="297">
        <v>13875.916666666666</v>
      </c>
      <c r="I191" s="299">
        <v>5955.833333333333</v>
      </c>
    </row>
    <row r="192" spans="1:9" ht="15" customHeight="1">
      <c r="A192" s="7" t="s">
        <v>164</v>
      </c>
      <c r="B192" s="7" t="s">
        <v>525</v>
      </c>
      <c r="C192" s="7" t="s">
        <v>720</v>
      </c>
      <c r="D192" s="295" t="s">
        <v>883</v>
      </c>
      <c r="E192" s="298">
        <v>13919.5</v>
      </c>
      <c r="F192" s="298">
        <v>28183.333333333332</v>
      </c>
      <c r="G192" s="297">
        <v>26806.416666666668</v>
      </c>
      <c r="H192" s="297">
        <v>19309.166666666668</v>
      </c>
      <c r="I192" s="299">
        <v>7497.25</v>
      </c>
    </row>
    <row r="193" spans="1:9" ht="15" customHeight="1">
      <c r="A193" s="7" t="s">
        <v>165</v>
      </c>
      <c r="B193" s="7" t="s">
        <v>526</v>
      </c>
      <c r="C193" s="7" t="s">
        <v>720</v>
      </c>
      <c r="D193" s="295" t="s">
        <v>879</v>
      </c>
      <c r="E193" s="298">
        <v>10222.083333333334</v>
      </c>
      <c r="F193" s="298">
        <v>20415.25</v>
      </c>
      <c r="G193" s="297">
        <v>19333</v>
      </c>
      <c r="H193" s="297">
        <v>14139.833333333334</v>
      </c>
      <c r="I193" s="299">
        <v>5193.166666666667</v>
      </c>
    </row>
    <row r="194" spans="1:9" ht="15" customHeight="1">
      <c r="A194" s="7" t="s">
        <v>166</v>
      </c>
      <c r="B194" s="7" t="s">
        <v>527</v>
      </c>
      <c r="C194" s="7" t="s">
        <v>720</v>
      </c>
      <c r="D194" s="295" t="s">
        <v>876</v>
      </c>
      <c r="E194" s="298">
        <v>3624.9166666666665</v>
      </c>
      <c r="F194" s="298">
        <v>7394.916666666667</v>
      </c>
      <c r="G194" s="297">
        <v>6872.666666666667</v>
      </c>
      <c r="H194" s="297">
        <v>4972.083333333333</v>
      </c>
      <c r="I194" s="299">
        <v>1900.5833333333333</v>
      </c>
    </row>
    <row r="195" spans="1:9" ht="15" customHeight="1">
      <c r="A195" s="7" t="s">
        <v>167</v>
      </c>
      <c r="B195" s="7" t="s">
        <v>798</v>
      </c>
      <c r="C195" s="7" t="s">
        <v>720</v>
      </c>
      <c r="D195" s="295" t="s">
        <v>883</v>
      </c>
      <c r="E195" s="298">
        <v>33481.25</v>
      </c>
      <c r="F195" s="298">
        <v>69211.25</v>
      </c>
      <c r="G195" s="297">
        <v>66433.416666666672</v>
      </c>
      <c r="H195" s="297">
        <v>47706.583333333336</v>
      </c>
      <c r="I195" s="299">
        <v>18726.833333333332</v>
      </c>
    </row>
    <row r="196" spans="1:9" ht="15" customHeight="1">
      <c r="A196" s="7" t="s">
        <v>168</v>
      </c>
      <c r="B196" s="7" t="s">
        <v>528</v>
      </c>
      <c r="C196" s="7" t="s">
        <v>720</v>
      </c>
      <c r="D196" s="295" t="s">
        <v>879</v>
      </c>
      <c r="E196" s="298">
        <v>12067</v>
      </c>
      <c r="F196" s="298">
        <v>24117.583333333332</v>
      </c>
      <c r="G196" s="297">
        <v>23087.333333333332</v>
      </c>
      <c r="H196" s="297">
        <v>16561.333333333332</v>
      </c>
      <c r="I196" s="299">
        <v>6526</v>
      </c>
    </row>
    <row r="197" spans="1:9" ht="15" customHeight="1">
      <c r="A197" s="7" t="s">
        <v>169</v>
      </c>
      <c r="B197" s="7" t="s">
        <v>529</v>
      </c>
      <c r="C197" s="7" t="s">
        <v>720</v>
      </c>
      <c r="D197" s="295" t="s">
        <v>879</v>
      </c>
      <c r="E197" s="298">
        <v>9525.8333333333339</v>
      </c>
      <c r="F197" s="298">
        <v>19346.333333333332</v>
      </c>
      <c r="G197" s="297">
        <v>18438.25</v>
      </c>
      <c r="H197" s="297">
        <v>13168.166666666666</v>
      </c>
      <c r="I197" s="299">
        <v>5270.083333333333</v>
      </c>
    </row>
    <row r="198" spans="1:9" ht="15" customHeight="1">
      <c r="A198" s="7" t="s">
        <v>170</v>
      </c>
      <c r="B198" s="7" t="s">
        <v>530</v>
      </c>
      <c r="C198" s="7" t="s">
        <v>720</v>
      </c>
      <c r="D198" s="295" t="s">
        <v>874</v>
      </c>
      <c r="E198" s="298">
        <v>3034.6666666666665</v>
      </c>
      <c r="F198" s="298">
        <v>5983.25</v>
      </c>
      <c r="G198" s="297">
        <v>5643.416666666667</v>
      </c>
      <c r="H198" s="297">
        <v>4103.916666666667</v>
      </c>
      <c r="I198" s="299">
        <v>1539.5</v>
      </c>
    </row>
    <row r="199" spans="1:9" ht="15" customHeight="1">
      <c r="A199" s="7" t="s">
        <v>171</v>
      </c>
      <c r="B199" s="7" t="s">
        <v>531</v>
      </c>
      <c r="C199" s="7" t="s">
        <v>720</v>
      </c>
      <c r="D199" s="295" t="s">
        <v>879</v>
      </c>
      <c r="E199" s="298">
        <v>9660.0833333333339</v>
      </c>
      <c r="F199" s="298">
        <v>18572</v>
      </c>
      <c r="G199" s="297">
        <v>17595.5</v>
      </c>
      <c r="H199" s="297">
        <v>13005.833333333334</v>
      </c>
      <c r="I199" s="299">
        <v>4589.666666666667</v>
      </c>
    </row>
    <row r="200" spans="1:9" ht="15" customHeight="1">
      <c r="A200" s="7" t="s">
        <v>159</v>
      </c>
      <c r="B200" s="7" t="s">
        <v>799</v>
      </c>
      <c r="C200" s="7" t="s">
        <v>720</v>
      </c>
      <c r="D200" s="295" t="s">
        <v>879</v>
      </c>
      <c r="E200" s="298">
        <v>7094.333333333333</v>
      </c>
      <c r="F200" s="298">
        <v>13559.666666666666</v>
      </c>
      <c r="G200" s="297">
        <v>12955.083333333334</v>
      </c>
      <c r="H200" s="297">
        <v>9587</v>
      </c>
      <c r="I200" s="299">
        <v>3368.0833333333335</v>
      </c>
    </row>
    <row r="201" spans="1:9" ht="15" customHeight="1">
      <c r="A201" s="7" t="s">
        <v>174</v>
      </c>
      <c r="B201" s="7" t="s">
        <v>532</v>
      </c>
      <c r="C201" s="7" t="s">
        <v>720</v>
      </c>
      <c r="D201" s="295" t="s">
        <v>879</v>
      </c>
      <c r="E201" s="298">
        <v>17289.916666666668</v>
      </c>
      <c r="F201" s="298">
        <v>34852.666666666664</v>
      </c>
      <c r="G201" s="297">
        <v>32763.25</v>
      </c>
      <c r="H201" s="297">
        <v>24058.25</v>
      </c>
      <c r="I201" s="299">
        <v>8705</v>
      </c>
    </row>
    <row r="202" spans="1:9" ht="15" customHeight="1">
      <c r="A202" s="7" t="s">
        <v>175</v>
      </c>
      <c r="B202" s="7" t="s">
        <v>533</v>
      </c>
      <c r="C202" s="7" t="s">
        <v>720</v>
      </c>
      <c r="D202" s="295" t="s">
        <v>878</v>
      </c>
      <c r="E202" s="298">
        <v>9418.25</v>
      </c>
      <c r="F202" s="298">
        <v>18214.75</v>
      </c>
      <c r="G202" s="297">
        <v>17233.666666666668</v>
      </c>
      <c r="H202" s="297">
        <v>12787.666666666666</v>
      </c>
      <c r="I202" s="299">
        <v>4446</v>
      </c>
    </row>
    <row r="203" spans="1:9" ht="15" customHeight="1">
      <c r="A203" s="7" t="s">
        <v>172</v>
      </c>
      <c r="B203" s="7" t="s">
        <v>890</v>
      </c>
      <c r="C203" s="7" t="s">
        <v>720</v>
      </c>
      <c r="D203" s="295" t="s">
        <v>883</v>
      </c>
      <c r="E203" s="298">
        <v>5471.083333333333</v>
      </c>
      <c r="F203" s="298">
        <v>11628.333333333334</v>
      </c>
      <c r="G203" s="297">
        <v>11097.416666666666</v>
      </c>
      <c r="H203" s="297">
        <v>7840.083333333333</v>
      </c>
      <c r="I203" s="299">
        <v>3257.3333333333335</v>
      </c>
    </row>
    <row r="204" spans="1:9" ht="15" customHeight="1">
      <c r="A204" s="7" t="s">
        <v>173</v>
      </c>
      <c r="B204" s="7" t="s">
        <v>891</v>
      </c>
      <c r="C204" s="7" t="s">
        <v>720</v>
      </c>
      <c r="D204" s="295" t="s">
        <v>883</v>
      </c>
      <c r="E204" s="298">
        <v>7670.083333333333</v>
      </c>
      <c r="F204" s="298">
        <v>15735.75</v>
      </c>
      <c r="G204" s="297">
        <v>15090.75</v>
      </c>
      <c r="H204" s="297">
        <v>10684.916666666666</v>
      </c>
      <c r="I204" s="299">
        <v>4405.833333333333</v>
      </c>
    </row>
    <row r="205" spans="1:9" ht="15" customHeight="1">
      <c r="A205" s="7" t="s">
        <v>176</v>
      </c>
      <c r="B205" s="7" t="s">
        <v>800</v>
      </c>
      <c r="C205" s="7" t="s">
        <v>720</v>
      </c>
      <c r="D205" s="295" t="s">
        <v>883</v>
      </c>
      <c r="E205" s="298">
        <v>22840.5</v>
      </c>
      <c r="F205" s="298">
        <v>47420.166666666664</v>
      </c>
      <c r="G205" s="297">
        <v>46226.666666666664</v>
      </c>
      <c r="H205" s="297">
        <v>32845.833333333336</v>
      </c>
      <c r="I205" s="299">
        <v>13380.833333333334</v>
      </c>
    </row>
    <row r="206" spans="1:9" ht="15" customHeight="1">
      <c r="A206" s="7" t="s">
        <v>177</v>
      </c>
      <c r="B206" s="7" t="s">
        <v>534</v>
      </c>
      <c r="C206" s="7" t="s">
        <v>721</v>
      </c>
      <c r="D206" s="295" t="s">
        <v>875</v>
      </c>
      <c r="E206" s="298">
        <v>2735.8333333333335</v>
      </c>
      <c r="F206" s="298">
        <v>5973.833333333333</v>
      </c>
      <c r="G206" s="297">
        <v>5661.083333333333</v>
      </c>
      <c r="H206" s="297">
        <v>3826.8333333333335</v>
      </c>
      <c r="I206" s="299">
        <v>1834.25</v>
      </c>
    </row>
    <row r="207" spans="1:9" ht="15" customHeight="1">
      <c r="A207" s="7" t="s">
        <v>188</v>
      </c>
      <c r="B207" s="7" t="s">
        <v>801</v>
      </c>
      <c r="C207" s="7" t="s">
        <v>721</v>
      </c>
      <c r="D207" s="295" t="s">
        <v>874</v>
      </c>
      <c r="E207" s="298">
        <v>4968.5</v>
      </c>
      <c r="F207" s="298">
        <v>10465.833333333334</v>
      </c>
      <c r="G207" s="297">
        <v>9862.6666666666661</v>
      </c>
      <c r="H207" s="297">
        <v>6892.166666666667</v>
      </c>
      <c r="I207" s="299">
        <v>2970.5</v>
      </c>
    </row>
    <row r="208" spans="1:9" ht="15" customHeight="1">
      <c r="A208" s="7" t="s">
        <v>179</v>
      </c>
      <c r="B208" s="7" t="s">
        <v>535</v>
      </c>
      <c r="C208" s="7" t="s">
        <v>721</v>
      </c>
      <c r="D208" s="295" t="s">
        <v>879</v>
      </c>
      <c r="E208" s="298">
        <v>7188.416666666667</v>
      </c>
      <c r="F208" s="298">
        <v>15261.5</v>
      </c>
      <c r="G208" s="297">
        <v>14685.75</v>
      </c>
      <c r="H208" s="297">
        <v>10300.416666666666</v>
      </c>
      <c r="I208" s="299">
        <v>4385.333333333333</v>
      </c>
    </row>
    <row r="209" spans="1:9" ht="15" customHeight="1">
      <c r="A209" s="7" t="s">
        <v>180</v>
      </c>
      <c r="B209" s="7" t="s">
        <v>536</v>
      </c>
      <c r="C209" s="7" t="s">
        <v>721</v>
      </c>
      <c r="D209" s="295" t="s">
        <v>879</v>
      </c>
      <c r="E209" s="298">
        <v>7721.416666666667</v>
      </c>
      <c r="F209" s="298">
        <v>16487.833333333332</v>
      </c>
      <c r="G209" s="297">
        <v>15877.916666666666</v>
      </c>
      <c r="H209" s="297">
        <v>11029</v>
      </c>
      <c r="I209" s="299">
        <v>4848.916666666667</v>
      </c>
    </row>
    <row r="210" spans="1:9" ht="15" customHeight="1">
      <c r="A210" s="7" t="s">
        <v>181</v>
      </c>
      <c r="B210" s="7" t="s">
        <v>537</v>
      </c>
      <c r="C210" s="7" t="s">
        <v>721</v>
      </c>
      <c r="D210" s="295" t="s">
        <v>876</v>
      </c>
      <c r="E210" s="298">
        <v>2344.6666666666665</v>
      </c>
      <c r="F210" s="298">
        <v>5193.166666666667</v>
      </c>
      <c r="G210" s="297">
        <v>4940.916666666667</v>
      </c>
      <c r="H210" s="297">
        <v>3390.6666666666665</v>
      </c>
      <c r="I210" s="299">
        <v>1550.25</v>
      </c>
    </row>
    <row r="211" spans="1:9" ht="15" customHeight="1">
      <c r="A211" s="7" t="s">
        <v>183</v>
      </c>
      <c r="B211" s="7" t="s">
        <v>538</v>
      </c>
      <c r="C211" s="7" t="s">
        <v>721</v>
      </c>
      <c r="D211" s="295" t="s">
        <v>880</v>
      </c>
      <c r="E211" s="298">
        <v>6888.416666666667</v>
      </c>
      <c r="F211" s="298">
        <v>14288.25</v>
      </c>
      <c r="G211" s="297">
        <v>13846.75</v>
      </c>
      <c r="H211" s="297">
        <v>9468.25</v>
      </c>
      <c r="I211" s="299">
        <v>4378.5</v>
      </c>
    </row>
    <row r="212" spans="1:9" ht="15" customHeight="1">
      <c r="A212" s="7" t="s">
        <v>187</v>
      </c>
      <c r="B212" s="7" t="s">
        <v>539</v>
      </c>
      <c r="C212" s="7" t="s">
        <v>721</v>
      </c>
      <c r="D212" s="295" t="s">
        <v>880</v>
      </c>
      <c r="E212" s="298">
        <v>32579.666666666668</v>
      </c>
      <c r="F212" s="298">
        <v>64452.416666666664</v>
      </c>
      <c r="G212" s="297">
        <v>61435.916666666664</v>
      </c>
      <c r="H212" s="297">
        <v>43887.333333333336</v>
      </c>
      <c r="I212" s="299">
        <v>17548.583333333332</v>
      </c>
    </row>
    <row r="213" spans="1:9" ht="15" customHeight="1">
      <c r="A213" s="7" t="s">
        <v>189</v>
      </c>
      <c r="B213" s="7" t="s">
        <v>540</v>
      </c>
      <c r="C213" s="7" t="s">
        <v>721</v>
      </c>
      <c r="D213" s="295" t="s">
        <v>879</v>
      </c>
      <c r="E213" s="298">
        <v>11502.666666666666</v>
      </c>
      <c r="F213" s="298">
        <v>22949.333333333332</v>
      </c>
      <c r="G213" s="297">
        <v>21986.833333333332</v>
      </c>
      <c r="H213" s="297">
        <v>15683.75</v>
      </c>
      <c r="I213" s="299">
        <v>6303.083333333333</v>
      </c>
    </row>
    <row r="214" spans="1:9" ht="15" customHeight="1">
      <c r="A214" s="7" t="s">
        <v>190</v>
      </c>
      <c r="B214" s="7" t="s">
        <v>541</v>
      </c>
      <c r="C214" s="7" t="s">
        <v>721</v>
      </c>
      <c r="D214" s="295" t="s">
        <v>876</v>
      </c>
      <c r="E214" s="298">
        <v>2470.5833333333335</v>
      </c>
      <c r="F214" s="298">
        <v>4965.416666666667</v>
      </c>
      <c r="G214" s="297">
        <v>4598.166666666667</v>
      </c>
      <c r="H214" s="297">
        <v>3325.6666666666665</v>
      </c>
      <c r="I214" s="299">
        <v>1272.5</v>
      </c>
    </row>
    <row r="215" spans="1:9" ht="15" customHeight="1">
      <c r="A215" s="7" t="s">
        <v>191</v>
      </c>
      <c r="B215" s="7" t="s">
        <v>542</v>
      </c>
      <c r="C215" s="7" t="s">
        <v>721</v>
      </c>
      <c r="D215" s="295" t="s">
        <v>879</v>
      </c>
      <c r="E215" s="298">
        <v>7988.583333333333</v>
      </c>
      <c r="F215" s="298">
        <v>16294.333333333334</v>
      </c>
      <c r="G215" s="297">
        <v>15550.333333333334</v>
      </c>
      <c r="H215" s="297">
        <v>11136.833333333334</v>
      </c>
      <c r="I215" s="299">
        <v>4413.5</v>
      </c>
    </row>
    <row r="216" spans="1:9" ht="15" customHeight="1">
      <c r="A216" s="7" t="s">
        <v>192</v>
      </c>
      <c r="B216" s="7" t="s">
        <v>543</v>
      </c>
      <c r="C216" s="7" t="s">
        <v>721</v>
      </c>
      <c r="D216" s="295" t="s">
        <v>879</v>
      </c>
      <c r="E216" s="298">
        <v>13474.583333333334</v>
      </c>
      <c r="F216" s="298">
        <v>28177.25</v>
      </c>
      <c r="G216" s="297">
        <v>27351.583333333332</v>
      </c>
      <c r="H216" s="297">
        <v>19310.083333333332</v>
      </c>
      <c r="I216" s="299">
        <v>8041.5</v>
      </c>
    </row>
    <row r="217" spans="1:9" ht="15" customHeight="1">
      <c r="A217" s="7" t="s">
        <v>184</v>
      </c>
      <c r="B217" s="7" t="s">
        <v>892</v>
      </c>
      <c r="C217" s="7" t="s">
        <v>721</v>
      </c>
      <c r="D217" s="295" t="s">
        <v>880</v>
      </c>
      <c r="E217" s="298">
        <v>5548.75</v>
      </c>
      <c r="F217" s="298">
        <v>11704.916666666666</v>
      </c>
      <c r="G217" s="297">
        <v>11417.75</v>
      </c>
      <c r="H217" s="297">
        <v>7949.666666666667</v>
      </c>
      <c r="I217" s="299">
        <v>3468.0833333333335</v>
      </c>
    </row>
    <row r="218" spans="1:9" ht="15" customHeight="1">
      <c r="A218" s="7" t="s">
        <v>185</v>
      </c>
      <c r="B218" s="7" t="s">
        <v>893</v>
      </c>
      <c r="C218" s="7" t="s">
        <v>721</v>
      </c>
      <c r="D218" s="295" t="s">
        <v>880</v>
      </c>
      <c r="E218" s="298">
        <v>5886.333333333333</v>
      </c>
      <c r="F218" s="298">
        <v>12472.916666666666</v>
      </c>
      <c r="G218" s="297">
        <v>12128.75</v>
      </c>
      <c r="H218" s="297">
        <v>8509.4166666666661</v>
      </c>
      <c r="I218" s="299">
        <v>3619.3333333333335</v>
      </c>
    </row>
    <row r="219" spans="1:9" ht="15" customHeight="1">
      <c r="A219" s="7" t="s">
        <v>182</v>
      </c>
      <c r="B219" s="7" t="s">
        <v>894</v>
      </c>
      <c r="C219" s="7" t="s">
        <v>721</v>
      </c>
      <c r="D219" s="295" t="s">
        <v>880</v>
      </c>
      <c r="E219" s="298">
        <v>9562.75</v>
      </c>
      <c r="F219" s="298">
        <v>21248.75</v>
      </c>
      <c r="G219" s="297">
        <v>20371.5</v>
      </c>
      <c r="H219" s="297">
        <v>14124.166666666666</v>
      </c>
      <c r="I219" s="299">
        <v>6247.333333333333</v>
      </c>
    </row>
    <row r="220" spans="1:9" ht="15" customHeight="1">
      <c r="A220" s="7" t="s">
        <v>193</v>
      </c>
      <c r="B220" s="7" t="s">
        <v>544</v>
      </c>
      <c r="C220" s="7" t="s">
        <v>721</v>
      </c>
      <c r="D220" s="295" t="s">
        <v>882</v>
      </c>
      <c r="E220" s="298">
        <v>12193</v>
      </c>
      <c r="F220" s="298">
        <v>25181.666666666668</v>
      </c>
      <c r="G220" s="297">
        <v>24046.333333333332</v>
      </c>
      <c r="H220" s="297">
        <v>16913.083333333332</v>
      </c>
      <c r="I220" s="299">
        <v>7133.25</v>
      </c>
    </row>
    <row r="221" spans="1:9" ht="15" customHeight="1">
      <c r="A221" s="7" t="s">
        <v>194</v>
      </c>
      <c r="B221" s="7" t="s">
        <v>545</v>
      </c>
      <c r="C221" s="7" t="s">
        <v>721</v>
      </c>
      <c r="D221" s="295" t="s">
        <v>879</v>
      </c>
      <c r="E221" s="298">
        <v>5748.75</v>
      </c>
      <c r="F221" s="298">
        <v>12043.666666666666</v>
      </c>
      <c r="G221" s="297">
        <v>11443.833333333334</v>
      </c>
      <c r="H221" s="297">
        <v>8004</v>
      </c>
      <c r="I221" s="299">
        <v>3439.8333333333335</v>
      </c>
    </row>
    <row r="222" spans="1:9" ht="15" customHeight="1">
      <c r="A222" s="7" t="s">
        <v>178</v>
      </c>
      <c r="B222" s="7" t="s">
        <v>802</v>
      </c>
      <c r="C222" s="7" t="s">
        <v>721</v>
      </c>
      <c r="D222" s="295" t="s">
        <v>876</v>
      </c>
      <c r="E222" s="298">
        <v>3073.1666666666665</v>
      </c>
      <c r="F222" s="298">
        <v>5947.833333333333</v>
      </c>
      <c r="G222" s="297">
        <v>5566.916666666667</v>
      </c>
      <c r="H222" s="297">
        <v>4006.0833333333335</v>
      </c>
      <c r="I222" s="299">
        <v>1560.8333333333333</v>
      </c>
    </row>
    <row r="223" spans="1:9" ht="15" customHeight="1">
      <c r="A223" s="7" t="s">
        <v>195</v>
      </c>
      <c r="B223" s="7" t="s">
        <v>546</v>
      </c>
      <c r="C223" s="7" t="s">
        <v>721</v>
      </c>
      <c r="D223" s="295" t="s">
        <v>875</v>
      </c>
      <c r="E223" s="298">
        <v>3885.4166666666665</v>
      </c>
      <c r="F223" s="298">
        <v>7819.25</v>
      </c>
      <c r="G223" s="297">
        <v>7356</v>
      </c>
      <c r="H223" s="297">
        <v>5281.833333333333</v>
      </c>
      <c r="I223" s="299">
        <v>2074.1666666666665</v>
      </c>
    </row>
    <row r="224" spans="1:9" ht="15" customHeight="1">
      <c r="A224" s="7" t="s">
        <v>742</v>
      </c>
      <c r="B224" s="7" t="s">
        <v>803</v>
      </c>
      <c r="C224" s="7" t="s">
        <v>721</v>
      </c>
      <c r="D224" s="295" t="s">
        <v>876</v>
      </c>
      <c r="E224" s="298">
        <v>4303.75</v>
      </c>
      <c r="F224" s="298">
        <v>9012.75</v>
      </c>
      <c r="G224" s="297">
        <v>8479.1666666666661</v>
      </c>
      <c r="H224" s="297">
        <v>5964</v>
      </c>
      <c r="I224" s="299">
        <v>2515.1666666666665</v>
      </c>
    </row>
    <row r="225" spans="1:9" ht="15" customHeight="1">
      <c r="A225" s="7" t="s">
        <v>196</v>
      </c>
      <c r="B225" s="7" t="s">
        <v>547</v>
      </c>
      <c r="C225" s="7" t="s">
        <v>721</v>
      </c>
      <c r="D225" s="295" t="s">
        <v>878</v>
      </c>
      <c r="E225" s="298">
        <v>5159.916666666667</v>
      </c>
      <c r="F225" s="298">
        <v>10996.916666666666</v>
      </c>
      <c r="G225" s="297">
        <v>10443.416666666666</v>
      </c>
      <c r="H225" s="297">
        <v>7377.75</v>
      </c>
      <c r="I225" s="299">
        <v>3065.6666666666665</v>
      </c>
    </row>
    <row r="226" spans="1:9" ht="15" customHeight="1">
      <c r="A226" s="7" t="s">
        <v>199</v>
      </c>
      <c r="B226" s="7" t="s">
        <v>804</v>
      </c>
      <c r="C226" s="7" t="s">
        <v>721</v>
      </c>
      <c r="D226" s="295" t="s">
        <v>879</v>
      </c>
      <c r="E226" s="298">
        <v>8954.5</v>
      </c>
      <c r="F226" s="298">
        <v>19144.833333333332</v>
      </c>
      <c r="G226" s="297">
        <v>18325.75</v>
      </c>
      <c r="H226" s="297">
        <v>12702</v>
      </c>
      <c r="I226" s="299">
        <v>5623.75</v>
      </c>
    </row>
    <row r="227" spans="1:9" ht="15" customHeight="1">
      <c r="A227" s="7" t="s">
        <v>197</v>
      </c>
      <c r="B227" s="7" t="s">
        <v>548</v>
      </c>
      <c r="C227" s="7" t="s">
        <v>721</v>
      </c>
      <c r="D227" s="295" t="s">
        <v>879</v>
      </c>
      <c r="E227" s="298">
        <v>7352.166666666667</v>
      </c>
      <c r="F227" s="298">
        <v>14297.916666666666</v>
      </c>
      <c r="G227" s="297">
        <v>13737.5</v>
      </c>
      <c r="H227" s="297">
        <v>9931.8333333333339</v>
      </c>
      <c r="I227" s="299">
        <v>3805.6666666666665</v>
      </c>
    </row>
    <row r="228" spans="1:9" ht="15" customHeight="1">
      <c r="A228" s="7" t="s">
        <v>186</v>
      </c>
      <c r="B228" s="7" t="s">
        <v>895</v>
      </c>
      <c r="C228" s="7" t="s">
        <v>721</v>
      </c>
      <c r="D228" s="295" t="s">
        <v>880</v>
      </c>
      <c r="E228" s="298">
        <v>10731</v>
      </c>
      <c r="F228" s="298">
        <v>23291.166666666668</v>
      </c>
      <c r="G228" s="297">
        <v>22655.833333333332</v>
      </c>
      <c r="H228" s="297">
        <v>15691</v>
      </c>
      <c r="I228" s="299">
        <v>6964.833333333333</v>
      </c>
    </row>
    <row r="229" spans="1:9" ht="15" customHeight="1">
      <c r="A229" s="7" t="s">
        <v>198</v>
      </c>
      <c r="B229" s="7" t="s">
        <v>805</v>
      </c>
      <c r="C229" s="7" t="s">
        <v>721</v>
      </c>
      <c r="D229" s="295" t="s">
        <v>882</v>
      </c>
      <c r="E229" s="298">
        <v>6566.666666666667</v>
      </c>
      <c r="F229" s="298">
        <v>14057.083333333334</v>
      </c>
      <c r="G229" s="297">
        <v>13807.5</v>
      </c>
      <c r="H229" s="297">
        <v>9682.0833333333339</v>
      </c>
      <c r="I229" s="299">
        <v>4125.416666666667</v>
      </c>
    </row>
    <row r="230" spans="1:9" ht="15" customHeight="1">
      <c r="A230" s="7" t="s">
        <v>200</v>
      </c>
      <c r="B230" s="7" t="s">
        <v>549</v>
      </c>
      <c r="C230" s="7" t="s">
        <v>721</v>
      </c>
      <c r="D230" s="295" t="s">
        <v>880</v>
      </c>
      <c r="E230" s="298">
        <v>14748</v>
      </c>
      <c r="F230" s="298">
        <v>31147.583333333332</v>
      </c>
      <c r="G230" s="297">
        <v>30183.75</v>
      </c>
      <c r="H230" s="297">
        <v>21056.75</v>
      </c>
      <c r="I230" s="299">
        <v>9127</v>
      </c>
    </row>
    <row r="231" spans="1:9" ht="15" customHeight="1">
      <c r="A231" s="7" t="s">
        <v>201</v>
      </c>
      <c r="B231" s="7" t="s">
        <v>550</v>
      </c>
      <c r="C231" s="7" t="s">
        <v>721</v>
      </c>
      <c r="D231" s="295" t="s">
        <v>878</v>
      </c>
      <c r="E231" s="298">
        <v>4871.5</v>
      </c>
      <c r="F231" s="298">
        <v>10501.5</v>
      </c>
      <c r="G231" s="297">
        <v>10179.25</v>
      </c>
      <c r="H231" s="297">
        <v>7053.166666666667</v>
      </c>
      <c r="I231" s="299">
        <v>3126.0833333333335</v>
      </c>
    </row>
    <row r="232" spans="1:9" ht="15" customHeight="1">
      <c r="A232" s="7" t="s">
        <v>202</v>
      </c>
      <c r="B232" s="7" t="s">
        <v>551</v>
      </c>
      <c r="C232" s="7" t="s">
        <v>722</v>
      </c>
      <c r="D232" s="295" t="s">
        <v>876</v>
      </c>
      <c r="E232" s="298">
        <v>5367.25</v>
      </c>
      <c r="F232" s="298">
        <v>10675.916666666666</v>
      </c>
      <c r="G232" s="297">
        <v>10037.25</v>
      </c>
      <c r="H232" s="297">
        <v>7280.75</v>
      </c>
      <c r="I232" s="299">
        <v>2756.5</v>
      </c>
    </row>
    <row r="233" spans="1:9" ht="15" customHeight="1">
      <c r="A233" s="7" t="s">
        <v>203</v>
      </c>
      <c r="B233" s="7" t="s">
        <v>552</v>
      </c>
      <c r="C233" s="7" t="s">
        <v>722</v>
      </c>
      <c r="D233" s="295" t="s">
        <v>876</v>
      </c>
      <c r="E233" s="298">
        <v>2868.9166666666665</v>
      </c>
      <c r="F233" s="298">
        <v>6100.333333333333</v>
      </c>
      <c r="G233" s="297">
        <v>5684.333333333333</v>
      </c>
      <c r="H233" s="297">
        <v>3919.25</v>
      </c>
      <c r="I233" s="299">
        <v>1765.0833333333333</v>
      </c>
    </row>
    <row r="234" spans="1:9" ht="15" customHeight="1">
      <c r="A234" s="7" t="s">
        <v>204</v>
      </c>
      <c r="B234" s="7" t="s">
        <v>553</v>
      </c>
      <c r="C234" s="7" t="s">
        <v>722</v>
      </c>
      <c r="D234" s="295" t="s">
        <v>875</v>
      </c>
      <c r="E234" s="298">
        <v>1978.5833333333333</v>
      </c>
      <c r="F234" s="298">
        <v>4109.166666666667</v>
      </c>
      <c r="G234" s="297">
        <v>3869.5833333333335</v>
      </c>
      <c r="H234" s="297">
        <v>2730.4166666666665</v>
      </c>
      <c r="I234" s="299">
        <v>1139.1666666666667</v>
      </c>
    </row>
    <row r="235" spans="1:9" ht="15" customHeight="1">
      <c r="A235" s="7" t="s">
        <v>205</v>
      </c>
      <c r="B235" s="7" t="s">
        <v>554</v>
      </c>
      <c r="C235" s="7" t="s">
        <v>722</v>
      </c>
      <c r="D235" s="295" t="s">
        <v>876</v>
      </c>
      <c r="E235" s="298">
        <v>1976.25</v>
      </c>
      <c r="F235" s="298">
        <v>3880.1666666666665</v>
      </c>
      <c r="G235" s="297">
        <v>3653.5833333333335</v>
      </c>
      <c r="H235" s="297">
        <v>2630.8333333333335</v>
      </c>
      <c r="I235" s="299">
        <v>1022.75</v>
      </c>
    </row>
    <row r="236" spans="1:9" ht="15" customHeight="1">
      <c r="A236" s="7" t="s">
        <v>206</v>
      </c>
      <c r="B236" s="7" t="s">
        <v>555</v>
      </c>
      <c r="C236" s="7" t="s">
        <v>722</v>
      </c>
      <c r="D236" s="295" t="s">
        <v>882</v>
      </c>
      <c r="E236" s="298">
        <v>5078.333333333333</v>
      </c>
      <c r="F236" s="298">
        <v>9609.9166666666661</v>
      </c>
      <c r="G236" s="297">
        <v>9095.5</v>
      </c>
      <c r="H236" s="297">
        <v>6705.083333333333</v>
      </c>
      <c r="I236" s="299">
        <v>2390.4166666666665</v>
      </c>
    </row>
    <row r="237" spans="1:9" ht="15" customHeight="1">
      <c r="A237" s="7" t="s">
        <v>207</v>
      </c>
      <c r="B237" s="7" t="s">
        <v>556</v>
      </c>
      <c r="C237" s="7" t="s">
        <v>722</v>
      </c>
      <c r="D237" s="295" t="s">
        <v>878</v>
      </c>
      <c r="E237" s="298">
        <v>2359.75</v>
      </c>
      <c r="F237" s="298">
        <v>5004</v>
      </c>
      <c r="G237" s="297">
        <v>4738.583333333333</v>
      </c>
      <c r="H237" s="297">
        <v>3310.9166666666665</v>
      </c>
      <c r="I237" s="299">
        <v>1427.6666666666667</v>
      </c>
    </row>
    <row r="238" spans="1:9" ht="15" customHeight="1">
      <c r="A238" s="7" t="s">
        <v>228</v>
      </c>
      <c r="B238" s="7" t="s">
        <v>806</v>
      </c>
      <c r="C238" s="7" t="s">
        <v>722</v>
      </c>
      <c r="D238" s="295" t="s">
        <v>876</v>
      </c>
      <c r="E238" s="298">
        <v>2608.75</v>
      </c>
      <c r="F238" s="298">
        <v>5277.833333333333</v>
      </c>
      <c r="G238" s="297">
        <v>4914</v>
      </c>
      <c r="H238" s="297">
        <v>3495.6666666666665</v>
      </c>
      <c r="I238" s="299">
        <v>1418.3333333333333</v>
      </c>
    </row>
    <row r="239" spans="1:9" ht="15" customHeight="1">
      <c r="A239" s="7" t="s">
        <v>229</v>
      </c>
      <c r="B239" s="7" t="s">
        <v>807</v>
      </c>
      <c r="C239" s="7" t="s">
        <v>722</v>
      </c>
      <c r="D239" s="295" t="s">
        <v>876</v>
      </c>
      <c r="E239" s="298">
        <v>1322.9166666666667</v>
      </c>
      <c r="F239" s="298">
        <v>2678.25</v>
      </c>
      <c r="G239" s="297">
        <v>2525.9166666666665</v>
      </c>
      <c r="H239" s="297">
        <v>1830.6666666666667</v>
      </c>
      <c r="I239" s="299">
        <v>695.25</v>
      </c>
    </row>
    <row r="240" spans="1:9" ht="15" customHeight="1">
      <c r="A240" s="7" t="s">
        <v>230</v>
      </c>
      <c r="B240" s="7" t="s">
        <v>808</v>
      </c>
      <c r="C240" s="7" t="s">
        <v>722</v>
      </c>
      <c r="D240" s="295" t="s">
        <v>878</v>
      </c>
      <c r="E240" s="298">
        <v>1392.0833333333333</v>
      </c>
      <c r="F240" s="298">
        <v>2679</v>
      </c>
      <c r="G240" s="297">
        <v>2559.9166666666665</v>
      </c>
      <c r="H240" s="297">
        <v>1860.9166666666667</v>
      </c>
      <c r="I240" s="299">
        <v>699</v>
      </c>
    </row>
    <row r="241" spans="1:9" ht="15" customHeight="1">
      <c r="A241" s="7" t="s">
        <v>208</v>
      </c>
      <c r="B241" s="7" t="s">
        <v>809</v>
      </c>
      <c r="C241" s="7" t="s">
        <v>722</v>
      </c>
      <c r="D241" s="295" t="s">
        <v>876</v>
      </c>
      <c r="E241" s="298">
        <v>2005.5833333333333</v>
      </c>
      <c r="F241" s="298">
        <v>3927.5833333333335</v>
      </c>
      <c r="G241" s="297">
        <v>3672.6666666666665</v>
      </c>
      <c r="H241" s="297">
        <v>2668.1666666666665</v>
      </c>
      <c r="I241" s="299">
        <v>1004.5</v>
      </c>
    </row>
    <row r="242" spans="1:9" ht="15" customHeight="1">
      <c r="A242" s="7" t="s">
        <v>209</v>
      </c>
      <c r="B242" s="7" t="s">
        <v>557</v>
      </c>
      <c r="C242" s="7" t="s">
        <v>722</v>
      </c>
      <c r="D242" s="295" t="s">
        <v>882</v>
      </c>
      <c r="E242" s="298">
        <v>4899</v>
      </c>
      <c r="F242" s="298">
        <v>9667.1666666666661</v>
      </c>
      <c r="G242" s="297">
        <v>9184.6666666666661</v>
      </c>
      <c r="H242" s="297">
        <v>6687.166666666667</v>
      </c>
      <c r="I242" s="299">
        <v>2497.5</v>
      </c>
    </row>
    <row r="243" spans="1:9" ht="15" customHeight="1">
      <c r="A243" s="7" t="s">
        <v>210</v>
      </c>
      <c r="B243" s="7" t="s">
        <v>558</v>
      </c>
      <c r="C243" s="7" t="s">
        <v>722</v>
      </c>
      <c r="D243" s="295" t="s">
        <v>875</v>
      </c>
      <c r="E243" s="298">
        <v>1242.8333333333333</v>
      </c>
      <c r="F243" s="298">
        <v>2498.6666666666665</v>
      </c>
      <c r="G243" s="297">
        <v>2368.1666666666665</v>
      </c>
      <c r="H243" s="297">
        <v>1679.75</v>
      </c>
      <c r="I243" s="299">
        <v>688.41666666666663</v>
      </c>
    </row>
    <row r="244" spans="1:9" ht="15" customHeight="1">
      <c r="A244" s="7" t="s">
        <v>217</v>
      </c>
      <c r="B244" s="7" t="s">
        <v>810</v>
      </c>
      <c r="C244" s="7" t="s">
        <v>722</v>
      </c>
      <c r="D244" s="295" t="s">
        <v>878</v>
      </c>
      <c r="E244" s="298">
        <v>2569.6666666666665</v>
      </c>
      <c r="F244" s="298">
        <v>5252.666666666667</v>
      </c>
      <c r="G244" s="297">
        <v>4935.083333333333</v>
      </c>
      <c r="H244" s="297">
        <v>3530.1666666666665</v>
      </c>
      <c r="I244" s="299">
        <v>1404.9166666666667</v>
      </c>
    </row>
    <row r="245" spans="1:9" ht="15" customHeight="1">
      <c r="A245" s="7" t="s">
        <v>218</v>
      </c>
      <c r="B245" s="7" t="s">
        <v>811</v>
      </c>
      <c r="C245" s="7" t="s">
        <v>722</v>
      </c>
      <c r="D245" s="295" t="s">
        <v>876</v>
      </c>
      <c r="E245" s="298">
        <v>5203.166666666667</v>
      </c>
      <c r="F245" s="298">
        <v>10521.083333333334</v>
      </c>
      <c r="G245" s="297">
        <v>9925</v>
      </c>
      <c r="H245" s="297">
        <v>7173</v>
      </c>
      <c r="I245" s="299">
        <v>2752</v>
      </c>
    </row>
    <row r="246" spans="1:9" ht="15" customHeight="1">
      <c r="A246" s="7" t="s">
        <v>211</v>
      </c>
      <c r="B246" s="7" t="s">
        <v>559</v>
      </c>
      <c r="C246" s="7" t="s">
        <v>722</v>
      </c>
      <c r="D246" s="295" t="s">
        <v>879</v>
      </c>
      <c r="E246" s="298">
        <v>16758.583333333332</v>
      </c>
      <c r="F246" s="298">
        <v>35272.75</v>
      </c>
      <c r="G246" s="297">
        <v>33647.083333333336</v>
      </c>
      <c r="H246" s="297">
        <v>23898.416666666668</v>
      </c>
      <c r="I246" s="299">
        <v>9748.6666666666661</v>
      </c>
    </row>
    <row r="247" spans="1:9" ht="15" customHeight="1">
      <c r="A247" s="7" t="s">
        <v>213</v>
      </c>
      <c r="B247" s="7" t="s">
        <v>560</v>
      </c>
      <c r="C247" s="7" t="s">
        <v>722</v>
      </c>
      <c r="D247" s="295" t="s">
        <v>878</v>
      </c>
      <c r="E247" s="298">
        <v>2713.3333333333335</v>
      </c>
      <c r="F247" s="298">
        <v>5883.25</v>
      </c>
      <c r="G247" s="297">
        <v>5588.666666666667</v>
      </c>
      <c r="H247" s="297">
        <v>3844.0833333333335</v>
      </c>
      <c r="I247" s="299">
        <v>1744.5833333333333</v>
      </c>
    </row>
    <row r="248" spans="1:9" ht="15" customHeight="1">
      <c r="A248" s="7" t="s">
        <v>214</v>
      </c>
      <c r="B248" s="7" t="s">
        <v>561</v>
      </c>
      <c r="C248" s="7" t="s">
        <v>722</v>
      </c>
      <c r="D248" s="295" t="s">
        <v>880</v>
      </c>
      <c r="E248" s="298">
        <v>8147.25</v>
      </c>
      <c r="F248" s="298">
        <v>15646.75</v>
      </c>
      <c r="G248" s="297">
        <v>15076.333333333334</v>
      </c>
      <c r="H248" s="297">
        <v>11174.833333333334</v>
      </c>
      <c r="I248" s="299">
        <v>3901.5</v>
      </c>
    </row>
    <row r="249" spans="1:9" ht="15" customHeight="1">
      <c r="A249" s="7" t="s">
        <v>216</v>
      </c>
      <c r="B249" s="7" t="s">
        <v>562</v>
      </c>
      <c r="C249" s="7" t="s">
        <v>722</v>
      </c>
      <c r="D249" s="295" t="s">
        <v>882</v>
      </c>
      <c r="E249" s="298">
        <v>3847.5</v>
      </c>
      <c r="F249" s="298">
        <v>8154.166666666667</v>
      </c>
      <c r="G249" s="297">
        <v>7698.916666666667</v>
      </c>
      <c r="H249" s="297">
        <v>5402.166666666667</v>
      </c>
      <c r="I249" s="299">
        <v>2296.75</v>
      </c>
    </row>
    <row r="250" spans="1:9" ht="15" customHeight="1">
      <c r="A250" s="7" t="s">
        <v>215</v>
      </c>
      <c r="B250" s="7" t="s">
        <v>812</v>
      </c>
      <c r="C250" s="7" t="s">
        <v>722</v>
      </c>
      <c r="D250" s="295" t="s">
        <v>874</v>
      </c>
      <c r="E250" s="298">
        <v>4682.75</v>
      </c>
      <c r="F250" s="298">
        <v>9424.0833333333339</v>
      </c>
      <c r="G250" s="297">
        <v>9080.25</v>
      </c>
      <c r="H250" s="297">
        <v>6447</v>
      </c>
      <c r="I250" s="299">
        <v>2633.25</v>
      </c>
    </row>
    <row r="251" spans="1:9" ht="15" customHeight="1">
      <c r="A251" s="7" t="s">
        <v>219</v>
      </c>
      <c r="B251" s="7" t="s">
        <v>563</v>
      </c>
      <c r="C251" s="7" t="s">
        <v>722</v>
      </c>
      <c r="D251" s="295" t="s">
        <v>876</v>
      </c>
      <c r="E251" s="298">
        <v>2899.6666666666665</v>
      </c>
      <c r="F251" s="298">
        <v>5839.083333333333</v>
      </c>
      <c r="G251" s="297">
        <v>5497.833333333333</v>
      </c>
      <c r="H251" s="297">
        <v>3922.8333333333335</v>
      </c>
      <c r="I251" s="299">
        <v>1575</v>
      </c>
    </row>
    <row r="252" spans="1:9" ht="15" customHeight="1">
      <c r="A252" s="7" t="s">
        <v>220</v>
      </c>
      <c r="B252" s="7" t="s">
        <v>564</v>
      </c>
      <c r="C252" s="7" t="s">
        <v>722</v>
      </c>
      <c r="D252" s="295" t="s">
        <v>876</v>
      </c>
      <c r="E252" s="298">
        <v>4075.4166666666665</v>
      </c>
      <c r="F252" s="298">
        <v>8336.5833333333339</v>
      </c>
      <c r="G252" s="297">
        <v>7845.833333333333</v>
      </c>
      <c r="H252" s="297">
        <v>5566.916666666667</v>
      </c>
      <c r="I252" s="299">
        <v>2278.9166666666665</v>
      </c>
    </row>
    <row r="253" spans="1:9" ht="15" customHeight="1">
      <c r="A253" s="7" t="s">
        <v>224</v>
      </c>
      <c r="B253" s="7" t="s">
        <v>565</v>
      </c>
      <c r="C253" s="7" t="s">
        <v>722</v>
      </c>
      <c r="D253" s="295" t="s">
        <v>874</v>
      </c>
      <c r="E253" s="298">
        <v>3116.1666666666665</v>
      </c>
      <c r="F253" s="298">
        <v>6193.666666666667</v>
      </c>
      <c r="G253" s="297">
        <v>5905.833333333333</v>
      </c>
      <c r="H253" s="297">
        <v>4212.833333333333</v>
      </c>
      <c r="I253" s="299">
        <v>1693</v>
      </c>
    </row>
    <row r="254" spans="1:9" ht="15" customHeight="1">
      <c r="A254" s="7" t="s">
        <v>225</v>
      </c>
      <c r="B254" s="7" t="s">
        <v>566</v>
      </c>
      <c r="C254" s="7" t="s">
        <v>722</v>
      </c>
      <c r="D254" s="295" t="s">
        <v>874</v>
      </c>
      <c r="E254" s="298">
        <v>4322.666666666667</v>
      </c>
      <c r="F254" s="298">
        <v>8498.5</v>
      </c>
      <c r="G254" s="297">
        <v>8153.5</v>
      </c>
      <c r="H254" s="297">
        <v>5837</v>
      </c>
      <c r="I254" s="299">
        <v>2316.5</v>
      </c>
    </row>
    <row r="255" spans="1:9" ht="15" customHeight="1">
      <c r="A255" s="7" t="s">
        <v>212</v>
      </c>
      <c r="B255" s="7" t="s">
        <v>813</v>
      </c>
      <c r="C255" s="7" t="s">
        <v>722</v>
      </c>
      <c r="D255" s="295" t="s">
        <v>876</v>
      </c>
      <c r="E255" s="298">
        <v>4674.333333333333</v>
      </c>
      <c r="F255" s="298">
        <v>9535.25</v>
      </c>
      <c r="G255" s="297">
        <v>9098.25</v>
      </c>
      <c r="H255" s="297">
        <v>6453.5</v>
      </c>
      <c r="I255" s="299">
        <v>2644.75</v>
      </c>
    </row>
    <row r="256" spans="1:9" ht="15" customHeight="1">
      <c r="A256" s="7" t="s">
        <v>226</v>
      </c>
      <c r="B256" s="7" t="s">
        <v>567</v>
      </c>
      <c r="C256" s="7" t="s">
        <v>722</v>
      </c>
      <c r="D256" s="295" t="s">
        <v>876</v>
      </c>
      <c r="E256" s="298">
        <v>3752</v>
      </c>
      <c r="F256" s="298">
        <v>7598.166666666667</v>
      </c>
      <c r="G256" s="297">
        <v>7129.5</v>
      </c>
      <c r="H256" s="297">
        <v>5123.333333333333</v>
      </c>
      <c r="I256" s="299">
        <v>2006.1666666666667</v>
      </c>
    </row>
    <row r="257" spans="1:9" ht="15" customHeight="1">
      <c r="A257" s="7" t="s">
        <v>227</v>
      </c>
      <c r="B257" s="7" t="s">
        <v>568</v>
      </c>
      <c r="C257" s="7" t="s">
        <v>722</v>
      </c>
      <c r="D257" s="295" t="s">
        <v>879</v>
      </c>
      <c r="E257" s="298">
        <v>5388.333333333333</v>
      </c>
      <c r="F257" s="298">
        <v>11114.166666666666</v>
      </c>
      <c r="G257" s="297">
        <v>10426.25</v>
      </c>
      <c r="H257" s="297">
        <v>7495.833333333333</v>
      </c>
      <c r="I257" s="299">
        <v>2930.4166666666665</v>
      </c>
    </row>
    <row r="258" spans="1:9" ht="15" customHeight="1">
      <c r="A258" s="7" t="s">
        <v>887</v>
      </c>
      <c r="B258" s="7" t="s">
        <v>569</v>
      </c>
      <c r="C258" s="7" t="s">
        <v>725</v>
      </c>
      <c r="D258" s="295" t="s">
        <v>882</v>
      </c>
      <c r="E258" s="298">
        <v>21273.333333333332</v>
      </c>
      <c r="F258" s="298">
        <v>41776.333333333336</v>
      </c>
      <c r="G258" s="297">
        <v>40070.083333333336</v>
      </c>
      <c r="H258" s="297">
        <v>29178.333333333332</v>
      </c>
      <c r="I258" s="299">
        <v>10891.75</v>
      </c>
    </row>
    <row r="259" spans="1:9" ht="15" customHeight="1">
      <c r="A259" s="7" t="s">
        <v>221</v>
      </c>
      <c r="B259" s="7" t="s">
        <v>850</v>
      </c>
      <c r="C259" s="7" t="s">
        <v>725</v>
      </c>
      <c r="D259" s="295" t="s">
        <v>879</v>
      </c>
      <c r="E259" s="298">
        <v>6279.166666666667</v>
      </c>
      <c r="F259" s="298">
        <v>12877.166666666666</v>
      </c>
      <c r="G259" s="297">
        <v>12243.333333333334</v>
      </c>
      <c r="H259" s="297">
        <v>8729.4166666666661</v>
      </c>
      <c r="I259" s="299">
        <v>3513.9166666666665</v>
      </c>
    </row>
    <row r="260" spans="1:9" ht="15" customHeight="1">
      <c r="A260" s="7" t="s">
        <v>222</v>
      </c>
      <c r="B260" s="7" t="s">
        <v>851</v>
      </c>
      <c r="C260" s="7" t="s">
        <v>725</v>
      </c>
      <c r="D260" s="295" t="s">
        <v>876</v>
      </c>
      <c r="E260" s="298">
        <v>2052.0833333333335</v>
      </c>
      <c r="F260" s="298">
        <v>4198.083333333333</v>
      </c>
      <c r="G260" s="297">
        <v>4072.9166666666665</v>
      </c>
      <c r="H260" s="297">
        <v>2888.1666666666665</v>
      </c>
      <c r="I260" s="299">
        <v>1184.75</v>
      </c>
    </row>
    <row r="261" spans="1:9" ht="15" customHeight="1">
      <c r="A261" s="7" t="s">
        <v>223</v>
      </c>
      <c r="B261" s="7" t="s">
        <v>852</v>
      </c>
      <c r="C261" s="7" t="s">
        <v>725</v>
      </c>
      <c r="D261" s="295" t="s">
        <v>879</v>
      </c>
      <c r="E261" s="298">
        <v>4259.416666666667</v>
      </c>
      <c r="F261" s="298">
        <v>8384.25</v>
      </c>
      <c r="G261" s="297">
        <v>7905.75</v>
      </c>
      <c r="H261" s="297">
        <v>5799.083333333333</v>
      </c>
      <c r="I261" s="299">
        <v>2106.6666666666665</v>
      </c>
    </row>
    <row r="262" spans="1:9" ht="15" customHeight="1">
      <c r="A262" s="7" t="s">
        <v>231</v>
      </c>
      <c r="B262" s="7" t="s">
        <v>853</v>
      </c>
      <c r="C262" s="7" t="s">
        <v>725</v>
      </c>
      <c r="D262" s="295" t="s">
        <v>876</v>
      </c>
      <c r="E262" s="298">
        <v>2597.5833333333335</v>
      </c>
      <c r="F262" s="298">
        <v>5242.083333333333</v>
      </c>
      <c r="G262" s="297">
        <v>4987.583333333333</v>
      </c>
      <c r="H262" s="297">
        <v>3554.9166666666665</v>
      </c>
      <c r="I262" s="299">
        <v>1432.6666666666667</v>
      </c>
    </row>
    <row r="263" spans="1:9" ht="15" customHeight="1">
      <c r="A263" s="7" t="s">
        <v>232</v>
      </c>
      <c r="B263" s="7" t="s">
        <v>854</v>
      </c>
      <c r="C263" s="7" t="s">
        <v>725</v>
      </c>
      <c r="D263" s="295" t="s">
        <v>876</v>
      </c>
      <c r="E263" s="298">
        <v>6594.666666666667</v>
      </c>
      <c r="F263" s="298">
        <v>12683.333333333334</v>
      </c>
      <c r="G263" s="297">
        <v>12347.583333333334</v>
      </c>
      <c r="H263" s="297">
        <v>9138.75</v>
      </c>
      <c r="I263" s="299">
        <v>3208.8333333333335</v>
      </c>
    </row>
    <row r="264" spans="1:9" ht="15" customHeight="1">
      <c r="A264" s="7" t="s">
        <v>233</v>
      </c>
      <c r="B264" s="7" t="s">
        <v>570</v>
      </c>
      <c r="C264" s="7" t="s">
        <v>722</v>
      </c>
      <c r="D264" s="295" t="s">
        <v>872</v>
      </c>
      <c r="E264" s="298">
        <v>2161.0833333333335</v>
      </c>
      <c r="F264" s="298">
        <v>4592.166666666667</v>
      </c>
      <c r="G264" s="297">
        <v>4347.916666666667</v>
      </c>
      <c r="H264" s="297">
        <v>3007.9166666666665</v>
      </c>
      <c r="I264" s="299">
        <v>1340</v>
      </c>
    </row>
    <row r="265" spans="1:9" ht="15" customHeight="1">
      <c r="A265" s="7" t="s">
        <v>234</v>
      </c>
      <c r="B265" s="7" t="s">
        <v>571</v>
      </c>
      <c r="C265" s="7" t="s">
        <v>722</v>
      </c>
      <c r="D265" s="295" t="s">
        <v>872</v>
      </c>
      <c r="E265" s="298">
        <v>1649.75</v>
      </c>
      <c r="F265" s="298">
        <v>3409.8333333333335</v>
      </c>
      <c r="G265" s="297">
        <v>3212</v>
      </c>
      <c r="H265" s="297">
        <v>2258.4166666666665</v>
      </c>
      <c r="I265" s="299">
        <v>953.58333333333337</v>
      </c>
    </row>
    <row r="266" spans="1:9" ht="15" customHeight="1">
      <c r="A266" s="7" t="s">
        <v>235</v>
      </c>
      <c r="B266" s="7" t="s">
        <v>572</v>
      </c>
      <c r="C266" s="7" t="s">
        <v>722</v>
      </c>
      <c r="D266" s="295" t="s">
        <v>877</v>
      </c>
      <c r="E266" s="298">
        <v>4956.916666666667</v>
      </c>
      <c r="F266" s="298">
        <v>9122.9166666666661</v>
      </c>
      <c r="G266" s="297">
        <v>8786.5</v>
      </c>
      <c r="H266" s="297">
        <v>6508</v>
      </c>
      <c r="I266" s="299">
        <v>2278.5</v>
      </c>
    </row>
    <row r="267" spans="1:9" ht="15" customHeight="1">
      <c r="A267" s="7" t="s">
        <v>236</v>
      </c>
      <c r="B267" s="7" t="s">
        <v>573</v>
      </c>
      <c r="C267" s="7" t="s">
        <v>722</v>
      </c>
      <c r="D267" s="295" t="s">
        <v>872</v>
      </c>
      <c r="E267" s="298">
        <v>2058.9166666666665</v>
      </c>
      <c r="F267" s="298">
        <v>4198.166666666667</v>
      </c>
      <c r="G267" s="297">
        <v>3979.8333333333335</v>
      </c>
      <c r="H267" s="297">
        <v>2859.6666666666665</v>
      </c>
      <c r="I267" s="299">
        <v>1120.1666666666667</v>
      </c>
    </row>
    <row r="268" spans="1:9" ht="15" customHeight="1">
      <c r="A268" s="7" t="s">
        <v>237</v>
      </c>
      <c r="B268" s="7" t="s">
        <v>574</v>
      </c>
      <c r="C268" s="7" t="s">
        <v>722</v>
      </c>
      <c r="D268" s="295" t="s">
        <v>875</v>
      </c>
      <c r="E268" s="298">
        <v>1057.8333333333333</v>
      </c>
      <c r="F268" s="298">
        <v>2132.3333333333335</v>
      </c>
      <c r="G268" s="297">
        <v>2007.5</v>
      </c>
      <c r="H268" s="297">
        <v>1438.5</v>
      </c>
      <c r="I268" s="299">
        <v>569</v>
      </c>
    </row>
    <row r="269" spans="1:9" ht="15" customHeight="1">
      <c r="A269" s="7" t="s">
        <v>239</v>
      </c>
      <c r="B269" s="7" t="s">
        <v>575</v>
      </c>
      <c r="C269" s="7" t="s">
        <v>723</v>
      </c>
      <c r="D269" s="295" t="s">
        <v>874</v>
      </c>
      <c r="E269" s="298">
        <v>3183.5</v>
      </c>
      <c r="F269" s="298">
        <v>6320.5</v>
      </c>
      <c r="G269" s="297">
        <v>5987.25</v>
      </c>
      <c r="H269" s="297">
        <v>4293.083333333333</v>
      </c>
      <c r="I269" s="299">
        <v>1694.1666666666667</v>
      </c>
    </row>
    <row r="270" spans="1:9" ht="15" customHeight="1">
      <c r="A270" s="7" t="s">
        <v>238</v>
      </c>
      <c r="B270" s="7" t="s">
        <v>814</v>
      </c>
      <c r="C270" s="7" t="s">
        <v>723</v>
      </c>
      <c r="D270" s="295" t="s">
        <v>874</v>
      </c>
      <c r="E270" s="298">
        <v>6214.083333333333</v>
      </c>
      <c r="F270" s="298">
        <v>12388</v>
      </c>
      <c r="G270" s="297">
        <v>11713.333333333334</v>
      </c>
      <c r="H270" s="297">
        <v>8394.6666666666661</v>
      </c>
      <c r="I270" s="299">
        <v>3318.6666666666665</v>
      </c>
    </row>
    <row r="271" spans="1:9" ht="15" customHeight="1">
      <c r="A271" s="7" t="s">
        <v>240</v>
      </c>
      <c r="B271" s="7" t="s">
        <v>576</v>
      </c>
      <c r="C271" s="7" t="s">
        <v>723</v>
      </c>
      <c r="D271" s="295" t="s">
        <v>873</v>
      </c>
      <c r="E271" s="298">
        <v>3711.3333333333335</v>
      </c>
      <c r="F271" s="298">
        <v>7444.166666666667</v>
      </c>
      <c r="G271" s="297">
        <v>7064.5</v>
      </c>
      <c r="H271" s="297">
        <v>5019.75</v>
      </c>
      <c r="I271" s="299">
        <v>2044.75</v>
      </c>
    </row>
    <row r="272" spans="1:9" ht="15" customHeight="1">
      <c r="A272" s="7" t="s">
        <v>241</v>
      </c>
      <c r="B272" s="7" t="s">
        <v>577</v>
      </c>
      <c r="C272" s="7" t="s">
        <v>723</v>
      </c>
      <c r="D272" s="295" t="s">
        <v>873</v>
      </c>
      <c r="E272" s="298">
        <v>2083.1666666666665</v>
      </c>
      <c r="F272" s="298">
        <v>4031.0833333333335</v>
      </c>
      <c r="G272" s="297">
        <v>3789.25</v>
      </c>
      <c r="H272" s="297">
        <v>2785.9166666666665</v>
      </c>
      <c r="I272" s="299">
        <v>1003.3333333333334</v>
      </c>
    </row>
    <row r="273" spans="1:9" ht="15" customHeight="1">
      <c r="A273" s="7" t="s">
        <v>242</v>
      </c>
      <c r="B273" s="7" t="s">
        <v>578</v>
      </c>
      <c r="C273" s="7" t="s">
        <v>723</v>
      </c>
      <c r="D273" s="295" t="s">
        <v>874</v>
      </c>
      <c r="E273" s="298">
        <v>5116.75</v>
      </c>
      <c r="F273" s="298">
        <v>10394.666666666666</v>
      </c>
      <c r="G273" s="297">
        <v>9928.9166666666661</v>
      </c>
      <c r="H273" s="297">
        <v>6952.75</v>
      </c>
      <c r="I273" s="299">
        <v>2976.1666666666665</v>
      </c>
    </row>
    <row r="274" spans="1:9" ht="15" customHeight="1">
      <c r="A274" s="7" t="s">
        <v>243</v>
      </c>
      <c r="B274" s="7" t="s">
        <v>579</v>
      </c>
      <c r="C274" s="7" t="s">
        <v>723</v>
      </c>
      <c r="D274" s="295" t="s">
        <v>872</v>
      </c>
      <c r="E274" s="298">
        <v>2813.4166666666665</v>
      </c>
      <c r="F274" s="298">
        <v>5817</v>
      </c>
      <c r="G274" s="297">
        <v>5485.833333333333</v>
      </c>
      <c r="H274" s="297">
        <v>3861.5833333333335</v>
      </c>
      <c r="I274" s="299">
        <v>1624.25</v>
      </c>
    </row>
    <row r="275" spans="1:9" ht="15" customHeight="1">
      <c r="A275" s="7" t="s">
        <v>244</v>
      </c>
      <c r="B275" s="7" t="s">
        <v>580</v>
      </c>
      <c r="C275" s="7" t="s">
        <v>723</v>
      </c>
      <c r="D275" s="295" t="s">
        <v>877</v>
      </c>
      <c r="E275" s="298">
        <v>7967.666666666667</v>
      </c>
      <c r="F275" s="298">
        <v>15106.666666666666</v>
      </c>
      <c r="G275" s="297">
        <v>14382</v>
      </c>
      <c r="H275" s="297">
        <v>10383.666666666666</v>
      </c>
      <c r="I275" s="299">
        <v>3998.3333333333335</v>
      </c>
    </row>
    <row r="276" spans="1:9" ht="15" customHeight="1">
      <c r="A276" s="7" t="s">
        <v>245</v>
      </c>
      <c r="B276" s="7" t="s">
        <v>581</v>
      </c>
      <c r="C276" s="7" t="s">
        <v>723</v>
      </c>
      <c r="D276" s="295" t="s">
        <v>874</v>
      </c>
      <c r="E276" s="298">
        <v>12781.916666666666</v>
      </c>
      <c r="F276" s="298">
        <v>25147.083333333332</v>
      </c>
      <c r="G276" s="297">
        <v>24359.166666666668</v>
      </c>
      <c r="H276" s="297">
        <v>17561.916666666668</v>
      </c>
      <c r="I276" s="299">
        <v>6797.25</v>
      </c>
    </row>
    <row r="277" spans="1:9" ht="15" customHeight="1">
      <c r="A277" s="7" t="s">
        <v>246</v>
      </c>
      <c r="B277" s="7" t="s">
        <v>582</v>
      </c>
      <c r="C277" s="7" t="s">
        <v>723</v>
      </c>
      <c r="D277" s="295" t="s">
        <v>874</v>
      </c>
      <c r="E277" s="298">
        <v>6549.916666666667</v>
      </c>
      <c r="F277" s="298">
        <v>13820.583333333334</v>
      </c>
      <c r="G277" s="297">
        <v>13200.25</v>
      </c>
      <c r="H277" s="297">
        <v>9193.5833333333339</v>
      </c>
      <c r="I277" s="299">
        <v>4006.6666666666665</v>
      </c>
    </row>
    <row r="278" spans="1:9" ht="15" customHeight="1">
      <c r="A278" s="7" t="s">
        <v>247</v>
      </c>
      <c r="B278" s="7" t="s">
        <v>583</v>
      </c>
      <c r="C278" s="7" t="s">
        <v>723</v>
      </c>
      <c r="D278" s="295" t="s">
        <v>877</v>
      </c>
      <c r="E278" s="298">
        <v>3709.8333333333335</v>
      </c>
      <c r="F278" s="298">
        <v>6821.833333333333</v>
      </c>
      <c r="G278" s="297">
        <v>6524.416666666667</v>
      </c>
      <c r="H278" s="297">
        <v>4852.916666666667</v>
      </c>
      <c r="I278" s="299">
        <v>1671.5</v>
      </c>
    </row>
    <row r="279" spans="1:9" ht="15" customHeight="1">
      <c r="A279" s="7" t="s">
        <v>248</v>
      </c>
      <c r="B279" s="7" t="s">
        <v>584</v>
      </c>
      <c r="C279" s="7" t="s">
        <v>723</v>
      </c>
      <c r="D279" s="295" t="s">
        <v>874</v>
      </c>
      <c r="E279" s="298">
        <v>13041.416666666666</v>
      </c>
      <c r="F279" s="298">
        <v>25846.083333333332</v>
      </c>
      <c r="G279" s="297">
        <v>24766.833333333332</v>
      </c>
      <c r="H279" s="297">
        <v>17937.333333333332</v>
      </c>
      <c r="I279" s="299">
        <v>6829.5</v>
      </c>
    </row>
    <row r="280" spans="1:9" ht="15" customHeight="1">
      <c r="A280" s="7" t="s">
        <v>249</v>
      </c>
      <c r="B280" s="7" t="s">
        <v>585</v>
      </c>
      <c r="C280" s="7" t="s">
        <v>723</v>
      </c>
      <c r="D280" s="295" t="s">
        <v>877</v>
      </c>
      <c r="E280" s="298">
        <v>4868.416666666667</v>
      </c>
      <c r="F280" s="298">
        <v>9458.75</v>
      </c>
      <c r="G280" s="297">
        <v>9105.1666666666661</v>
      </c>
      <c r="H280" s="297">
        <v>6612.5</v>
      </c>
      <c r="I280" s="299">
        <v>2492.6666666666665</v>
      </c>
    </row>
    <row r="281" spans="1:9" ht="15" customHeight="1">
      <c r="A281" s="7" t="s">
        <v>250</v>
      </c>
      <c r="B281" s="7" t="s">
        <v>586</v>
      </c>
      <c r="C281" s="7" t="s">
        <v>723</v>
      </c>
      <c r="D281" s="295" t="s">
        <v>874</v>
      </c>
      <c r="E281" s="298">
        <v>6730.75</v>
      </c>
      <c r="F281" s="298">
        <v>13991.666666666666</v>
      </c>
      <c r="G281" s="297">
        <v>13393.666666666666</v>
      </c>
      <c r="H281" s="297">
        <v>9383.3333333333339</v>
      </c>
      <c r="I281" s="299">
        <v>4010.3333333333335</v>
      </c>
    </row>
    <row r="282" spans="1:9" ht="15" customHeight="1">
      <c r="A282" s="7" t="s">
        <v>251</v>
      </c>
      <c r="B282" s="7" t="s">
        <v>587</v>
      </c>
      <c r="C282" s="7" t="s">
        <v>723</v>
      </c>
      <c r="D282" s="295" t="s">
        <v>877</v>
      </c>
      <c r="E282" s="298">
        <v>9436.5833333333339</v>
      </c>
      <c r="F282" s="298">
        <v>16415.166666666668</v>
      </c>
      <c r="G282" s="297">
        <v>15756.583333333334</v>
      </c>
      <c r="H282" s="297">
        <v>11879</v>
      </c>
      <c r="I282" s="299">
        <v>3877.5833333333335</v>
      </c>
    </row>
    <row r="283" spans="1:9" ht="15" customHeight="1">
      <c r="A283" s="7" t="s">
        <v>252</v>
      </c>
      <c r="B283" s="7" t="s">
        <v>588</v>
      </c>
      <c r="C283" s="7" t="s">
        <v>723</v>
      </c>
      <c r="D283" s="295" t="s">
        <v>874</v>
      </c>
      <c r="E283" s="298">
        <v>8682.0833333333339</v>
      </c>
      <c r="F283" s="298">
        <v>17300.916666666668</v>
      </c>
      <c r="G283" s="297">
        <v>16530.833333333332</v>
      </c>
      <c r="H283" s="297">
        <v>11810.25</v>
      </c>
      <c r="I283" s="299">
        <v>4720.583333333333</v>
      </c>
    </row>
    <row r="284" spans="1:9" ht="15" customHeight="1">
      <c r="A284" s="7" t="s">
        <v>263</v>
      </c>
      <c r="B284" s="7" t="s">
        <v>815</v>
      </c>
      <c r="C284" s="7" t="s">
        <v>723</v>
      </c>
      <c r="D284" s="295" t="s">
        <v>877</v>
      </c>
      <c r="E284" s="298">
        <v>2166.75</v>
      </c>
      <c r="F284" s="298">
        <v>4009.5</v>
      </c>
      <c r="G284" s="297">
        <v>3834.0833333333335</v>
      </c>
      <c r="H284" s="297">
        <v>2845.0833333333335</v>
      </c>
      <c r="I284" s="299">
        <v>989</v>
      </c>
    </row>
    <row r="285" spans="1:9" ht="15" customHeight="1">
      <c r="A285" s="7" t="s">
        <v>264</v>
      </c>
      <c r="B285" s="7" t="s">
        <v>816</v>
      </c>
      <c r="C285" s="7" t="s">
        <v>723</v>
      </c>
      <c r="D285" s="295" t="s">
        <v>874</v>
      </c>
      <c r="E285" s="298">
        <v>5020.416666666667</v>
      </c>
      <c r="F285" s="298">
        <v>10126.666666666666</v>
      </c>
      <c r="G285" s="297">
        <v>9654.75</v>
      </c>
      <c r="H285" s="297">
        <v>6873.833333333333</v>
      </c>
      <c r="I285" s="299">
        <v>2780.9166666666665</v>
      </c>
    </row>
    <row r="286" spans="1:9" ht="15" customHeight="1">
      <c r="A286" s="7" t="s">
        <v>253</v>
      </c>
      <c r="B286" s="7" t="s">
        <v>589</v>
      </c>
      <c r="C286" s="7" t="s">
        <v>723</v>
      </c>
      <c r="D286" s="295" t="s">
        <v>874</v>
      </c>
      <c r="E286" s="298">
        <v>6623.083333333333</v>
      </c>
      <c r="F286" s="298">
        <v>13661.5</v>
      </c>
      <c r="G286" s="297">
        <v>13053.916666666666</v>
      </c>
      <c r="H286" s="297">
        <v>9115.3333333333339</v>
      </c>
      <c r="I286" s="299">
        <v>3938.5833333333335</v>
      </c>
    </row>
    <row r="287" spans="1:9" ht="15" customHeight="1">
      <c r="A287" s="7" t="s">
        <v>267</v>
      </c>
      <c r="B287" s="7" t="s">
        <v>817</v>
      </c>
      <c r="C287" s="7" t="s">
        <v>723</v>
      </c>
      <c r="D287" s="295" t="s">
        <v>871</v>
      </c>
      <c r="E287" s="298">
        <v>4019.8333333333335</v>
      </c>
      <c r="F287" s="298">
        <v>7981.416666666667</v>
      </c>
      <c r="G287" s="297">
        <v>7694.083333333333</v>
      </c>
      <c r="H287" s="297">
        <v>5469.833333333333</v>
      </c>
      <c r="I287" s="299">
        <v>2224.25</v>
      </c>
    </row>
    <row r="288" spans="1:9" ht="15" customHeight="1">
      <c r="A288" s="7" t="s">
        <v>265</v>
      </c>
      <c r="B288" s="7" t="s">
        <v>818</v>
      </c>
      <c r="C288" s="7" t="s">
        <v>723</v>
      </c>
      <c r="D288" s="295" t="s">
        <v>873</v>
      </c>
      <c r="E288" s="298">
        <v>5063</v>
      </c>
      <c r="F288" s="298">
        <v>9970.25</v>
      </c>
      <c r="G288" s="297">
        <v>9565.4166666666661</v>
      </c>
      <c r="H288" s="297">
        <v>6745.75</v>
      </c>
      <c r="I288" s="299">
        <v>2819.6666666666665</v>
      </c>
    </row>
    <row r="289" spans="1:9" ht="15" customHeight="1">
      <c r="A289" s="7" t="s">
        <v>254</v>
      </c>
      <c r="B289" s="7" t="s">
        <v>590</v>
      </c>
      <c r="C289" s="7" t="s">
        <v>723</v>
      </c>
      <c r="D289" s="295" t="s">
        <v>874</v>
      </c>
      <c r="E289" s="298">
        <v>5947.916666666667</v>
      </c>
      <c r="F289" s="298">
        <v>11857.083333333334</v>
      </c>
      <c r="G289" s="297">
        <v>11417.083333333334</v>
      </c>
      <c r="H289" s="297">
        <v>8037.833333333333</v>
      </c>
      <c r="I289" s="299">
        <v>3379.25</v>
      </c>
    </row>
    <row r="290" spans="1:9" ht="15" customHeight="1">
      <c r="A290" s="7" t="s">
        <v>255</v>
      </c>
      <c r="B290" s="7" t="s">
        <v>591</v>
      </c>
      <c r="C290" s="7" t="s">
        <v>723</v>
      </c>
      <c r="D290" s="295" t="s">
        <v>874</v>
      </c>
      <c r="E290" s="298">
        <v>3328.25</v>
      </c>
      <c r="F290" s="298">
        <v>6900.916666666667</v>
      </c>
      <c r="G290" s="297">
        <v>6611.833333333333</v>
      </c>
      <c r="H290" s="297">
        <v>4567</v>
      </c>
      <c r="I290" s="299">
        <v>2044.8333333333333</v>
      </c>
    </row>
    <row r="291" spans="1:9" ht="15" customHeight="1">
      <c r="A291" s="7" t="s">
        <v>256</v>
      </c>
      <c r="B291" s="7" t="s">
        <v>819</v>
      </c>
      <c r="C291" s="7" t="s">
        <v>723</v>
      </c>
      <c r="D291" s="295" t="s">
        <v>874</v>
      </c>
      <c r="E291" s="298">
        <v>10913.5</v>
      </c>
      <c r="F291" s="298">
        <v>22999.166666666668</v>
      </c>
      <c r="G291" s="297">
        <v>22243.083333333332</v>
      </c>
      <c r="H291" s="297">
        <v>15537.333333333334</v>
      </c>
      <c r="I291" s="299">
        <v>6705.75</v>
      </c>
    </row>
    <row r="292" spans="1:9" ht="15" customHeight="1">
      <c r="A292" s="7" t="s">
        <v>257</v>
      </c>
      <c r="B292" s="7" t="s">
        <v>592</v>
      </c>
      <c r="C292" s="7" t="s">
        <v>723</v>
      </c>
      <c r="D292" s="295" t="s">
        <v>882</v>
      </c>
      <c r="E292" s="298">
        <v>15459.583333333334</v>
      </c>
      <c r="F292" s="298">
        <v>30038.25</v>
      </c>
      <c r="G292" s="297">
        <v>28893.25</v>
      </c>
      <c r="H292" s="297">
        <v>21037.166666666668</v>
      </c>
      <c r="I292" s="299">
        <v>7856.083333333333</v>
      </c>
    </row>
    <row r="293" spans="1:9" ht="15" customHeight="1">
      <c r="A293" s="7" t="s">
        <v>258</v>
      </c>
      <c r="B293" s="7" t="s">
        <v>593</v>
      </c>
      <c r="C293" s="7" t="s">
        <v>723</v>
      </c>
      <c r="D293" s="295" t="s">
        <v>873</v>
      </c>
      <c r="E293" s="298">
        <v>3181.4166666666665</v>
      </c>
      <c r="F293" s="298">
        <v>6320.333333333333</v>
      </c>
      <c r="G293" s="297">
        <v>5967.25</v>
      </c>
      <c r="H293" s="297">
        <v>4302.583333333333</v>
      </c>
      <c r="I293" s="299">
        <v>1664.6666666666667</v>
      </c>
    </row>
    <row r="294" spans="1:9" ht="15" customHeight="1">
      <c r="A294" s="7" t="s">
        <v>259</v>
      </c>
      <c r="B294" s="7" t="s">
        <v>594</v>
      </c>
      <c r="C294" s="7" t="s">
        <v>723</v>
      </c>
      <c r="D294" s="295" t="s">
        <v>873</v>
      </c>
      <c r="E294" s="298">
        <v>2231.75</v>
      </c>
      <c r="F294" s="298">
        <v>4506.25</v>
      </c>
      <c r="G294" s="297">
        <v>4192.583333333333</v>
      </c>
      <c r="H294" s="297">
        <v>3009.4166666666665</v>
      </c>
      <c r="I294" s="299">
        <v>1183.1666666666667</v>
      </c>
    </row>
    <row r="295" spans="1:9" ht="15" customHeight="1">
      <c r="A295" s="7" t="s">
        <v>261</v>
      </c>
      <c r="B295" s="7" t="s">
        <v>820</v>
      </c>
      <c r="C295" s="7" t="s">
        <v>723</v>
      </c>
      <c r="D295" s="295" t="s">
        <v>877</v>
      </c>
      <c r="E295" s="298">
        <v>5805.666666666667</v>
      </c>
      <c r="F295" s="298">
        <v>12385.333333333334</v>
      </c>
      <c r="G295" s="297">
        <v>11950.166666666666</v>
      </c>
      <c r="H295" s="297">
        <v>8253.4166666666661</v>
      </c>
      <c r="I295" s="299">
        <v>3696.75</v>
      </c>
    </row>
    <row r="296" spans="1:9" ht="15" customHeight="1">
      <c r="A296" s="7" t="s">
        <v>262</v>
      </c>
      <c r="B296" s="7" t="s">
        <v>821</v>
      </c>
      <c r="C296" s="7" t="s">
        <v>723</v>
      </c>
      <c r="D296" s="295" t="s">
        <v>872</v>
      </c>
      <c r="E296" s="298">
        <v>3206.25</v>
      </c>
      <c r="F296" s="298">
        <v>6807</v>
      </c>
      <c r="G296" s="297">
        <v>6526.25</v>
      </c>
      <c r="H296" s="297">
        <v>4540</v>
      </c>
      <c r="I296" s="299">
        <v>1986.25</v>
      </c>
    </row>
    <row r="297" spans="1:9" ht="15" customHeight="1">
      <c r="A297" s="7" t="s">
        <v>260</v>
      </c>
      <c r="B297" s="7" t="s">
        <v>595</v>
      </c>
      <c r="C297" s="7" t="s">
        <v>723</v>
      </c>
      <c r="D297" s="295" t="s">
        <v>874</v>
      </c>
      <c r="E297" s="298">
        <v>9029.0833333333339</v>
      </c>
      <c r="F297" s="298">
        <v>18894.166666666668</v>
      </c>
      <c r="G297" s="297">
        <v>17919.666666666668</v>
      </c>
      <c r="H297" s="297">
        <v>12449.666666666666</v>
      </c>
      <c r="I297" s="299">
        <v>5470</v>
      </c>
    </row>
    <row r="298" spans="1:9" ht="15" customHeight="1">
      <c r="A298" s="7" t="s">
        <v>268</v>
      </c>
      <c r="B298" s="7" t="s">
        <v>596</v>
      </c>
      <c r="C298" s="7" t="s">
        <v>723</v>
      </c>
      <c r="D298" s="295" t="s">
        <v>874</v>
      </c>
      <c r="E298" s="298">
        <v>6373.083333333333</v>
      </c>
      <c r="F298" s="298">
        <v>13177.833333333334</v>
      </c>
      <c r="G298" s="297">
        <v>12631.333333333334</v>
      </c>
      <c r="H298" s="297">
        <v>8845.75</v>
      </c>
      <c r="I298" s="299">
        <v>3785.5833333333335</v>
      </c>
    </row>
    <row r="299" spans="1:9" ht="15" customHeight="1">
      <c r="A299" s="7" t="s">
        <v>269</v>
      </c>
      <c r="B299" s="7" t="s">
        <v>597</v>
      </c>
      <c r="C299" s="7" t="s">
        <v>723</v>
      </c>
      <c r="D299" s="295" t="s">
        <v>874</v>
      </c>
      <c r="E299" s="298">
        <v>4247.166666666667</v>
      </c>
      <c r="F299" s="298">
        <v>8789.1666666666661</v>
      </c>
      <c r="G299" s="297">
        <v>8453.6666666666661</v>
      </c>
      <c r="H299" s="297">
        <v>5896.083333333333</v>
      </c>
      <c r="I299" s="299">
        <v>2557.5833333333335</v>
      </c>
    </row>
    <row r="300" spans="1:9" ht="15" customHeight="1">
      <c r="A300" s="7" t="s">
        <v>272</v>
      </c>
      <c r="B300" s="7" t="s">
        <v>598</v>
      </c>
      <c r="C300" s="7" t="s">
        <v>723</v>
      </c>
      <c r="D300" s="295" t="s">
        <v>874</v>
      </c>
      <c r="E300" s="298">
        <v>10805.833333333334</v>
      </c>
      <c r="F300" s="298">
        <v>21746.083333333332</v>
      </c>
      <c r="G300" s="297">
        <v>20921.916666666668</v>
      </c>
      <c r="H300" s="297">
        <v>14900.416666666666</v>
      </c>
      <c r="I300" s="299">
        <v>6021.5</v>
      </c>
    </row>
    <row r="301" spans="1:9" ht="15" customHeight="1">
      <c r="A301" s="7" t="s">
        <v>273</v>
      </c>
      <c r="B301" s="7" t="s">
        <v>599</v>
      </c>
      <c r="C301" s="7" t="s">
        <v>723</v>
      </c>
      <c r="D301" s="295" t="s">
        <v>873</v>
      </c>
      <c r="E301" s="298">
        <v>1732.8333333333333</v>
      </c>
      <c r="F301" s="298">
        <v>3294.3333333333335</v>
      </c>
      <c r="G301" s="297">
        <v>3112.9166666666665</v>
      </c>
      <c r="H301" s="297">
        <v>2288.8333333333335</v>
      </c>
      <c r="I301" s="299">
        <v>824.08333333333337</v>
      </c>
    </row>
    <row r="302" spans="1:9" ht="15" customHeight="1">
      <c r="A302" s="7" t="s">
        <v>274</v>
      </c>
      <c r="B302" s="7" t="s">
        <v>600</v>
      </c>
      <c r="C302" s="7" t="s">
        <v>723</v>
      </c>
      <c r="D302" s="295" t="s">
        <v>873</v>
      </c>
      <c r="E302" s="298">
        <v>3772.4166666666665</v>
      </c>
      <c r="F302" s="298">
        <v>7728.75</v>
      </c>
      <c r="G302" s="297">
        <v>7335.916666666667</v>
      </c>
      <c r="H302" s="297">
        <v>5192.666666666667</v>
      </c>
      <c r="I302" s="299">
        <v>2143.25</v>
      </c>
    </row>
    <row r="303" spans="1:9" ht="15" customHeight="1">
      <c r="A303" s="7" t="s">
        <v>278</v>
      </c>
      <c r="B303" s="7" t="s">
        <v>822</v>
      </c>
      <c r="C303" s="7" t="s">
        <v>723</v>
      </c>
      <c r="D303" s="295" t="s">
        <v>873</v>
      </c>
      <c r="E303" s="298">
        <v>2623</v>
      </c>
      <c r="F303" s="298">
        <v>5151.416666666667</v>
      </c>
      <c r="G303" s="297">
        <v>4868.75</v>
      </c>
      <c r="H303" s="297">
        <v>3491.8333333333335</v>
      </c>
      <c r="I303" s="299">
        <v>1376.9166666666667</v>
      </c>
    </row>
    <row r="304" spans="1:9" ht="15" customHeight="1">
      <c r="A304" s="7" t="s">
        <v>277</v>
      </c>
      <c r="B304" s="7" t="s">
        <v>823</v>
      </c>
      <c r="C304" s="7" t="s">
        <v>723</v>
      </c>
      <c r="D304" s="295" t="s">
        <v>873</v>
      </c>
      <c r="E304" s="298">
        <v>2359.75</v>
      </c>
      <c r="F304" s="298">
        <v>4728</v>
      </c>
      <c r="G304" s="297">
        <v>4519</v>
      </c>
      <c r="H304" s="297">
        <v>3181.4166666666665</v>
      </c>
      <c r="I304" s="299">
        <v>1337.5833333333333</v>
      </c>
    </row>
    <row r="305" spans="1:9" ht="15" customHeight="1">
      <c r="A305" s="7" t="s">
        <v>276</v>
      </c>
      <c r="B305" s="7" t="s">
        <v>601</v>
      </c>
      <c r="C305" s="7" t="s">
        <v>723</v>
      </c>
      <c r="D305" s="295" t="s">
        <v>874</v>
      </c>
      <c r="E305" s="298">
        <v>7749.416666666667</v>
      </c>
      <c r="F305" s="298">
        <v>16550.833333333332</v>
      </c>
      <c r="G305" s="297">
        <v>15942.666666666666</v>
      </c>
      <c r="H305" s="297">
        <v>11179.333333333334</v>
      </c>
      <c r="I305" s="299">
        <v>4763.333333333333</v>
      </c>
    </row>
    <row r="306" spans="1:9" ht="15" customHeight="1">
      <c r="A306" s="7" t="s">
        <v>275</v>
      </c>
      <c r="B306" s="7" t="s">
        <v>824</v>
      </c>
      <c r="C306" s="7" t="s">
        <v>723</v>
      </c>
      <c r="D306" s="295" t="s">
        <v>877</v>
      </c>
      <c r="E306" s="298">
        <v>22711.75</v>
      </c>
      <c r="F306" s="298">
        <v>41547.416666666664</v>
      </c>
      <c r="G306" s="297">
        <v>41009.833333333336</v>
      </c>
      <c r="H306" s="297">
        <v>30433.75</v>
      </c>
      <c r="I306" s="299">
        <v>10576.083333333334</v>
      </c>
    </row>
    <row r="307" spans="1:9" ht="15" customHeight="1">
      <c r="A307" s="7" t="s">
        <v>279</v>
      </c>
      <c r="B307" s="7" t="s">
        <v>602</v>
      </c>
      <c r="C307" s="7" t="s">
        <v>723</v>
      </c>
      <c r="D307" s="295" t="s">
        <v>877</v>
      </c>
      <c r="E307" s="298">
        <v>3277.0833333333335</v>
      </c>
      <c r="F307" s="298">
        <v>6574.916666666667</v>
      </c>
      <c r="G307" s="297">
        <v>6263</v>
      </c>
      <c r="H307" s="297">
        <v>4406.333333333333</v>
      </c>
      <c r="I307" s="299">
        <v>1856.6666666666667</v>
      </c>
    </row>
    <row r="308" spans="1:9" ht="15" customHeight="1">
      <c r="A308" s="7" t="s">
        <v>280</v>
      </c>
      <c r="B308" s="7" t="s">
        <v>603</v>
      </c>
      <c r="C308" s="7" t="s">
        <v>723</v>
      </c>
      <c r="D308" s="295" t="s">
        <v>873</v>
      </c>
      <c r="E308" s="298">
        <v>2557.75</v>
      </c>
      <c r="F308" s="298">
        <v>5824</v>
      </c>
      <c r="G308" s="297">
        <v>5526.916666666667</v>
      </c>
      <c r="H308" s="297">
        <v>3696</v>
      </c>
      <c r="I308" s="299">
        <v>1830.9166666666667</v>
      </c>
    </row>
    <row r="309" spans="1:9" ht="15" customHeight="1">
      <c r="A309" s="7" t="s">
        <v>266</v>
      </c>
      <c r="B309" s="7" t="s">
        <v>825</v>
      </c>
      <c r="C309" s="7" t="s">
        <v>723</v>
      </c>
      <c r="D309" s="295" t="s">
        <v>873</v>
      </c>
      <c r="E309" s="298">
        <v>2730.8333333333335</v>
      </c>
      <c r="F309" s="298">
        <v>5729</v>
      </c>
      <c r="G309" s="297">
        <v>5425.583333333333</v>
      </c>
      <c r="H309" s="297">
        <v>3787.0833333333335</v>
      </c>
      <c r="I309" s="299">
        <v>1638.5</v>
      </c>
    </row>
    <row r="310" spans="1:9" ht="15" customHeight="1">
      <c r="A310" s="7" t="s">
        <v>281</v>
      </c>
      <c r="B310" s="7" t="s">
        <v>604</v>
      </c>
      <c r="C310" s="7" t="s">
        <v>723</v>
      </c>
      <c r="D310" s="295" t="s">
        <v>874</v>
      </c>
      <c r="E310" s="298">
        <v>4597.583333333333</v>
      </c>
      <c r="F310" s="298">
        <v>9504.1666666666661</v>
      </c>
      <c r="G310" s="297">
        <v>9040.75</v>
      </c>
      <c r="H310" s="297">
        <v>6295.333333333333</v>
      </c>
      <c r="I310" s="299">
        <v>2745.4166666666665</v>
      </c>
    </row>
    <row r="311" spans="1:9" ht="15" customHeight="1">
      <c r="A311" s="7" t="s">
        <v>271</v>
      </c>
      <c r="B311" s="7" t="s">
        <v>826</v>
      </c>
      <c r="C311" s="7" t="s">
        <v>723</v>
      </c>
      <c r="D311" s="295" t="s">
        <v>873</v>
      </c>
      <c r="E311" s="298">
        <v>2815.8333333333335</v>
      </c>
      <c r="F311" s="298">
        <v>5853</v>
      </c>
      <c r="G311" s="297">
        <v>5567.916666666667</v>
      </c>
      <c r="H311" s="297">
        <v>3836.5833333333335</v>
      </c>
      <c r="I311" s="299">
        <v>1731.3333333333333</v>
      </c>
    </row>
    <row r="312" spans="1:9" ht="15" customHeight="1">
      <c r="A312" s="7" t="s">
        <v>270</v>
      </c>
      <c r="B312" s="7" t="s">
        <v>827</v>
      </c>
      <c r="C312" s="7" t="s">
        <v>723</v>
      </c>
      <c r="D312" s="295" t="s">
        <v>873</v>
      </c>
      <c r="E312" s="298">
        <v>2097.75</v>
      </c>
      <c r="F312" s="298">
        <v>4595.75</v>
      </c>
      <c r="G312" s="297">
        <v>4331.916666666667</v>
      </c>
      <c r="H312" s="297">
        <v>2914.6666666666665</v>
      </c>
      <c r="I312" s="299">
        <v>1417.25</v>
      </c>
    </row>
    <row r="313" spans="1:9" ht="15" customHeight="1">
      <c r="A313" s="7" t="s">
        <v>282</v>
      </c>
      <c r="B313" s="7" t="s">
        <v>605</v>
      </c>
      <c r="C313" s="7" t="s">
        <v>724</v>
      </c>
      <c r="D313" s="295" t="s">
        <v>877</v>
      </c>
      <c r="E313" s="298">
        <v>1288.8333333333333</v>
      </c>
      <c r="F313" s="298">
        <v>2602.9166666666665</v>
      </c>
      <c r="G313" s="297">
        <v>2470.1666666666665</v>
      </c>
      <c r="H313" s="297">
        <v>1740</v>
      </c>
      <c r="I313" s="299">
        <v>730.16666666666663</v>
      </c>
    </row>
    <row r="314" spans="1:9" ht="15" customHeight="1">
      <c r="A314" s="7" t="s">
        <v>322</v>
      </c>
      <c r="B314" s="7" t="s">
        <v>896</v>
      </c>
      <c r="C314" s="7" t="s">
        <v>724</v>
      </c>
      <c r="D314" s="295" t="s">
        <v>873</v>
      </c>
      <c r="E314" s="298">
        <v>1618.6666666666667</v>
      </c>
      <c r="F314" s="298">
        <v>3279.25</v>
      </c>
      <c r="G314" s="297">
        <v>3049.6666666666665</v>
      </c>
      <c r="H314" s="297">
        <v>2202.6666666666665</v>
      </c>
      <c r="I314" s="299">
        <v>847</v>
      </c>
    </row>
    <row r="315" spans="1:9" ht="15" customHeight="1">
      <c r="A315" s="7" t="s">
        <v>323</v>
      </c>
      <c r="B315" s="7" t="s">
        <v>897</v>
      </c>
      <c r="C315" s="7" t="s">
        <v>724</v>
      </c>
      <c r="D315" s="295" t="s">
        <v>872</v>
      </c>
      <c r="E315" s="298">
        <v>1326.8333333333333</v>
      </c>
      <c r="F315" s="298">
        <v>2402.6666666666665</v>
      </c>
      <c r="G315" s="297">
        <v>2244</v>
      </c>
      <c r="H315" s="297">
        <v>1673.5833333333333</v>
      </c>
      <c r="I315" s="299">
        <v>570.41666666666663</v>
      </c>
    </row>
    <row r="316" spans="1:9" ht="15" customHeight="1">
      <c r="A316" s="7" t="s">
        <v>283</v>
      </c>
      <c r="B316" s="7" t="s">
        <v>828</v>
      </c>
      <c r="C316" s="7" t="s">
        <v>724</v>
      </c>
      <c r="D316" s="295" t="s">
        <v>872</v>
      </c>
      <c r="E316" s="298">
        <v>1575.8333333333333</v>
      </c>
      <c r="F316" s="298">
        <v>3083</v>
      </c>
      <c r="G316" s="297">
        <v>2795.9166666666665</v>
      </c>
      <c r="H316" s="297">
        <v>2095.3333333333335</v>
      </c>
      <c r="I316" s="299">
        <v>700.58333333333337</v>
      </c>
    </row>
    <row r="317" spans="1:9" ht="15" customHeight="1">
      <c r="A317" s="7" t="s">
        <v>285</v>
      </c>
      <c r="B317" s="7" t="s">
        <v>606</v>
      </c>
      <c r="C317" s="7" t="s">
        <v>724</v>
      </c>
      <c r="D317" s="295" t="s">
        <v>877</v>
      </c>
      <c r="E317" s="298">
        <v>2863.6666666666665</v>
      </c>
      <c r="F317" s="298">
        <v>5560.583333333333</v>
      </c>
      <c r="G317" s="297">
        <v>5326.5</v>
      </c>
      <c r="H317" s="297">
        <v>3925.5833333333335</v>
      </c>
      <c r="I317" s="299">
        <v>1400.9166666666667</v>
      </c>
    </row>
    <row r="318" spans="1:9" ht="15" customHeight="1">
      <c r="A318" s="7" t="s">
        <v>286</v>
      </c>
      <c r="B318" s="7" t="s">
        <v>607</v>
      </c>
      <c r="C318" s="7" t="s">
        <v>724</v>
      </c>
      <c r="D318" s="295" t="s">
        <v>872</v>
      </c>
      <c r="E318" s="298">
        <v>2955.5833333333335</v>
      </c>
      <c r="F318" s="298">
        <v>6116.5</v>
      </c>
      <c r="G318" s="297">
        <v>5813.083333333333</v>
      </c>
      <c r="H318" s="297">
        <v>4111.416666666667</v>
      </c>
      <c r="I318" s="299">
        <v>1701.6666666666667</v>
      </c>
    </row>
    <row r="319" spans="1:9" ht="15" customHeight="1">
      <c r="A319" s="7" t="s">
        <v>287</v>
      </c>
      <c r="B319" s="7" t="s">
        <v>608</v>
      </c>
      <c r="C319" s="7" t="s">
        <v>724</v>
      </c>
      <c r="D319" s="295" t="s">
        <v>872</v>
      </c>
      <c r="E319" s="298">
        <v>2482.3333333333335</v>
      </c>
      <c r="F319" s="298">
        <v>4918.583333333333</v>
      </c>
      <c r="G319" s="297">
        <v>4663.25</v>
      </c>
      <c r="H319" s="297">
        <v>3357.9166666666665</v>
      </c>
      <c r="I319" s="299">
        <v>1305.3333333333333</v>
      </c>
    </row>
    <row r="320" spans="1:9" ht="15" customHeight="1">
      <c r="A320" s="7" t="s">
        <v>291</v>
      </c>
      <c r="B320" s="7" t="s">
        <v>609</v>
      </c>
      <c r="C320" s="7" t="s">
        <v>724</v>
      </c>
      <c r="D320" s="295" t="s">
        <v>877</v>
      </c>
      <c r="E320" s="298">
        <v>2170.4166666666665</v>
      </c>
      <c r="F320" s="298">
        <v>3917.75</v>
      </c>
      <c r="G320" s="297">
        <v>3684.25</v>
      </c>
      <c r="H320" s="297">
        <v>2775.3333333333335</v>
      </c>
      <c r="I320" s="299">
        <v>908.91666666666663</v>
      </c>
    </row>
    <row r="321" spans="1:9" ht="15" customHeight="1">
      <c r="A321" s="7" t="s">
        <v>292</v>
      </c>
      <c r="B321" s="7" t="s">
        <v>610</v>
      </c>
      <c r="C321" s="7" t="s">
        <v>724</v>
      </c>
      <c r="D321" s="295" t="s">
        <v>872</v>
      </c>
      <c r="E321" s="298">
        <v>1381.4166666666667</v>
      </c>
      <c r="F321" s="298">
        <v>2462.4166666666665</v>
      </c>
      <c r="G321" s="297">
        <v>2283.5833333333335</v>
      </c>
      <c r="H321" s="297">
        <v>1741.9166666666667</v>
      </c>
      <c r="I321" s="299">
        <v>541.66666666666663</v>
      </c>
    </row>
    <row r="322" spans="1:9" ht="15" customHeight="1">
      <c r="A322" s="7" t="s">
        <v>293</v>
      </c>
      <c r="B322" s="7" t="s">
        <v>611</v>
      </c>
      <c r="C322" s="7" t="s">
        <v>724</v>
      </c>
      <c r="D322" s="295" t="s">
        <v>875</v>
      </c>
      <c r="E322" s="298">
        <v>1293</v>
      </c>
      <c r="F322" s="298">
        <v>2340.9166666666665</v>
      </c>
      <c r="G322" s="297">
        <v>2143.25</v>
      </c>
      <c r="H322" s="297">
        <v>1656.8333333333333</v>
      </c>
      <c r="I322" s="299">
        <v>486.41666666666669</v>
      </c>
    </row>
    <row r="323" spans="1:9" ht="15" customHeight="1">
      <c r="A323" s="7" t="s">
        <v>298</v>
      </c>
      <c r="B323" s="7" t="s">
        <v>829</v>
      </c>
      <c r="C323" s="7" t="s">
        <v>724</v>
      </c>
      <c r="D323" s="295" t="s">
        <v>876</v>
      </c>
      <c r="E323" s="298">
        <v>2215.8333333333335</v>
      </c>
      <c r="F323" s="298">
        <v>4503.75</v>
      </c>
      <c r="G323" s="297">
        <v>4203.916666666667</v>
      </c>
      <c r="H323" s="297">
        <v>3003.4166666666665</v>
      </c>
      <c r="I323" s="299">
        <v>1200.5</v>
      </c>
    </row>
    <row r="324" spans="1:9" ht="15" customHeight="1">
      <c r="A324" s="7" t="s">
        <v>299</v>
      </c>
      <c r="B324" s="7" t="s">
        <v>830</v>
      </c>
      <c r="C324" s="7" t="s">
        <v>724</v>
      </c>
      <c r="D324" s="295" t="s">
        <v>875</v>
      </c>
      <c r="E324" s="298">
        <v>1778.75</v>
      </c>
      <c r="F324" s="298">
        <v>3424.4166666666665</v>
      </c>
      <c r="G324" s="297">
        <v>3237</v>
      </c>
      <c r="H324" s="297">
        <v>2380.9166666666665</v>
      </c>
      <c r="I324" s="299">
        <v>856.08333333333337</v>
      </c>
    </row>
    <row r="325" spans="1:9" ht="15" customHeight="1">
      <c r="A325" s="7" t="s">
        <v>300</v>
      </c>
      <c r="B325" s="7" t="s">
        <v>831</v>
      </c>
      <c r="C325" s="7" t="s">
        <v>724</v>
      </c>
      <c r="D325" s="295" t="s">
        <v>876</v>
      </c>
      <c r="E325" s="298">
        <v>1923.3333333333333</v>
      </c>
      <c r="F325" s="298">
        <v>3754.75</v>
      </c>
      <c r="G325" s="297">
        <v>3501.5833333333335</v>
      </c>
      <c r="H325" s="297">
        <v>2583.75</v>
      </c>
      <c r="I325" s="299">
        <v>917.83333333333337</v>
      </c>
    </row>
    <row r="326" spans="1:9" ht="15" customHeight="1">
      <c r="A326" s="7" t="s">
        <v>294</v>
      </c>
      <c r="B326" s="7" t="s">
        <v>612</v>
      </c>
      <c r="C326" s="7" t="s">
        <v>724</v>
      </c>
      <c r="D326" s="295" t="s">
        <v>877</v>
      </c>
      <c r="E326" s="298">
        <v>1721.5833333333333</v>
      </c>
      <c r="F326" s="298">
        <v>3259.3333333333335</v>
      </c>
      <c r="G326" s="297">
        <v>3082.9166666666665</v>
      </c>
      <c r="H326" s="297">
        <v>2247.25</v>
      </c>
      <c r="I326" s="299">
        <v>835.66666666666663</v>
      </c>
    </row>
    <row r="327" spans="1:9" ht="15" customHeight="1">
      <c r="A327" s="7" t="s">
        <v>295</v>
      </c>
      <c r="B327" s="7" t="s">
        <v>613</v>
      </c>
      <c r="C327" s="7" t="s">
        <v>724</v>
      </c>
      <c r="D327" s="295" t="s">
        <v>875</v>
      </c>
      <c r="E327" s="298">
        <v>1522.75</v>
      </c>
      <c r="F327" s="298">
        <v>2763.4166666666665</v>
      </c>
      <c r="G327" s="297">
        <v>2573.5</v>
      </c>
      <c r="H327" s="297">
        <v>1923.75</v>
      </c>
      <c r="I327" s="299">
        <v>649.75</v>
      </c>
    </row>
    <row r="328" spans="1:9" ht="15" customHeight="1">
      <c r="A328" s="7" t="s">
        <v>296</v>
      </c>
      <c r="B328" s="7" t="s">
        <v>614</v>
      </c>
      <c r="C328" s="7" t="s">
        <v>724</v>
      </c>
      <c r="D328" s="295" t="s">
        <v>875</v>
      </c>
      <c r="E328" s="298">
        <v>932.83333333333337</v>
      </c>
      <c r="F328" s="298">
        <v>1671.75</v>
      </c>
      <c r="G328" s="297">
        <v>1498.4166666666667</v>
      </c>
      <c r="H328" s="297">
        <v>1170.5</v>
      </c>
      <c r="I328" s="299">
        <v>327.91666666666669</v>
      </c>
    </row>
    <row r="329" spans="1:9" ht="15" customHeight="1">
      <c r="A329" s="7" t="s">
        <v>297</v>
      </c>
      <c r="B329" s="7" t="s">
        <v>615</v>
      </c>
      <c r="C329" s="7" t="s">
        <v>724</v>
      </c>
      <c r="D329" s="295" t="s">
        <v>875</v>
      </c>
      <c r="E329" s="298">
        <v>1191.0833333333333</v>
      </c>
      <c r="F329" s="298">
        <v>2123.5</v>
      </c>
      <c r="G329" s="297">
        <v>1983.5</v>
      </c>
      <c r="H329" s="297">
        <v>1498.3333333333333</v>
      </c>
      <c r="I329" s="299">
        <v>485.16666666666669</v>
      </c>
    </row>
    <row r="330" spans="1:9" ht="15" customHeight="1">
      <c r="A330" s="7" t="s">
        <v>288</v>
      </c>
      <c r="B330" s="7" t="s">
        <v>832</v>
      </c>
      <c r="C330" s="7" t="s">
        <v>724</v>
      </c>
      <c r="D330" s="295" t="s">
        <v>877</v>
      </c>
      <c r="E330" s="298">
        <v>2023.25</v>
      </c>
      <c r="F330" s="298">
        <v>3549.25</v>
      </c>
      <c r="G330" s="297">
        <v>3341.75</v>
      </c>
      <c r="H330" s="297">
        <v>2574.5</v>
      </c>
      <c r="I330" s="299">
        <v>767.25</v>
      </c>
    </row>
    <row r="331" spans="1:9" ht="15" customHeight="1">
      <c r="A331" s="7" t="s">
        <v>289</v>
      </c>
      <c r="B331" s="7" t="s">
        <v>833</v>
      </c>
      <c r="C331" s="7" t="s">
        <v>724</v>
      </c>
      <c r="D331" s="295" t="s">
        <v>872</v>
      </c>
      <c r="E331" s="298">
        <v>1749.75</v>
      </c>
      <c r="F331" s="298">
        <v>3267.4166666666665</v>
      </c>
      <c r="G331" s="297">
        <v>3041.9166666666665</v>
      </c>
      <c r="H331" s="297">
        <v>2255.9166666666665</v>
      </c>
      <c r="I331" s="299">
        <v>786</v>
      </c>
    </row>
    <row r="332" spans="1:9" ht="15" customHeight="1">
      <c r="A332" s="7" t="s">
        <v>290</v>
      </c>
      <c r="B332" s="7" t="s">
        <v>834</v>
      </c>
      <c r="C332" s="7" t="s">
        <v>724</v>
      </c>
      <c r="D332" s="295" t="s">
        <v>872</v>
      </c>
      <c r="E332" s="298">
        <v>1844.1666666666667</v>
      </c>
      <c r="F332" s="298">
        <v>3614.5833333333335</v>
      </c>
      <c r="G332" s="297">
        <v>3419.4166666666665</v>
      </c>
      <c r="H332" s="297">
        <v>2475.3333333333335</v>
      </c>
      <c r="I332" s="299">
        <v>944.08333333333337</v>
      </c>
    </row>
    <row r="333" spans="1:9" ht="15" customHeight="1">
      <c r="A333" s="7" t="s">
        <v>303</v>
      </c>
      <c r="B333" s="7" t="s">
        <v>898</v>
      </c>
      <c r="C333" s="7" t="s">
        <v>724</v>
      </c>
      <c r="D333" s="295" t="s">
        <v>879</v>
      </c>
      <c r="E333" s="298">
        <v>4498.083333333333</v>
      </c>
      <c r="F333" s="298">
        <v>8624.5</v>
      </c>
      <c r="G333" s="297">
        <v>8153.583333333333</v>
      </c>
      <c r="H333" s="297">
        <v>5987.833333333333</v>
      </c>
      <c r="I333" s="299">
        <v>2165.75</v>
      </c>
    </row>
    <row r="334" spans="1:9" ht="15" customHeight="1">
      <c r="A334" s="7" t="s">
        <v>304</v>
      </c>
      <c r="B334" s="7" t="s">
        <v>899</v>
      </c>
      <c r="C334" s="7" t="s">
        <v>724</v>
      </c>
      <c r="D334" s="295" t="s">
        <v>872</v>
      </c>
      <c r="E334" s="298">
        <v>1468</v>
      </c>
      <c r="F334" s="298">
        <v>2796</v>
      </c>
      <c r="G334" s="297">
        <v>2666.25</v>
      </c>
      <c r="H334" s="297">
        <v>1921.4166666666667</v>
      </c>
      <c r="I334" s="299">
        <v>744.83333333333337</v>
      </c>
    </row>
    <row r="335" spans="1:9" ht="15" customHeight="1">
      <c r="A335" s="7" t="s">
        <v>301</v>
      </c>
      <c r="B335" s="7" t="s">
        <v>900</v>
      </c>
      <c r="C335" s="7" t="s">
        <v>724</v>
      </c>
      <c r="D335" s="295" t="s">
        <v>874</v>
      </c>
      <c r="E335" s="298">
        <v>2692.3333333333335</v>
      </c>
      <c r="F335" s="298">
        <v>5300.416666666667</v>
      </c>
      <c r="G335" s="297">
        <v>5031</v>
      </c>
      <c r="H335" s="297">
        <v>3571.1666666666665</v>
      </c>
      <c r="I335" s="299">
        <v>1459.8333333333333</v>
      </c>
    </row>
    <row r="336" spans="1:9" ht="15" customHeight="1">
      <c r="A336" s="7" t="s">
        <v>302</v>
      </c>
      <c r="B336" s="7" t="s">
        <v>901</v>
      </c>
      <c r="C336" s="7" t="s">
        <v>724</v>
      </c>
      <c r="D336" s="295" t="s">
        <v>872</v>
      </c>
      <c r="E336" s="298">
        <v>1618.5</v>
      </c>
      <c r="F336" s="298">
        <v>3197.25</v>
      </c>
      <c r="G336" s="297">
        <v>3038.5833333333335</v>
      </c>
      <c r="H336" s="297">
        <v>2177</v>
      </c>
      <c r="I336" s="299">
        <v>861.58333333333337</v>
      </c>
    </row>
    <row r="337" spans="1:9" ht="15" customHeight="1">
      <c r="A337" s="7" t="s">
        <v>284</v>
      </c>
      <c r="B337" s="7" t="s">
        <v>902</v>
      </c>
      <c r="C337" s="7" t="s">
        <v>724</v>
      </c>
      <c r="D337" s="295" t="s">
        <v>872</v>
      </c>
      <c r="E337" s="298">
        <v>1345.9166666666667</v>
      </c>
      <c r="F337" s="298">
        <v>2813.5</v>
      </c>
      <c r="G337" s="297">
        <v>2622.5</v>
      </c>
      <c r="H337" s="297">
        <v>1816.6666666666667</v>
      </c>
      <c r="I337" s="299">
        <v>805.83333333333337</v>
      </c>
    </row>
    <row r="338" spans="1:9" ht="15" customHeight="1">
      <c r="A338" s="7" t="s">
        <v>305</v>
      </c>
      <c r="B338" s="7" t="s">
        <v>616</v>
      </c>
      <c r="C338" s="7" t="s">
        <v>724</v>
      </c>
      <c r="D338" s="295" t="s">
        <v>877</v>
      </c>
      <c r="E338" s="298">
        <v>23641.333333333332</v>
      </c>
      <c r="F338" s="298">
        <v>45152.583333333336</v>
      </c>
      <c r="G338" s="297">
        <v>42838.75</v>
      </c>
      <c r="H338" s="297">
        <v>31365.416666666668</v>
      </c>
      <c r="I338" s="299">
        <v>11473.333333333334</v>
      </c>
    </row>
    <row r="339" spans="1:9" ht="15" customHeight="1">
      <c r="A339" s="7" t="s">
        <v>306</v>
      </c>
      <c r="B339" s="7" t="s">
        <v>617</v>
      </c>
      <c r="C339" s="7" t="s">
        <v>724</v>
      </c>
      <c r="D339" s="295" t="s">
        <v>872</v>
      </c>
      <c r="E339" s="298">
        <v>2341.6666666666665</v>
      </c>
      <c r="F339" s="298">
        <v>4553.25</v>
      </c>
      <c r="G339" s="297">
        <v>4244.166666666667</v>
      </c>
      <c r="H339" s="297">
        <v>3092.75</v>
      </c>
      <c r="I339" s="299">
        <v>1151.4166666666667</v>
      </c>
    </row>
    <row r="340" spans="1:9" ht="15" customHeight="1">
      <c r="A340" s="7" t="s">
        <v>307</v>
      </c>
      <c r="B340" s="7" t="s">
        <v>618</v>
      </c>
      <c r="C340" s="7" t="s">
        <v>724</v>
      </c>
      <c r="D340" s="295" t="s">
        <v>874</v>
      </c>
      <c r="E340" s="298">
        <v>952.25</v>
      </c>
      <c r="F340" s="298">
        <v>1954.4166666666667</v>
      </c>
      <c r="G340" s="297">
        <v>1846.3333333333333</v>
      </c>
      <c r="H340" s="297">
        <v>1322.5</v>
      </c>
      <c r="I340" s="299">
        <v>523.83333333333337</v>
      </c>
    </row>
    <row r="341" spans="1:9" ht="15" customHeight="1">
      <c r="A341" s="7" t="s">
        <v>308</v>
      </c>
      <c r="B341" s="7" t="s">
        <v>619</v>
      </c>
      <c r="C341" s="7" t="s">
        <v>724</v>
      </c>
      <c r="D341" s="295" t="s">
        <v>873</v>
      </c>
      <c r="E341" s="298">
        <v>1527.3333333333333</v>
      </c>
      <c r="F341" s="298">
        <v>2894.5833333333335</v>
      </c>
      <c r="G341" s="297">
        <v>2722.6666666666665</v>
      </c>
      <c r="H341" s="297">
        <v>1966.0833333333333</v>
      </c>
      <c r="I341" s="299">
        <v>756.58333333333337</v>
      </c>
    </row>
    <row r="342" spans="1:9" ht="15" customHeight="1">
      <c r="A342" s="7" t="s">
        <v>309</v>
      </c>
      <c r="B342" s="7" t="s">
        <v>620</v>
      </c>
      <c r="C342" s="7" t="s">
        <v>724</v>
      </c>
      <c r="D342" s="295" t="s">
        <v>877</v>
      </c>
      <c r="E342" s="298">
        <v>4601.083333333333</v>
      </c>
      <c r="F342" s="298">
        <v>8002</v>
      </c>
      <c r="G342" s="297">
        <v>7650</v>
      </c>
      <c r="H342" s="297">
        <v>5757.166666666667</v>
      </c>
      <c r="I342" s="299">
        <v>1892.8333333333333</v>
      </c>
    </row>
    <row r="343" spans="1:9" ht="15" customHeight="1">
      <c r="A343" s="7" t="s">
        <v>310</v>
      </c>
      <c r="B343" s="7" t="s">
        <v>621</v>
      </c>
      <c r="C343" s="7" t="s">
        <v>724</v>
      </c>
      <c r="D343" s="295" t="s">
        <v>872</v>
      </c>
      <c r="E343" s="298">
        <v>2760.3333333333335</v>
      </c>
      <c r="F343" s="298">
        <v>5433.916666666667</v>
      </c>
      <c r="G343" s="297">
        <v>5137.583333333333</v>
      </c>
      <c r="H343" s="297">
        <v>3683.5</v>
      </c>
      <c r="I343" s="299">
        <v>1454.0833333333333</v>
      </c>
    </row>
    <row r="344" spans="1:9" ht="15" customHeight="1">
      <c r="A344" s="7" t="s">
        <v>311</v>
      </c>
      <c r="B344" s="7" t="s">
        <v>622</v>
      </c>
      <c r="C344" s="7" t="s">
        <v>724</v>
      </c>
      <c r="D344" s="295" t="s">
        <v>873</v>
      </c>
      <c r="E344" s="298">
        <v>1494.5833333333333</v>
      </c>
      <c r="F344" s="298">
        <v>2848.0833333333335</v>
      </c>
      <c r="G344" s="297">
        <v>2678.9166666666665</v>
      </c>
      <c r="H344" s="297">
        <v>1980.4166666666667</v>
      </c>
      <c r="I344" s="299">
        <v>698.5</v>
      </c>
    </row>
    <row r="345" spans="1:9" ht="15" customHeight="1">
      <c r="A345" s="7" t="s">
        <v>312</v>
      </c>
      <c r="B345" s="7" t="s">
        <v>623</v>
      </c>
      <c r="C345" s="7" t="s">
        <v>724</v>
      </c>
      <c r="D345" s="295" t="s">
        <v>873</v>
      </c>
      <c r="E345" s="298">
        <v>2652.25</v>
      </c>
      <c r="F345" s="298">
        <v>5160.583333333333</v>
      </c>
      <c r="G345" s="297">
        <v>4819.583333333333</v>
      </c>
      <c r="H345" s="297">
        <v>3540.9166666666665</v>
      </c>
      <c r="I345" s="299">
        <v>1278.6666666666667</v>
      </c>
    </row>
    <row r="346" spans="1:9" ht="15" customHeight="1">
      <c r="A346" s="7" t="s">
        <v>313</v>
      </c>
      <c r="B346" s="7" t="s">
        <v>624</v>
      </c>
      <c r="C346" s="7" t="s">
        <v>724</v>
      </c>
      <c r="D346" s="295" t="s">
        <v>873</v>
      </c>
      <c r="E346" s="298">
        <v>1706.0833333333333</v>
      </c>
      <c r="F346" s="298">
        <v>3339.1666666666665</v>
      </c>
      <c r="G346" s="297">
        <v>3127.0833333333335</v>
      </c>
      <c r="H346" s="297">
        <v>2266.1666666666665</v>
      </c>
      <c r="I346" s="299">
        <v>860.91666666666663</v>
      </c>
    </row>
    <row r="347" spans="1:9" ht="15" customHeight="1">
      <c r="A347" s="7" t="s">
        <v>314</v>
      </c>
      <c r="B347" s="7" t="s">
        <v>625</v>
      </c>
      <c r="C347" s="7" t="s">
        <v>724</v>
      </c>
      <c r="D347" s="295" t="s">
        <v>873</v>
      </c>
      <c r="E347" s="298">
        <v>2324</v>
      </c>
      <c r="F347" s="298">
        <v>4591.75</v>
      </c>
      <c r="G347" s="297">
        <v>4313.166666666667</v>
      </c>
      <c r="H347" s="297">
        <v>3085.8333333333335</v>
      </c>
      <c r="I347" s="299">
        <v>1227.3333333333333</v>
      </c>
    </row>
    <row r="348" spans="1:9" ht="15" customHeight="1">
      <c r="A348" s="7" t="s">
        <v>315</v>
      </c>
      <c r="B348" s="7" t="s">
        <v>626</v>
      </c>
      <c r="C348" s="7" t="s">
        <v>724</v>
      </c>
      <c r="D348" s="295" t="s">
        <v>875</v>
      </c>
      <c r="E348" s="298">
        <v>1709.0833333333333</v>
      </c>
      <c r="F348" s="298">
        <v>3350.3333333333335</v>
      </c>
      <c r="G348" s="297">
        <v>3110.0833333333335</v>
      </c>
      <c r="H348" s="297">
        <v>2252.25</v>
      </c>
      <c r="I348" s="299">
        <v>857.83333333333337</v>
      </c>
    </row>
    <row r="349" spans="1:9" ht="15" customHeight="1">
      <c r="A349" s="7" t="s">
        <v>316</v>
      </c>
      <c r="B349" s="7" t="s">
        <v>627</v>
      </c>
      <c r="C349" s="7" t="s">
        <v>724</v>
      </c>
      <c r="D349" s="295" t="s">
        <v>872</v>
      </c>
      <c r="E349" s="298">
        <v>1117.0833333333333</v>
      </c>
      <c r="F349" s="298">
        <v>2081.6666666666665</v>
      </c>
      <c r="G349" s="297">
        <v>1935.75</v>
      </c>
      <c r="H349" s="297">
        <v>1464.4166666666667</v>
      </c>
      <c r="I349" s="299">
        <v>471.33333333333331</v>
      </c>
    </row>
    <row r="350" spans="1:9" ht="15" customHeight="1">
      <c r="A350" s="7" t="s">
        <v>317</v>
      </c>
      <c r="B350" s="7" t="s">
        <v>628</v>
      </c>
      <c r="C350" s="7" t="s">
        <v>724</v>
      </c>
      <c r="D350" s="295" t="s">
        <v>875</v>
      </c>
      <c r="E350" s="298">
        <v>1189.1666666666667</v>
      </c>
      <c r="F350" s="298">
        <v>2304.3333333333335</v>
      </c>
      <c r="G350" s="297">
        <v>2117.5</v>
      </c>
      <c r="H350" s="297">
        <v>1564.1666666666667</v>
      </c>
      <c r="I350" s="299">
        <v>553.33333333333337</v>
      </c>
    </row>
    <row r="351" spans="1:9" ht="15" customHeight="1">
      <c r="A351" s="7" t="s">
        <v>318</v>
      </c>
      <c r="B351" s="7" t="s">
        <v>629</v>
      </c>
      <c r="C351" s="7" t="s">
        <v>724</v>
      </c>
      <c r="D351" s="295" t="s">
        <v>877</v>
      </c>
      <c r="E351" s="298">
        <v>2447.8333333333335</v>
      </c>
      <c r="F351" s="298">
        <v>4854.166666666667</v>
      </c>
      <c r="G351" s="297">
        <v>4646.666666666667</v>
      </c>
      <c r="H351" s="297">
        <v>3339.25</v>
      </c>
      <c r="I351" s="299">
        <v>1307.4166666666667</v>
      </c>
    </row>
    <row r="352" spans="1:9" ht="15" customHeight="1">
      <c r="A352" s="7" t="s">
        <v>319</v>
      </c>
      <c r="B352" s="7" t="s">
        <v>630</v>
      </c>
      <c r="C352" s="7" t="s">
        <v>724</v>
      </c>
      <c r="D352" s="295" t="s">
        <v>872</v>
      </c>
      <c r="E352" s="298">
        <v>1205.8333333333333</v>
      </c>
      <c r="F352" s="298">
        <v>2427.0833333333335</v>
      </c>
      <c r="G352" s="297">
        <v>2250.8333333333335</v>
      </c>
      <c r="H352" s="297">
        <v>1612.8333333333333</v>
      </c>
      <c r="I352" s="299">
        <v>638</v>
      </c>
    </row>
    <row r="353" spans="1:9" ht="15" customHeight="1">
      <c r="A353" s="7" t="s">
        <v>320</v>
      </c>
      <c r="B353" s="7" t="s">
        <v>631</v>
      </c>
      <c r="C353" s="7" t="s">
        <v>724</v>
      </c>
      <c r="D353" s="295" t="s">
        <v>876</v>
      </c>
      <c r="E353" s="298">
        <v>2893.0833333333335</v>
      </c>
      <c r="F353" s="298">
        <v>5549.25</v>
      </c>
      <c r="G353" s="297">
        <v>5168.25</v>
      </c>
      <c r="H353" s="297">
        <v>3820.5</v>
      </c>
      <c r="I353" s="299">
        <v>1347.75</v>
      </c>
    </row>
    <row r="354" spans="1:9" ht="15" customHeight="1">
      <c r="A354" s="7" t="s">
        <v>321</v>
      </c>
      <c r="B354" s="7" t="s">
        <v>632</v>
      </c>
      <c r="C354" s="7" t="s">
        <v>724</v>
      </c>
      <c r="D354" s="295" t="s">
        <v>875</v>
      </c>
      <c r="E354" s="298">
        <v>1125.3333333333333</v>
      </c>
      <c r="F354" s="298">
        <v>2138.0833333333335</v>
      </c>
      <c r="G354" s="297">
        <v>1942.5</v>
      </c>
      <c r="H354" s="297">
        <v>1470.5</v>
      </c>
      <c r="I354" s="299">
        <v>472</v>
      </c>
    </row>
    <row r="355" spans="1:9" ht="15" customHeight="1">
      <c r="A355" s="7" t="s">
        <v>324</v>
      </c>
      <c r="B355" s="7" t="s">
        <v>633</v>
      </c>
      <c r="C355" s="7" t="s">
        <v>724</v>
      </c>
      <c r="D355" s="295" t="s">
        <v>872</v>
      </c>
      <c r="E355" s="298">
        <v>1128.75</v>
      </c>
      <c r="F355" s="298">
        <v>2247.25</v>
      </c>
      <c r="G355" s="297">
        <v>2084.5833333333335</v>
      </c>
      <c r="H355" s="297">
        <v>1491.5</v>
      </c>
      <c r="I355" s="299">
        <v>593.08333333333337</v>
      </c>
    </row>
    <row r="356" spans="1:9" ht="15" customHeight="1">
      <c r="A356" s="7" t="s">
        <v>325</v>
      </c>
      <c r="B356" s="7" t="s">
        <v>634</v>
      </c>
      <c r="C356" s="7" t="s">
        <v>724</v>
      </c>
      <c r="D356" s="295" t="s">
        <v>877</v>
      </c>
      <c r="E356" s="298">
        <v>3415.5</v>
      </c>
      <c r="F356" s="298">
        <v>6066.416666666667</v>
      </c>
      <c r="G356" s="297">
        <v>5697.833333333333</v>
      </c>
      <c r="H356" s="297">
        <v>4246.416666666667</v>
      </c>
      <c r="I356" s="299">
        <v>1451.4166666666667</v>
      </c>
    </row>
    <row r="357" spans="1:9" ht="15" customHeight="1">
      <c r="A357" s="7" t="s">
        <v>326</v>
      </c>
      <c r="B357" s="7" t="s">
        <v>635</v>
      </c>
      <c r="C357" s="7" t="s">
        <v>724</v>
      </c>
      <c r="D357" s="295" t="s">
        <v>872</v>
      </c>
      <c r="E357" s="298">
        <v>2064.3333333333335</v>
      </c>
      <c r="F357" s="298">
        <v>3455.8333333333335</v>
      </c>
      <c r="G357" s="297">
        <v>3333.8333333333335</v>
      </c>
      <c r="H357" s="297">
        <v>2547.1666666666665</v>
      </c>
      <c r="I357" s="299">
        <v>786.66666666666663</v>
      </c>
    </row>
    <row r="358" spans="1:9" ht="15" customHeight="1">
      <c r="A358" s="7" t="s">
        <v>327</v>
      </c>
      <c r="B358" s="7" t="s">
        <v>636</v>
      </c>
      <c r="C358" s="7" t="s">
        <v>724</v>
      </c>
      <c r="D358" s="295" t="s">
        <v>872</v>
      </c>
      <c r="E358" s="298">
        <v>1449.8333333333333</v>
      </c>
      <c r="F358" s="298">
        <v>3013.4166666666665</v>
      </c>
      <c r="G358" s="297">
        <v>2784.75</v>
      </c>
      <c r="H358" s="297">
        <v>1957.1666666666667</v>
      </c>
      <c r="I358" s="299">
        <v>827.58333333333337</v>
      </c>
    </row>
    <row r="359" spans="1:9" ht="15" customHeight="1">
      <c r="A359" s="7" t="s">
        <v>328</v>
      </c>
      <c r="B359" s="7" t="s">
        <v>637</v>
      </c>
      <c r="C359" s="7" t="s">
        <v>724</v>
      </c>
      <c r="D359" s="295" t="s">
        <v>872</v>
      </c>
      <c r="E359" s="298">
        <v>1606.75</v>
      </c>
      <c r="F359" s="298">
        <v>3308.5</v>
      </c>
      <c r="G359" s="297">
        <v>3141</v>
      </c>
      <c r="H359" s="297">
        <v>2232.75</v>
      </c>
      <c r="I359" s="299">
        <v>908.25</v>
      </c>
    </row>
    <row r="360" spans="1:9" ht="15" customHeight="1">
      <c r="A360" s="7" t="s">
        <v>329</v>
      </c>
      <c r="B360" s="7" t="s">
        <v>638</v>
      </c>
      <c r="C360" s="7" t="s">
        <v>724</v>
      </c>
      <c r="D360" s="295" t="s">
        <v>877</v>
      </c>
      <c r="E360" s="298">
        <v>10261.666666666666</v>
      </c>
      <c r="F360" s="298">
        <v>18883.833333333332</v>
      </c>
      <c r="G360" s="297">
        <v>17974.916666666668</v>
      </c>
      <c r="H360" s="297">
        <v>13470</v>
      </c>
      <c r="I360" s="299">
        <v>4504.916666666667</v>
      </c>
    </row>
    <row r="361" spans="1:9" ht="15" customHeight="1">
      <c r="A361" s="7" t="s">
        <v>330</v>
      </c>
      <c r="B361" s="7" t="s">
        <v>639</v>
      </c>
      <c r="C361" s="7" t="s">
        <v>724</v>
      </c>
      <c r="D361" s="295" t="s">
        <v>872</v>
      </c>
      <c r="E361" s="298">
        <v>3716.0833333333335</v>
      </c>
      <c r="F361" s="298">
        <v>7867.916666666667</v>
      </c>
      <c r="G361" s="297">
        <v>7482.083333333333</v>
      </c>
      <c r="H361" s="297">
        <v>5168.833333333333</v>
      </c>
      <c r="I361" s="299">
        <v>2313.25</v>
      </c>
    </row>
    <row r="362" spans="1:9" ht="15" customHeight="1">
      <c r="A362" s="7" t="s">
        <v>331</v>
      </c>
      <c r="B362" s="7" t="s">
        <v>640</v>
      </c>
      <c r="C362" s="7" t="s">
        <v>724</v>
      </c>
      <c r="D362" s="295" t="s">
        <v>873</v>
      </c>
      <c r="E362" s="298">
        <v>1736.9166666666667</v>
      </c>
      <c r="F362" s="298">
        <v>3184.9166666666665</v>
      </c>
      <c r="G362" s="297">
        <v>2973.25</v>
      </c>
      <c r="H362" s="297">
        <v>2199.6666666666665</v>
      </c>
      <c r="I362" s="299">
        <v>773.58333333333337</v>
      </c>
    </row>
    <row r="363" spans="1:9" ht="15" customHeight="1">
      <c r="A363" s="7" t="s">
        <v>332</v>
      </c>
      <c r="B363" s="7" t="s">
        <v>641</v>
      </c>
      <c r="C363" s="7" t="s">
        <v>724</v>
      </c>
      <c r="D363" s="295" t="s">
        <v>873</v>
      </c>
      <c r="E363" s="298">
        <v>1260.0833333333333</v>
      </c>
      <c r="F363" s="298">
        <v>2440</v>
      </c>
      <c r="G363" s="297">
        <v>2298.5</v>
      </c>
      <c r="H363" s="297">
        <v>1675</v>
      </c>
      <c r="I363" s="299">
        <v>623.5</v>
      </c>
    </row>
    <row r="364" spans="1:9" ht="15" customHeight="1">
      <c r="A364" s="7" t="s">
        <v>333</v>
      </c>
      <c r="B364" s="7" t="s">
        <v>642</v>
      </c>
      <c r="C364" s="7" t="s">
        <v>724</v>
      </c>
      <c r="D364" s="295" t="s">
        <v>873</v>
      </c>
      <c r="E364" s="298">
        <v>2744.3333333333335</v>
      </c>
      <c r="F364" s="298">
        <v>5064.25</v>
      </c>
      <c r="G364" s="297">
        <v>4745.416666666667</v>
      </c>
      <c r="H364" s="297">
        <v>3541.8333333333335</v>
      </c>
      <c r="I364" s="299">
        <v>1203.5833333333333</v>
      </c>
    </row>
    <row r="365" spans="1:9" ht="15" customHeight="1">
      <c r="A365" s="7" t="s">
        <v>334</v>
      </c>
      <c r="B365" s="7" t="s">
        <v>643</v>
      </c>
      <c r="C365" s="7" t="s">
        <v>724</v>
      </c>
      <c r="D365" s="295" t="s">
        <v>873</v>
      </c>
      <c r="E365" s="298">
        <v>1569.1666666666667</v>
      </c>
      <c r="F365" s="298">
        <v>3353.9166666666665</v>
      </c>
      <c r="G365" s="297">
        <v>3180.75</v>
      </c>
      <c r="H365" s="297">
        <v>2171.0833333333335</v>
      </c>
      <c r="I365" s="299">
        <v>1009.6666666666666</v>
      </c>
    </row>
    <row r="366" spans="1:9" ht="15" customHeight="1">
      <c r="A366" s="7" t="s">
        <v>335</v>
      </c>
      <c r="B366" s="7" t="s">
        <v>644</v>
      </c>
      <c r="C366" s="7" t="s">
        <v>724</v>
      </c>
      <c r="D366" s="295" t="s">
        <v>873</v>
      </c>
      <c r="E366" s="298">
        <v>1566.75</v>
      </c>
      <c r="F366" s="298">
        <v>3193.4166666666665</v>
      </c>
      <c r="G366" s="297">
        <v>2960.3333333333335</v>
      </c>
      <c r="H366" s="297">
        <v>2111.5833333333335</v>
      </c>
      <c r="I366" s="299">
        <v>848.75</v>
      </c>
    </row>
    <row r="367" spans="1:9" ht="15" customHeight="1">
      <c r="A367" s="7" t="s">
        <v>350</v>
      </c>
      <c r="B367" s="7" t="s">
        <v>835</v>
      </c>
      <c r="C367" s="7" t="s">
        <v>724</v>
      </c>
      <c r="D367" s="295" t="s">
        <v>873</v>
      </c>
      <c r="E367" s="298">
        <v>1438.9166666666667</v>
      </c>
      <c r="F367" s="298">
        <v>2925.25</v>
      </c>
      <c r="G367" s="297">
        <v>2759.5833333333335</v>
      </c>
      <c r="H367" s="297">
        <v>1935.9166666666667</v>
      </c>
      <c r="I367" s="299">
        <v>823.66666666666663</v>
      </c>
    </row>
    <row r="368" spans="1:9" ht="15" customHeight="1">
      <c r="A368" s="7" t="s">
        <v>352</v>
      </c>
      <c r="B368" s="7" t="s">
        <v>836</v>
      </c>
      <c r="C368" s="7" t="s">
        <v>724</v>
      </c>
      <c r="D368" s="295" t="s">
        <v>874</v>
      </c>
      <c r="E368" s="298">
        <v>2746.75</v>
      </c>
      <c r="F368" s="298">
        <v>5345.25</v>
      </c>
      <c r="G368" s="297">
        <v>5034.5</v>
      </c>
      <c r="H368" s="297">
        <v>3622.8333333333335</v>
      </c>
      <c r="I368" s="299">
        <v>1411.6666666666667</v>
      </c>
    </row>
    <row r="369" spans="1:9" ht="15" customHeight="1">
      <c r="A369" s="7" t="s">
        <v>336</v>
      </c>
      <c r="B369" s="7" t="s">
        <v>645</v>
      </c>
      <c r="C369" s="7" t="s">
        <v>724</v>
      </c>
      <c r="D369" s="295" t="s">
        <v>871</v>
      </c>
      <c r="E369" s="298">
        <v>1538</v>
      </c>
      <c r="F369" s="298">
        <v>2993.6666666666665</v>
      </c>
      <c r="G369" s="297">
        <v>2841.5833333333335</v>
      </c>
      <c r="H369" s="297">
        <v>2031.9166666666667</v>
      </c>
      <c r="I369" s="299">
        <v>809.66666666666663</v>
      </c>
    </row>
    <row r="370" spans="1:9" ht="15" customHeight="1">
      <c r="A370" s="7" t="s">
        <v>337</v>
      </c>
      <c r="B370" s="7" t="s">
        <v>646</v>
      </c>
      <c r="C370" s="7" t="s">
        <v>724</v>
      </c>
      <c r="D370" s="295" t="s">
        <v>871</v>
      </c>
      <c r="E370" s="298">
        <v>2459.4166666666665</v>
      </c>
      <c r="F370" s="298">
        <v>4679.666666666667</v>
      </c>
      <c r="G370" s="297">
        <v>4522.166666666667</v>
      </c>
      <c r="H370" s="297">
        <v>3255.1666666666665</v>
      </c>
      <c r="I370" s="299">
        <v>1267</v>
      </c>
    </row>
    <row r="371" spans="1:9" ht="15" customHeight="1">
      <c r="A371" s="7" t="s">
        <v>354</v>
      </c>
      <c r="B371" s="7" t="s">
        <v>837</v>
      </c>
      <c r="C371" s="7" t="s">
        <v>724</v>
      </c>
      <c r="D371" s="295" t="s">
        <v>871</v>
      </c>
      <c r="E371" s="298">
        <v>1844.3333333333333</v>
      </c>
      <c r="F371" s="298">
        <v>3531.75</v>
      </c>
      <c r="G371" s="297">
        <v>3385.9166666666665</v>
      </c>
      <c r="H371" s="297">
        <v>2453.4166666666665</v>
      </c>
      <c r="I371" s="299">
        <v>932.5</v>
      </c>
    </row>
    <row r="372" spans="1:9" ht="15" customHeight="1">
      <c r="A372" s="7" t="s">
        <v>355</v>
      </c>
      <c r="B372" s="7" t="s">
        <v>838</v>
      </c>
      <c r="C372" s="7" t="s">
        <v>724</v>
      </c>
      <c r="D372" s="295" t="s">
        <v>871</v>
      </c>
      <c r="E372" s="298">
        <v>1593.3333333333333</v>
      </c>
      <c r="F372" s="298">
        <v>3084.4166666666665</v>
      </c>
      <c r="G372" s="297">
        <v>2991.75</v>
      </c>
      <c r="H372" s="297">
        <v>2116.0833333333335</v>
      </c>
      <c r="I372" s="299">
        <v>875.66666666666663</v>
      </c>
    </row>
    <row r="373" spans="1:9" ht="15" customHeight="1">
      <c r="A373" s="7" t="s">
        <v>338</v>
      </c>
      <c r="B373" s="7" t="s">
        <v>647</v>
      </c>
      <c r="C373" s="7" t="s">
        <v>724</v>
      </c>
      <c r="D373" s="295" t="s">
        <v>872</v>
      </c>
      <c r="E373" s="298">
        <v>1438.4166666666667</v>
      </c>
      <c r="F373" s="298">
        <v>3228.25</v>
      </c>
      <c r="G373" s="297">
        <v>3042.8333333333335</v>
      </c>
      <c r="H373" s="297">
        <v>2022.5</v>
      </c>
      <c r="I373" s="299">
        <v>1020.3333333333334</v>
      </c>
    </row>
    <row r="374" spans="1:9" ht="15" customHeight="1">
      <c r="A374" s="7" t="s">
        <v>340</v>
      </c>
      <c r="B374" s="7" t="s">
        <v>648</v>
      </c>
      <c r="C374" s="7" t="s">
        <v>724</v>
      </c>
      <c r="D374" s="295" t="s">
        <v>873</v>
      </c>
      <c r="E374" s="298">
        <v>1352.0833333333333</v>
      </c>
      <c r="F374" s="298">
        <v>2908.8333333333335</v>
      </c>
      <c r="G374" s="297">
        <v>2752</v>
      </c>
      <c r="H374" s="297">
        <v>1897.5</v>
      </c>
      <c r="I374" s="299">
        <v>854.5</v>
      </c>
    </row>
    <row r="375" spans="1:9" ht="15" customHeight="1">
      <c r="A375" s="7" t="s">
        <v>341</v>
      </c>
      <c r="B375" s="7" t="s">
        <v>649</v>
      </c>
      <c r="C375" s="7" t="s">
        <v>724</v>
      </c>
      <c r="D375" s="295" t="s">
        <v>871</v>
      </c>
      <c r="E375" s="298">
        <v>1183.5833333333333</v>
      </c>
      <c r="F375" s="298">
        <v>2172.0833333333335</v>
      </c>
      <c r="G375" s="297">
        <v>2052.1666666666665</v>
      </c>
      <c r="H375" s="297">
        <v>1547.5</v>
      </c>
      <c r="I375" s="299">
        <v>504.66666666666669</v>
      </c>
    </row>
    <row r="376" spans="1:9" ht="15" customHeight="1">
      <c r="A376" s="7" t="s">
        <v>339</v>
      </c>
      <c r="B376" s="7" t="s">
        <v>839</v>
      </c>
      <c r="C376" s="7" t="s">
        <v>724</v>
      </c>
      <c r="D376" s="295" t="s">
        <v>877</v>
      </c>
      <c r="E376" s="298">
        <v>3676.4166666666665</v>
      </c>
      <c r="F376" s="298">
        <v>7307.166666666667</v>
      </c>
      <c r="G376" s="297">
        <v>6978.416666666667</v>
      </c>
      <c r="H376" s="297">
        <v>4954.583333333333</v>
      </c>
      <c r="I376" s="299">
        <v>2023.8333333333333</v>
      </c>
    </row>
    <row r="377" spans="1:9" ht="15" customHeight="1">
      <c r="A377" s="7" t="s">
        <v>343</v>
      </c>
      <c r="B377" s="7" t="s">
        <v>650</v>
      </c>
      <c r="C377" s="7" t="s">
        <v>724</v>
      </c>
      <c r="D377" s="295" t="s">
        <v>877</v>
      </c>
      <c r="E377" s="298">
        <v>1415.9166666666667</v>
      </c>
      <c r="F377" s="298">
        <v>2545.4166666666665</v>
      </c>
      <c r="G377" s="297">
        <v>2354.75</v>
      </c>
      <c r="H377" s="297">
        <v>1745.25</v>
      </c>
      <c r="I377" s="299">
        <v>609.5</v>
      </c>
    </row>
    <row r="378" spans="1:9" ht="15" customHeight="1">
      <c r="A378" s="7" t="s">
        <v>344</v>
      </c>
      <c r="B378" s="7" t="s">
        <v>651</v>
      </c>
      <c r="C378" s="7" t="s">
        <v>724</v>
      </c>
      <c r="D378" s="295" t="s">
        <v>871</v>
      </c>
      <c r="E378" s="298">
        <v>1190</v>
      </c>
      <c r="F378" s="298">
        <v>2234.1666666666665</v>
      </c>
      <c r="G378" s="297">
        <v>2102.75</v>
      </c>
      <c r="H378" s="297">
        <v>1491.0833333333333</v>
      </c>
      <c r="I378" s="299">
        <v>611.66666666666663</v>
      </c>
    </row>
    <row r="379" spans="1:9" ht="15" customHeight="1">
      <c r="A379" s="7" t="s">
        <v>346</v>
      </c>
      <c r="B379" s="7" t="s">
        <v>652</v>
      </c>
      <c r="C379" s="7" t="s">
        <v>724</v>
      </c>
      <c r="D379" s="295" t="s">
        <v>873</v>
      </c>
      <c r="E379" s="298">
        <v>1581.1666666666667</v>
      </c>
      <c r="F379" s="298">
        <v>3046.5833333333335</v>
      </c>
      <c r="G379" s="297">
        <v>2863.5833333333335</v>
      </c>
      <c r="H379" s="297">
        <v>2057.9166666666665</v>
      </c>
      <c r="I379" s="299">
        <v>805.66666666666663</v>
      </c>
    </row>
    <row r="380" spans="1:9" ht="15" customHeight="1">
      <c r="A380" s="7" t="s">
        <v>351</v>
      </c>
      <c r="B380" s="7" t="s">
        <v>840</v>
      </c>
      <c r="C380" s="7" t="s">
        <v>724</v>
      </c>
      <c r="D380" s="295" t="s">
        <v>873</v>
      </c>
      <c r="E380" s="298">
        <v>899.08333333333337</v>
      </c>
      <c r="F380" s="298">
        <v>1758.9166666666667</v>
      </c>
      <c r="G380" s="297">
        <v>1610.9166666666667</v>
      </c>
      <c r="H380" s="297">
        <v>1161.9166666666667</v>
      </c>
      <c r="I380" s="299">
        <v>449</v>
      </c>
    </row>
    <row r="381" spans="1:9" ht="15" customHeight="1">
      <c r="A381" s="7" t="s">
        <v>353</v>
      </c>
      <c r="B381" s="7" t="s">
        <v>841</v>
      </c>
      <c r="C381" s="7" t="s">
        <v>724</v>
      </c>
      <c r="D381" s="295" t="s">
        <v>873</v>
      </c>
      <c r="E381" s="298">
        <v>1504.5833333333333</v>
      </c>
      <c r="F381" s="298">
        <v>2925.5</v>
      </c>
      <c r="G381" s="297">
        <v>2717</v>
      </c>
      <c r="H381" s="297">
        <v>1967.1666666666667</v>
      </c>
      <c r="I381" s="299">
        <v>749.83333333333337</v>
      </c>
    </row>
    <row r="382" spans="1:9" ht="15" customHeight="1">
      <c r="A382" s="7" t="s">
        <v>345</v>
      </c>
      <c r="B382" s="7" t="s">
        <v>842</v>
      </c>
      <c r="C382" s="7" t="s">
        <v>724</v>
      </c>
      <c r="D382" s="295" t="s">
        <v>871</v>
      </c>
      <c r="E382" s="298">
        <v>1600</v>
      </c>
      <c r="F382" s="298">
        <v>2978.75</v>
      </c>
      <c r="G382" s="297">
        <v>2848.25</v>
      </c>
      <c r="H382" s="297">
        <v>2047.5</v>
      </c>
      <c r="I382" s="299">
        <v>800.75</v>
      </c>
    </row>
    <row r="383" spans="1:9" ht="15" customHeight="1">
      <c r="A383" s="7" t="s">
        <v>342</v>
      </c>
      <c r="B383" s="7" t="s">
        <v>843</v>
      </c>
      <c r="C383" s="7" t="s">
        <v>724</v>
      </c>
      <c r="D383" s="295" t="s">
        <v>877</v>
      </c>
      <c r="E383" s="298">
        <v>1053.25</v>
      </c>
      <c r="F383" s="298">
        <v>1974.9166666666667</v>
      </c>
      <c r="G383" s="297">
        <v>1824.75</v>
      </c>
      <c r="H383" s="297">
        <v>1370.4166666666667</v>
      </c>
      <c r="I383" s="299">
        <v>454.33333333333331</v>
      </c>
    </row>
    <row r="384" spans="1:9" ht="15" customHeight="1">
      <c r="A384" s="7" t="s">
        <v>347</v>
      </c>
      <c r="B384" s="7" t="s">
        <v>653</v>
      </c>
      <c r="C384" s="7" t="s">
        <v>724</v>
      </c>
      <c r="D384" s="295" t="s">
        <v>873</v>
      </c>
      <c r="E384" s="298">
        <v>1380.4166666666667</v>
      </c>
      <c r="F384" s="298">
        <v>2392.0833333333335</v>
      </c>
      <c r="G384" s="297">
        <v>2225.1666666666665</v>
      </c>
      <c r="H384" s="297">
        <v>1701.9166666666667</v>
      </c>
      <c r="I384" s="299">
        <v>523.25</v>
      </c>
    </row>
    <row r="385" spans="1:9" ht="15" customHeight="1">
      <c r="A385" s="7" t="s">
        <v>348</v>
      </c>
      <c r="B385" s="7" t="s">
        <v>654</v>
      </c>
      <c r="C385" s="7" t="s">
        <v>724</v>
      </c>
      <c r="D385" s="295" t="s">
        <v>877</v>
      </c>
      <c r="E385" s="298">
        <v>2187</v>
      </c>
      <c r="F385" s="298">
        <v>4186.833333333333</v>
      </c>
      <c r="G385" s="297">
        <v>3962.75</v>
      </c>
      <c r="H385" s="297">
        <v>2924.4166666666665</v>
      </c>
      <c r="I385" s="299">
        <v>1038.3333333333333</v>
      </c>
    </row>
    <row r="386" spans="1:9" ht="15" customHeight="1">
      <c r="A386" s="7" t="s">
        <v>349</v>
      </c>
      <c r="B386" s="7" t="s">
        <v>655</v>
      </c>
      <c r="C386" s="7" t="s">
        <v>724</v>
      </c>
      <c r="D386" s="295" t="s">
        <v>872</v>
      </c>
      <c r="E386" s="298">
        <v>1974.6666666666667</v>
      </c>
      <c r="F386" s="298">
        <v>3928.3333333333335</v>
      </c>
      <c r="G386" s="297">
        <v>3656.3333333333335</v>
      </c>
      <c r="H386" s="297">
        <v>2642.8333333333335</v>
      </c>
      <c r="I386" s="299">
        <v>1013.5</v>
      </c>
    </row>
    <row r="387" spans="1:9" ht="15" customHeight="1">
      <c r="A387" s="7" t="s">
        <v>365</v>
      </c>
      <c r="B387" s="7" t="s">
        <v>844</v>
      </c>
      <c r="C387" s="7" t="s">
        <v>724</v>
      </c>
      <c r="D387" s="295" t="s">
        <v>873</v>
      </c>
      <c r="E387" s="298">
        <v>1974.0833333333333</v>
      </c>
      <c r="F387" s="298">
        <v>4036.5833333333335</v>
      </c>
      <c r="G387" s="297">
        <v>3804.3333333333335</v>
      </c>
      <c r="H387" s="297">
        <v>2698.3333333333335</v>
      </c>
      <c r="I387" s="299">
        <v>1106</v>
      </c>
    </row>
    <row r="388" spans="1:9" ht="15" customHeight="1">
      <c r="A388" s="7" t="s">
        <v>357</v>
      </c>
      <c r="B388" s="7" t="s">
        <v>656</v>
      </c>
      <c r="C388" s="7" t="s">
        <v>724</v>
      </c>
      <c r="D388" s="295" t="s">
        <v>877</v>
      </c>
      <c r="E388" s="298">
        <v>39232.416666666664</v>
      </c>
      <c r="F388" s="298">
        <v>75372.333333333328</v>
      </c>
      <c r="G388" s="297">
        <v>72583.416666666672</v>
      </c>
      <c r="H388" s="297">
        <v>52226.583333333336</v>
      </c>
      <c r="I388" s="299">
        <v>20356.833333333332</v>
      </c>
    </row>
    <row r="389" spans="1:9" ht="15" customHeight="1">
      <c r="A389" s="7" t="s">
        <v>358</v>
      </c>
      <c r="B389" s="7" t="s">
        <v>845</v>
      </c>
      <c r="C389" s="7" t="s">
        <v>724</v>
      </c>
      <c r="D389" s="295" t="s">
        <v>871</v>
      </c>
      <c r="E389" s="298">
        <v>5147.166666666667</v>
      </c>
      <c r="F389" s="298">
        <v>10482.75</v>
      </c>
      <c r="G389" s="297">
        <v>10242.666666666666</v>
      </c>
      <c r="H389" s="297">
        <v>7038.5</v>
      </c>
      <c r="I389" s="299">
        <v>3204.1666666666665</v>
      </c>
    </row>
    <row r="390" spans="1:9" ht="15" customHeight="1">
      <c r="A390" s="7" t="s">
        <v>360</v>
      </c>
      <c r="B390" s="7" t="s">
        <v>657</v>
      </c>
      <c r="C390" s="7" t="s">
        <v>724</v>
      </c>
      <c r="D390" s="295" t="s">
        <v>873</v>
      </c>
      <c r="E390" s="298">
        <v>1025.5833333333333</v>
      </c>
      <c r="F390" s="298">
        <v>1918</v>
      </c>
      <c r="G390" s="297">
        <v>1807.6666666666667</v>
      </c>
      <c r="H390" s="297">
        <v>1349.4166666666667</v>
      </c>
      <c r="I390" s="299">
        <v>458.25</v>
      </c>
    </row>
    <row r="391" spans="1:9" ht="15" customHeight="1">
      <c r="A391" s="7" t="s">
        <v>361</v>
      </c>
      <c r="B391" s="7" t="s">
        <v>658</v>
      </c>
      <c r="C391" s="7" t="s">
        <v>724</v>
      </c>
      <c r="D391" s="295" t="s">
        <v>877</v>
      </c>
      <c r="E391" s="298">
        <v>2043.4166666666667</v>
      </c>
      <c r="F391" s="298">
        <v>3658.5</v>
      </c>
      <c r="G391" s="297">
        <v>3514.9166666666665</v>
      </c>
      <c r="H391" s="297">
        <v>2599.5</v>
      </c>
      <c r="I391" s="299">
        <v>915.41666666666663</v>
      </c>
    </row>
    <row r="392" spans="1:9" ht="15" customHeight="1">
      <c r="A392" s="7" t="s">
        <v>362</v>
      </c>
      <c r="B392" s="7" t="s">
        <v>659</v>
      </c>
      <c r="C392" s="7" t="s">
        <v>724</v>
      </c>
      <c r="D392" s="295" t="s">
        <v>872</v>
      </c>
      <c r="E392" s="298">
        <v>3093.75</v>
      </c>
      <c r="F392" s="298">
        <v>6303.583333333333</v>
      </c>
      <c r="G392" s="297">
        <v>5917.5</v>
      </c>
      <c r="H392" s="297">
        <v>4157.166666666667</v>
      </c>
      <c r="I392" s="299">
        <v>1760.3333333333333</v>
      </c>
    </row>
    <row r="393" spans="1:9" ht="15" customHeight="1">
      <c r="A393" s="7" t="s">
        <v>366</v>
      </c>
      <c r="B393" s="7" t="s">
        <v>660</v>
      </c>
      <c r="C393" s="7" t="s">
        <v>724</v>
      </c>
      <c r="D393" s="295" t="s">
        <v>871</v>
      </c>
      <c r="E393" s="298">
        <v>1761.3333333333333</v>
      </c>
      <c r="F393" s="298">
        <v>3385.1666666666665</v>
      </c>
      <c r="G393" s="297">
        <v>3222.5833333333335</v>
      </c>
      <c r="H393" s="297">
        <v>2319.25</v>
      </c>
      <c r="I393" s="299">
        <v>903.33333333333337</v>
      </c>
    </row>
    <row r="394" spans="1:9" ht="15" customHeight="1">
      <c r="A394" s="7" t="s">
        <v>367</v>
      </c>
      <c r="B394" s="7" t="s">
        <v>661</v>
      </c>
      <c r="C394" s="7" t="s">
        <v>724</v>
      </c>
      <c r="D394" s="295" t="s">
        <v>871</v>
      </c>
      <c r="E394" s="298">
        <v>1131.5833333333333</v>
      </c>
      <c r="F394" s="298">
        <v>2006.5833333333333</v>
      </c>
      <c r="G394" s="297">
        <v>1936.75</v>
      </c>
      <c r="H394" s="297">
        <v>1415.0833333333333</v>
      </c>
      <c r="I394" s="299">
        <v>521.66666666666663</v>
      </c>
    </row>
    <row r="395" spans="1:9" ht="15" customHeight="1">
      <c r="A395" s="7" t="s">
        <v>368</v>
      </c>
      <c r="B395" s="7" t="s">
        <v>662</v>
      </c>
      <c r="C395" s="7" t="s">
        <v>724</v>
      </c>
      <c r="D395" s="295" t="s">
        <v>877</v>
      </c>
      <c r="E395" s="298">
        <v>1744.75</v>
      </c>
      <c r="F395" s="298">
        <v>3320.1666666666665</v>
      </c>
      <c r="G395" s="297">
        <v>3172.1666666666665</v>
      </c>
      <c r="H395" s="297">
        <v>2265.5833333333335</v>
      </c>
      <c r="I395" s="299">
        <v>906.58333333333337</v>
      </c>
    </row>
    <row r="396" spans="1:9" ht="15" customHeight="1">
      <c r="A396" s="7" t="s">
        <v>369</v>
      </c>
      <c r="B396" s="7" t="s">
        <v>663</v>
      </c>
      <c r="C396" s="7" t="s">
        <v>724</v>
      </c>
      <c r="D396" s="295" t="s">
        <v>871</v>
      </c>
      <c r="E396" s="298">
        <v>2950.25</v>
      </c>
      <c r="F396" s="298">
        <v>5765.666666666667</v>
      </c>
      <c r="G396" s="297">
        <v>5483.916666666667</v>
      </c>
      <c r="H396" s="297">
        <v>3863.8333333333335</v>
      </c>
      <c r="I396" s="299">
        <v>1620.0833333333333</v>
      </c>
    </row>
    <row r="397" spans="1:9" ht="15" customHeight="1">
      <c r="A397" s="7" t="s">
        <v>370</v>
      </c>
      <c r="B397" s="7" t="s">
        <v>664</v>
      </c>
      <c r="C397" s="7" t="s">
        <v>724</v>
      </c>
      <c r="D397" s="295" t="s">
        <v>871</v>
      </c>
      <c r="E397" s="298">
        <v>1741</v>
      </c>
      <c r="F397" s="298">
        <v>3358.5</v>
      </c>
      <c r="G397" s="297">
        <v>3191.6666666666665</v>
      </c>
      <c r="H397" s="297">
        <v>2304.25</v>
      </c>
      <c r="I397" s="299">
        <v>887.41666666666663</v>
      </c>
    </row>
    <row r="398" spans="1:9" ht="15" customHeight="1">
      <c r="A398" s="7" t="s">
        <v>371</v>
      </c>
      <c r="B398" s="7" t="s">
        <v>665</v>
      </c>
      <c r="C398" s="7" t="s">
        <v>724</v>
      </c>
      <c r="D398" s="295" t="s">
        <v>871</v>
      </c>
      <c r="E398" s="298">
        <v>2358.5833333333335</v>
      </c>
      <c r="F398" s="298">
        <v>4538.083333333333</v>
      </c>
      <c r="G398" s="297">
        <v>4236.75</v>
      </c>
      <c r="H398" s="297">
        <v>3111.6666666666665</v>
      </c>
      <c r="I398" s="299">
        <v>1125.0833333333333</v>
      </c>
    </row>
    <row r="399" spans="1:9" ht="15" customHeight="1">
      <c r="A399" s="7" t="s">
        <v>363</v>
      </c>
      <c r="B399" s="7" t="s">
        <v>846</v>
      </c>
      <c r="C399" s="7" t="s">
        <v>724</v>
      </c>
      <c r="D399" s="295" t="s">
        <v>873</v>
      </c>
      <c r="E399" s="298">
        <v>1846.4166666666667</v>
      </c>
      <c r="F399" s="298">
        <v>3814.9166666666665</v>
      </c>
      <c r="G399" s="297">
        <v>3488.5833333333335</v>
      </c>
      <c r="H399" s="297">
        <v>2462.75</v>
      </c>
      <c r="I399" s="299">
        <v>1025.8333333333333</v>
      </c>
    </row>
    <row r="400" spans="1:9" ht="15" customHeight="1">
      <c r="A400" s="7" t="s">
        <v>364</v>
      </c>
      <c r="B400" s="7" t="s">
        <v>847</v>
      </c>
      <c r="C400" s="7" t="s">
        <v>724</v>
      </c>
      <c r="D400" s="295" t="s">
        <v>874</v>
      </c>
      <c r="E400" s="298">
        <v>1940</v>
      </c>
      <c r="F400" s="298">
        <v>3851.25</v>
      </c>
      <c r="G400" s="297">
        <v>3632.5833333333335</v>
      </c>
      <c r="H400" s="297">
        <v>2587.4166666666665</v>
      </c>
      <c r="I400" s="299">
        <v>1045.1666666666667</v>
      </c>
    </row>
    <row r="401" spans="1:9" ht="15" customHeight="1">
      <c r="A401" s="7" t="s">
        <v>372</v>
      </c>
      <c r="B401" s="7" t="s">
        <v>666</v>
      </c>
      <c r="C401" s="7" t="s">
        <v>724</v>
      </c>
      <c r="D401" s="295" t="s">
        <v>871</v>
      </c>
      <c r="E401" s="298">
        <v>1353.4166666666667</v>
      </c>
      <c r="F401" s="298">
        <v>2554.75</v>
      </c>
      <c r="G401" s="297">
        <v>2399.3333333333335</v>
      </c>
      <c r="H401" s="297">
        <v>1779.8333333333333</v>
      </c>
      <c r="I401" s="299">
        <v>619.5</v>
      </c>
    </row>
    <row r="402" spans="1:9" ht="15" customHeight="1">
      <c r="A402" s="7" t="s">
        <v>373</v>
      </c>
      <c r="B402" s="7" t="s">
        <v>667</v>
      </c>
      <c r="C402" s="7" t="s">
        <v>724</v>
      </c>
      <c r="D402" s="295" t="s">
        <v>871</v>
      </c>
      <c r="E402" s="298">
        <v>1516.4166666666667</v>
      </c>
      <c r="F402" s="298">
        <v>2969.1666666666665</v>
      </c>
      <c r="G402" s="297">
        <v>2779</v>
      </c>
      <c r="H402" s="297">
        <v>1998.1666666666667</v>
      </c>
      <c r="I402" s="299">
        <v>780.83333333333337</v>
      </c>
    </row>
    <row r="403" spans="1:9" ht="15" customHeight="1">
      <c r="A403" s="7" t="s">
        <v>374</v>
      </c>
      <c r="B403" s="7" t="s">
        <v>668</v>
      </c>
      <c r="C403" s="7" t="s">
        <v>724</v>
      </c>
      <c r="D403" s="295" t="s">
        <v>871</v>
      </c>
      <c r="E403" s="298">
        <v>2137</v>
      </c>
      <c r="F403" s="298">
        <v>4186.416666666667</v>
      </c>
      <c r="G403" s="297">
        <v>3962</v>
      </c>
      <c r="H403" s="297">
        <v>2843.5833333333335</v>
      </c>
      <c r="I403" s="299">
        <v>1118.4166666666667</v>
      </c>
    </row>
    <row r="404" spans="1:9" ht="15" customHeight="1">
      <c r="A404" s="7" t="s">
        <v>356</v>
      </c>
      <c r="B404" s="7" t="s">
        <v>848</v>
      </c>
      <c r="C404" s="7" t="s">
        <v>724</v>
      </c>
      <c r="D404" s="295" t="s">
        <v>871</v>
      </c>
      <c r="E404" s="298">
        <v>3575.9166666666665</v>
      </c>
      <c r="F404" s="298">
        <v>7073.916666666667</v>
      </c>
      <c r="G404" s="297">
        <v>6779.916666666667</v>
      </c>
      <c r="H404" s="297">
        <v>4816.083333333333</v>
      </c>
      <c r="I404" s="299">
        <v>1963.8333333333333</v>
      </c>
    </row>
    <row r="405" spans="1:9" ht="15" customHeight="1">
      <c r="A405" s="7" t="s">
        <v>359</v>
      </c>
      <c r="B405" s="7" t="s">
        <v>849</v>
      </c>
      <c r="C405" s="7" t="s">
        <v>724</v>
      </c>
      <c r="D405" s="295" t="s">
        <v>871</v>
      </c>
      <c r="E405" s="298">
        <v>1599.5</v>
      </c>
      <c r="F405" s="298">
        <v>3211.6666666666665</v>
      </c>
      <c r="G405" s="297">
        <v>3082.3333333333335</v>
      </c>
      <c r="H405" s="297">
        <v>2204.5833333333335</v>
      </c>
      <c r="I405" s="299">
        <v>877.75</v>
      </c>
    </row>
    <row r="406" spans="1:9" ht="15" customHeight="1">
      <c r="A406" s="7" t="s">
        <v>375</v>
      </c>
      <c r="B406" s="7" t="s">
        <v>669</v>
      </c>
      <c r="C406" s="7" t="s">
        <v>726</v>
      </c>
      <c r="D406" s="295" t="s">
        <v>882</v>
      </c>
      <c r="E406" s="298">
        <v>28691.833333333332</v>
      </c>
      <c r="F406" s="298">
        <v>59053</v>
      </c>
      <c r="G406" s="297">
        <v>56794.583333333336</v>
      </c>
      <c r="H406" s="297">
        <v>41194.5</v>
      </c>
      <c r="I406" s="299">
        <v>15600.083333333334</v>
      </c>
    </row>
    <row r="407" spans="1:9" ht="15" customHeight="1">
      <c r="A407" s="7" t="s">
        <v>376</v>
      </c>
      <c r="B407" s="7" t="s">
        <v>670</v>
      </c>
      <c r="C407" s="7" t="s">
        <v>726</v>
      </c>
      <c r="D407" s="295" t="s">
        <v>882</v>
      </c>
      <c r="E407" s="298">
        <v>15527</v>
      </c>
      <c r="F407" s="298">
        <v>28654.416666666668</v>
      </c>
      <c r="G407" s="297">
        <v>27622</v>
      </c>
      <c r="H407" s="297">
        <v>20116.75</v>
      </c>
      <c r="I407" s="299">
        <v>7505.25</v>
      </c>
    </row>
    <row r="408" spans="1:9" ht="15" customHeight="1">
      <c r="A408" s="7" t="s">
        <v>377</v>
      </c>
      <c r="B408" s="7" t="s">
        <v>855</v>
      </c>
      <c r="C408" s="7" t="s">
        <v>726</v>
      </c>
      <c r="D408" s="295" t="s">
        <v>882</v>
      </c>
      <c r="E408" s="298">
        <v>10617.5</v>
      </c>
      <c r="F408" s="298">
        <v>18782.416666666668</v>
      </c>
      <c r="G408" s="297">
        <v>18066.416666666668</v>
      </c>
      <c r="H408" s="297">
        <v>13697</v>
      </c>
      <c r="I408" s="299">
        <v>4369.416666666667</v>
      </c>
    </row>
    <row r="409" spans="1:9" ht="15" customHeight="1">
      <c r="A409" s="7" t="s">
        <v>378</v>
      </c>
      <c r="B409" s="7" t="s">
        <v>856</v>
      </c>
      <c r="C409" s="7" t="s">
        <v>726</v>
      </c>
      <c r="D409" s="295" t="s">
        <v>882</v>
      </c>
      <c r="E409" s="298">
        <v>21394.416666666668</v>
      </c>
      <c r="F409" s="298">
        <v>41196.25</v>
      </c>
      <c r="G409" s="297">
        <v>39789.583333333336</v>
      </c>
      <c r="H409" s="297">
        <v>29167.75</v>
      </c>
      <c r="I409" s="299">
        <v>10621.833333333334</v>
      </c>
    </row>
    <row r="410" spans="1:9" ht="15" customHeight="1">
      <c r="A410" s="7" t="s">
        <v>379</v>
      </c>
      <c r="B410" s="7" t="s">
        <v>671</v>
      </c>
      <c r="C410" s="7" t="s">
        <v>726</v>
      </c>
      <c r="D410" s="295" t="s">
        <v>882</v>
      </c>
      <c r="E410" s="298">
        <v>16078.333333333334</v>
      </c>
      <c r="F410" s="298">
        <v>28561.083333333332</v>
      </c>
      <c r="G410" s="297">
        <v>27609.416666666668</v>
      </c>
      <c r="H410" s="297">
        <v>20977.333333333332</v>
      </c>
      <c r="I410" s="299">
        <v>6632.083333333333</v>
      </c>
    </row>
    <row r="411" spans="1:9" ht="15" customHeight="1">
      <c r="A411" s="7" t="s">
        <v>380</v>
      </c>
      <c r="B411" s="7" t="s">
        <v>672</v>
      </c>
      <c r="C411" s="7" t="s">
        <v>726</v>
      </c>
      <c r="D411" s="295" t="s">
        <v>882</v>
      </c>
      <c r="E411" s="298">
        <v>18941.5</v>
      </c>
      <c r="F411" s="298">
        <v>31260.833333333332</v>
      </c>
      <c r="G411" s="297">
        <v>30092.916666666668</v>
      </c>
      <c r="H411" s="297">
        <v>23175</v>
      </c>
      <c r="I411" s="299">
        <v>6917.916666666667</v>
      </c>
    </row>
    <row r="412" spans="1:9" ht="15" customHeight="1">
      <c r="A412" s="7" t="s">
        <v>381</v>
      </c>
      <c r="B412" s="7" t="s">
        <v>673</v>
      </c>
      <c r="C412" s="7" t="s">
        <v>726</v>
      </c>
      <c r="D412" s="295" t="s">
        <v>882</v>
      </c>
      <c r="E412" s="298">
        <v>18121.333333333332</v>
      </c>
      <c r="F412" s="298">
        <v>38500.833333333336</v>
      </c>
      <c r="G412" s="297">
        <v>37115.75</v>
      </c>
      <c r="H412" s="297">
        <v>26069.416666666668</v>
      </c>
      <c r="I412" s="299">
        <v>11046.333333333334</v>
      </c>
    </row>
    <row r="413" spans="1:9" ht="15" customHeight="1">
      <c r="A413" s="7" t="s">
        <v>382</v>
      </c>
      <c r="B413" s="7" t="s">
        <v>674</v>
      </c>
      <c r="C413" s="7" t="s">
        <v>726</v>
      </c>
      <c r="D413" s="295" t="s">
        <v>882</v>
      </c>
      <c r="E413" s="298">
        <v>20251.75</v>
      </c>
      <c r="F413" s="298">
        <v>43242</v>
      </c>
      <c r="G413" s="297">
        <v>41615.25</v>
      </c>
      <c r="H413" s="297">
        <v>29008.083333333332</v>
      </c>
      <c r="I413" s="299">
        <v>12607.166666666666</v>
      </c>
    </row>
    <row r="414" spans="1:9" ht="15" customHeight="1">
      <c r="A414" s="7" t="s">
        <v>383</v>
      </c>
      <c r="B414" s="7" t="s">
        <v>675</v>
      </c>
      <c r="C414" s="7" t="s">
        <v>726</v>
      </c>
      <c r="D414" s="295" t="s">
        <v>882</v>
      </c>
      <c r="E414" s="298">
        <v>20829.5</v>
      </c>
      <c r="F414" s="298">
        <v>37179.833333333336</v>
      </c>
      <c r="G414" s="297">
        <v>35883.75</v>
      </c>
      <c r="H414" s="297">
        <v>27967.416666666668</v>
      </c>
      <c r="I414" s="299">
        <v>7916.333333333333</v>
      </c>
    </row>
    <row r="415" spans="1:9" ht="15" customHeight="1">
      <c r="A415" s="7" t="s">
        <v>384</v>
      </c>
      <c r="B415" s="7" t="s">
        <v>676</v>
      </c>
      <c r="C415" s="7" t="s">
        <v>726</v>
      </c>
      <c r="D415" s="295" t="s">
        <v>882</v>
      </c>
      <c r="E415" s="298">
        <v>31753.916666666668</v>
      </c>
      <c r="F415" s="298">
        <v>64449.166666666664</v>
      </c>
      <c r="G415" s="297">
        <v>62055.416666666664</v>
      </c>
      <c r="H415" s="297">
        <v>45674.25</v>
      </c>
      <c r="I415" s="299">
        <v>16381.166666666666</v>
      </c>
    </row>
    <row r="416" spans="1:9" ht="15" customHeight="1">
      <c r="A416" s="7" t="s">
        <v>385</v>
      </c>
      <c r="B416" s="7" t="s">
        <v>857</v>
      </c>
      <c r="C416" s="7" t="s">
        <v>726</v>
      </c>
      <c r="D416" s="295" t="s">
        <v>882</v>
      </c>
      <c r="E416" s="298">
        <v>19317.25</v>
      </c>
      <c r="F416" s="298">
        <v>39101.333333333336</v>
      </c>
      <c r="G416" s="297">
        <v>36979</v>
      </c>
      <c r="H416" s="297">
        <v>25875.416666666668</v>
      </c>
      <c r="I416" s="299">
        <v>11103.583333333334</v>
      </c>
    </row>
    <row r="417" spans="1:9" ht="15" customHeight="1">
      <c r="A417" s="224" t="s">
        <v>386</v>
      </c>
      <c r="B417" s="224" t="s">
        <v>858</v>
      </c>
      <c r="C417" s="224" t="s">
        <v>726</v>
      </c>
      <c r="D417" s="296" t="s">
        <v>882</v>
      </c>
      <c r="E417" s="303">
        <v>20397.25</v>
      </c>
      <c r="F417" s="303">
        <v>40107.75</v>
      </c>
      <c r="G417" s="304">
        <v>38002</v>
      </c>
      <c r="H417" s="304">
        <v>27009</v>
      </c>
      <c r="I417" s="305">
        <v>10993</v>
      </c>
    </row>
    <row r="418" spans="1:9" ht="11.25" customHeight="1">
      <c r="A418" s="223"/>
      <c r="B418" s="223"/>
      <c r="C418" s="223"/>
      <c r="D418" s="8"/>
      <c r="E418" s="222"/>
      <c r="F418" s="222"/>
      <c r="G418" s="222"/>
      <c r="I418" s="221" t="s">
        <v>0</v>
      </c>
    </row>
  </sheetData>
  <autoFilter ref="B10:D10" xr:uid="{02863097-B1A1-4AFD-8056-ED22FBD37193}"/>
  <mergeCells count="11">
    <mergeCell ref="G8:G9"/>
    <mergeCell ref="H8:I8"/>
    <mergeCell ref="A3:G3"/>
    <mergeCell ref="H3:I3"/>
    <mergeCell ref="E7:E9"/>
    <mergeCell ref="F7:F9"/>
    <mergeCell ref="G7:I7"/>
    <mergeCell ref="A8:A9"/>
    <mergeCell ref="B8:B9"/>
    <mergeCell ref="C8:C9"/>
    <mergeCell ref="D8:D9"/>
  </mergeCells>
  <hyperlinks>
    <hyperlink ref="H3:I3" location="Inhaltsverzeichnis!A1" tooltip="zurück zum Inhalt" display="zurück zum Inhalt" xr:uid="{FE4AE917-745E-4F1A-95E1-1F2F8753B527}"/>
  </hyperlinks>
  <printOptions horizontalCentered="1"/>
  <pageMargins left="0.70866141732283472" right="0.39370078740157483" top="0.39370078740157483" bottom="0.39370078740157483" header="0.51181102362204722" footer="0.51181102362204722"/>
  <pageSetup paperSize="9" scale="74" orientation="portrait" r:id="rId1"/>
  <ignoredErrors>
    <ignoredError sqref="B14:C417" numberStoredAsText="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DE171-DFDC-43AF-815B-C9030F82B6C1}">
  <sheetPr codeName="Tabelle5"/>
  <dimension ref="A1:M447"/>
  <sheetViews>
    <sheetView showGridLines="0" zoomScaleNormal="100" zoomScaleSheetLayoutView="100" workbookViewId="0"/>
  </sheetViews>
  <sheetFormatPr baseColWidth="10" defaultColWidth="11.42578125" defaultRowHeight="12.75"/>
  <cols>
    <col min="1" max="1" width="29.42578125" style="241" customWidth="1"/>
    <col min="2" max="4" width="6.42578125" style="241" customWidth="1"/>
    <col min="5" max="5" width="12.85546875" style="242" customWidth="1"/>
    <col min="6" max="6" width="12.85546875" style="241" customWidth="1" collapsed="1"/>
    <col min="7" max="9" width="12.85546875" style="241" customWidth="1"/>
    <col min="10" max="10" width="11.42578125" style="241"/>
    <col min="11" max="11" width="13.7109375" style="241" bestFit="1" customWidth="1"/>
    <col min="12" max="16384" width="11.42578125" style="241"/>
  </cols>
  <sheetData>
    <row r="1" spans="1:11" s="1" customFormat="1" ht="33.75" customHeight="1">
      <c r="A1" s="79"/>
      <c r="B1" s="79"/>
      <c r="C1" s="79"/>
      <c r="D1" s="80"/>
      <c r="E1" s="80"/>
      <c r="F1" s="80"/>
      <c r="G1" s="80"/>
      <c r="H1" s="81"/>
      <c r="I1" s="81" t="s">
        <v>678</v>
      </c>
      <c r="J1" s="92"/>
      <c r="K1" s="92"/>
    </row>
    <row r="2" spans="1:11" ht="11.25" customHeight="1">
      <c r="F2" s="278"/>
      <c r="G2" s="278"/>
      <c r="H2" s="278"/>
      <c r="I2" s="278"/>
    </row>
    <row r="3" spans="1:11" ht="15" customHeight="1">
      <c r="F3" s="278"/>
      <c r="G3" s="278"/>
      <c r="H3" s="400" t="s">
        <v>950</v>
      </c>
      <c r="I3" s="400"/>
    </row>
    <row r="4" spans="1:11" ht="11.25" customHeight="1">
      <c r="F4" s="278"/>
      <c r="G4" s="278"/>
      <c r="H4" s="278"/>
      <c r="I4" s="278"/>
    </row>
    <row r="5" spans="1:11" ht="11.25" customHeight="1">
      <c r="A5" s="273"/>
      <c r="B5" s="273"/>
      <c r="C5" s="273"/>
      <c r="D5" s="276"/>
    </row>
    <row r="6" spans="1:11" ht="11.25" customHeight="1">
      <c r="A6" s="426" t="s">
        <v>1062</v>
      </c>
      <c r="B6" s="426"/>
      <c r="C6" s="426"/>
      <c r="D6" s="426"/>
      <c r="E6" s="426"/>
      <c r="F6" s="426"/>
      <c r="G6" s="426"/>
      <c r="H6" s="426"/>
      <c r="I6" s="426"/>
    </row>
    <row r="7" spans="1:11" ht="11.25" customHeight="1">
      <c r="A7" s="426"/>
      <c r="B7" s="426"/>
      <c r="C7" s="426"/>
      <c r="D7" s="426"/>
      <c r="E7" s="426"/>
      <c r="F7" s="426"/>
      <c r="G7" s="426"/>
      <c r="H7" s="426"/>
      <c r="I7" s="426"/>
    </row>
    <row r="8" spans="1:11" ht="11.25" customHeight="1">
      <c r="A8" s="426"/>
      <c r="B8" s="426"/>
      <c r="C8" s="426"/>
      <c r="D8" s="426"/>
      <c r="E8" s="426"/>
      <c r="F8" s="426"/>
      <c r="G8" s="426"/>
      <c r="H8" s="426"/>
      <c r="I8" s="426"/>
    </row>
    <row r="9" spans="1:11" ht="11.25" customHeight="1">
      <c r="A9" s="426"/>
      <c r="B9" s="426"/>
      <c r="C9" s="426"/>
      <c r="D9" s="426"/>
      <c r="E9" s="426"/>
      <c r="F9" s="426"/>
      <c r="G9" s="426"/>
      <c r="H9" s="426"/>
      <c r="I9" s="426"/>
    </row>
    <row r="10" spans="1:11" ht="11.25" customHeight="1">
      <c r="A10" s="426"/>
      <c r="B10" s="426"/>
      <c r="C10" s="426"/>
      <c r="D10" s="426"/>
      <c r="E10" s="426"/>
      <c r="F10" s="426"/>
      <c r="G10" s="426"/>
      <c r="H10" s="426"/>
      <c r="I10" s="426"/>
    </row>
    <row r="11" spans="1:11" ht="11.25" customHeight="1">
      <c r="A11" s="426"/>
      <c r="B11" s="426"/>
      <c r="C11" s="426"/>
      <c r="D11" s="426"/>
      <c r="E11" s="426"/>
      <c r="F11" s="426"/>
      <c r="G11" s="426"/>
      <c r="H11" s="426"/>
      <c r="I11" s="426"/>
    </row>
    <row r="12" spans="1:11" ht="11.25" customHeight="1">
      <c r="A12" s="426" t="s">
        <v>1061</v>
      </c>
      <c r="B12" s="426"/>
      <c r="C12" s="426"/>
      <c r="D12" s="427"/>
      <c r="E12" s="427"/>
      <c r="F12" s="427"/>
      <c r="G12" s="427"/>
      <c r="H12" s="427"/>
      <c r="I12" s="427"/>
    </row>
    <row r="13" spans="1:11" ht="11.25" customHeight="1">
      <c r="A13" s="427"/>
      <c r="B13" s="427"/>
      <c r="C13" s="427"/>
      <c r="D13" s="427"/>
      <c r="E13" s="427"/>
      <c r="F13" s="427"/>
      <c r="G13" s="427"/>
      <c r="H13" s="427"/>
      <c r="I13" s="427"/>
    </row>
    <row r="14" spans="1:11" ht="11.25" customHeight="1">
      <c r="A14" s="427"/>
      <c r="B14" s="427"/>
      <c r="C14" s="427"/>
      <c r="D14" s="427"/>
      <c r="E14" s="427"/>
      <c r="F14" s="427"/>
      <c r="G14" s="427"/>
      <c r="H14" s="427"/>
      <c r="I14" s="427"/>
    </row>
    <row r="15" spans="1:11" ht="11.25" customHeight="1">
      <c r="A15" s="427"/>
      <c r="B15" s="427"/>
      <c r="C15" s="427"/>
      <c r="D15" s="427"/>
      <c r="E15" s="427"/>
      <c r="F15" s="427"/>
      <c r="G15" s="427"/>
      <c r="H15" s="427"/>
      <c r="I15" s="427"/>
    </row>
    <row r="16" spans="1:11" ht="11.25" customHeight="1">
      <c r="A16" s="426" t="s">
        <v>1060</v>
      </c>
      <c r="B16" s="426"/>
      <c r="C16" s="426"/>
      <c r="D16" s="426"/>
      <c r="E16" s="426"/>
      <c r="F16" s="426"/>
      <c r="G16" s="426"/>
      <c r="H16" s="426"/>
      <c r="I16" s="426"/>
    </row>
    <row r="17" spans="1:13" ht="11.25" customHeight="1">
      <c r="A17" s="426"/>
      <c r="B17" s="426"/>
      <c r="C17" s="426"/>
      <c r="D17" s="426"/>
      <c r="E17" s="426"/>
      <c r="F17" s="426"/>
      <c r="G17" s="426"/>
      <c r="H17" s="426"/>
      <c r="I17" s="426"/>
    </row>
    <row r="18" spans="1:13" ht="11.25" customHeight="1">
      <c r="A18" s="426"/>
      <c r="B18" s="426"/>
      <c r="C18" s="426"/>
      <c r="D18" s="426"/>
      <c r="E18" s="426"/>
      <c r="F18" s="426"/>
      <c r="G18" s="426"/>
      <c r="H18" s="426"/>
      <c r="I18" s="426"/>
    </row>
    <row r="19" spans="1:13" ht="11.25" customHeight="1">
      <c r="A19" s="426"/>
      <c r="B19" s="426"/>
      <c r="C19" s="426"/>
      <c r="D19" s="426"/>
      <c r="E19" s="426"/>
      <c r="F19" s="426"/>
      <c r="G19" s="426"/>
      <c r="H19" s="426"/>
      <c r="I19" s="426"/>
    </row>
    <row r="20" spans="1:13" ht="11.25" customHeight="1">
      <c r="A20" s="426"/>
      <c r="B20" s="426"/>
      <c r="C20" s="426"/>
      <c r="D20" s="426"/>
      <c r="E20" s="426"/>
      <c r="F20" s="426"/>
      <c r="G20" s="426"/>
      <c r="H20" s="426"/>
      <c r="I20" s="426"/>
    </row>
    <row r="21" spans="1:13" ht="11.25" customHeight="1">
      <c r="A21" s="427" t="s">
        <v>1059</v>
      </c>
      <c r="B21" s="427"/>
      <c r="C21" s="427"/>
      <c r="D21" s="427"/>
      <c r="E21" s="427"/>
      <c r="F21" s="427"/>
      <c r="G21" s="427"/>
      <c r="H21" s="427"/>
      <c r="I21" s="427"/>
    </row>
    <row r="22" spans="1:13" ht="11.25" customHeight="1">
      <c r="A22" s="427"/>
      <c r="B22" s="427"/>
      <c r="C22" s="427"/>
      <c r="D22" s="427"/>
      <c r="E22" s="427"/>
      <c r="F22" s="427"/>
      <c r="G22" s="427"/>
      <c r="H22" s="427"/>
      <c r="I22" s="427"/>
    </row>
    <row r="23" spans="1:13" ht="11.25" customHeight="1">
      <c r="A23" s="427"/>
      <c r="B23" s="427"/>
      <c r="C23" s="427"/>
      <c r="D23" s="427"/>
      <c r="E23" s="427"/>
      <c r="F23" s="427"/>
      <c r="G23" s="427"/>
      <c r="H23" s="427"/>
      <c r="I23" s="427"/>
    </row>
    <row r="24" spans="1:13" ht="11.25" customHeight="1">
      <c r="A24" s="426" t="s">
        <v>1197</v>
      </c>
      <c r="B24" s="426"/>
      <c r="C24" s="426"/>
      <c r="D24" s="426"/>
      <c r="E24" s="426"/>
      <c r="F24" s="426"/>
      <c r="G24" s="426"/>
      <c r="H24" s="426"/>
      <c r="I24" s="426"/>
    </row>
    <row r="25" spans="1:13" ht="11.25" customHeight="1">
      <c r="A25" s="426"/>
      <c r="B25" s="426"/>
      <c r="C25" s="426"/>
      <c r="D25" s="426"/>
      <c r="E25" s="426"/>
      <c r="F25" s="426"/>
      <c r="G25" s="426"/>
      <c r="H25" s="426"/>
      <c r="I25" s="426"/>
    </row>
    <row r="26" spans="1:13" ht="11.25" customHeight="1">
      <c r="A26" s="426"/>
      <c r="B26" s="426"/>
      <c r="C26" s="426"/>
      <c r="D26" s="426"/>
      <c r="E26" s="426"/>
      <c r="F26" s="426"/>
      <c r="G26" s="426"/>
      <c r="H26" s="426"/>
      <c r="I26" s="426"/>
    </row>
    <row r="27" spans="1:13" ht="11.25" customHeight="1">
      <c r="A27" s="426"/>
      <c r="B27" s="426"/>
      <c r="C27" s="426"/>
      <c r="D27" s="426"/>
      <c r="E27" s="426"/>
      <c r="F27" s="426"/>
      <c r="G27" s="426"/>
      <c r="H27" s="426"/>
      <c r="I27" s="426"/>
    </row>
    <row r="28" spans="1:13" ht="11.25" customHeight="1">
      <c r="A28" s="426"/>
      <c r="B28" s="426"/>
      <c r="C28" s="426"/>
      <c r="D28" s="426"/>
      <c r="E28" s="426"/>
      <c r="F28" s="426"/>
      <c r="G28" s="426"/>
      <c r="H28" s="426"/>
      <c r="I28" s="426"/>
      <c r="M28" s="277"/>
    </row>
    <row r="29" spans="1:13" ht="11.25" customHeight="1">
      <c r="A29" s="273"/>
      <c r="B29" s="273"/>
      <c r="C29" s="273"/>
      <c r="D29" s="276"/>
    </row>
    <row r="30" spans="1:13" s="270" customFormat="1" ht="15" customHeight="1">
      <c r="A30" s="275" t="s">
        <v>1058</v>
      </c>
      <c r="B30" s="275"/>
      <c r="C30" s="275"/>
      <c r="D30" s="272"/>
      <c r="E30" s="271"/>
    </row>
    <row r="31" spans="1:13" s="270" customFormat="1" ht="11.25" customHeight="1">
      <c r="A31" s="274" t="s">
        <v>1195</v>
      </c>
      <c r="B31" s="274"/>
      <c r="C31" s="274"/>
      <c r="D31" s="272"/>
      <c r="E31" s="271"/>
    </row>
    <row r="32" spans="1:13" s="270" customFormat="1" ht="11.25" customHeight="1">
      <c r="A32" s="273" t="s">
        <v>1194</v>
      </c>
      <c r="B32" s="273"/>
      <c r="C32" s="273"/>
      <c r="D32" s="272"/>
      <c r="E32" s="271"/>
    </row>
    <row r="33" spans="1:11" s="270" customFormat="1" ht="11.25" customHeight="1">
      <c r="E33" s="271"/>
    </row>
    <row r="34" spans="1:11" ht="14.25" customHeight="1">
      <c r="A34" s="217"/>
      <c r="B34" s="218"/>
      <c r="C34" s="218"/>
      <c r="D34" s="218"/>
      <c r="E34" s="419" t="s">
        <v>1057</v>
      </c>
      <c r="F34" s="421" t="s">
        <v>971</v>
      </c>
      <c r="G34" s="422"/>
      <c r="H34" s="422"/>
      <c r="I34" s="423"/>
    </row>
    <row r="35" spans="1:11" ht="67.5" customHeight="1">
      <c r="A35" s="170" t="s">
        <v>1017</v>
      </c>
      <c r="B35" s="148" t="s">
        <v>732</v>
      </c>
      <c r="C35" s="148" t="s">
        <v>1018</v>
      </c>
      <c r="D35" s="148" t="s">
        <v>1019</v>
      </c>
      <c r="E35" s="420"/>
      <c r="F35" s="269" t="s">
        <v>1063</v>
      </c>
      <c r="G35" s="269" t="s">
        <v>955</v>
      </c>
      <c r="H35" s="269" t="s">
        <v>1056</v>
      </c>
      <c r="I35" s="269" t="s">
        <v>1055</v>
      </c>
    </row>
    <row r="36" spans="1:11" ht="11.25" customHeight="1">
      <c r="A36" s="170"/>
      <c r="B36" s="148"/>
      <c r="C36" s="148"/>
      <c r="D36" s="148"/>
      <c r="E36" s="268">
        <v>1</v>
      </c>
      <c r="F36" s="267">
        <v>2</v>
      </c>
      <c r="G36" s="267">
        <v>3</v>
      </c>
      <c r="H36" s="267">
        <v>4</v>
      </c>
      <c r="I36" s="267">
        <v>5</v>
      </c>
    </row>
    <row r="37" spans="1:11" ht="15" customHeight="1">
      <c r="A37" s="266" t="s">
        <v>388</v>
      </c>
      <c r="B37" s="265" t="s">
        <v>713</v>
      </c>
      <c r="C37" s="265" t="s">
        <v>713</v>
      </c>
      <c r="D37" s="264"/>
      <c r="E37" s="261">
        <v>46920954292.96447</v>
      </c>
      <c r="F37" s="312">
        <v>21935850035.108723</v>
      </c>
      <c r="G37" s="262">
        <v>17684819891.385498</v>
      </c>
      <c r="H37" s="262">
        <v>248452812.34931079</v>
      </c>
      <c r="I37" s="261">
        <v>7051831554.1209412</v>
      </c>
      <c r="K37" s="250"/>
    </row>
    <row r="38" spans="1:11" ht="15" customHeight="1">
      <c r="A38" s="260" t="s">
        <v>389</v>
      </c>
      <c r="B38" s="228" t="s">
        <v>714</v>
      </c>
      <c r="C38" s="228" t="s">
        <v>714</v>
      </c>
      <c r="D38" s="227"/>
      <c r="E38" s="254">
        <v>36184795041.474472</v>
      </c>
      <c r="F38" s="313">
        <v>16797851740.948719</v>
      </c>
      <c r="G38" s="255">
        <v>13795900329.445499</v>
      </c>
      <c r="H38" s="255">
        <v>183684617.60931078</v>
      </c>
      <c r="I38" s="254">
        <v>5407358353.4709415</v>
      </c>
      <c r="K38" s="250"/>
    </row>
    <row r="39" spans="1:11" ht="15" customHeight="1">
      <c r="A39" s="259" t="s">
        <v>390</v>
      </c>
      <c r="B39" s="258" t="s">
        <v>715</v>
      </c>
      <c r="C39" s="258" t="s">
        <v>715</v>
      </c>
      <c r="D39" s="257"/>
      <c r="E39" s="254">
        <v>10736159251.489998</v>
      </c>
      <c r="F39" s="314">
        <v>5137998294.1599998</v>
      </c>
      <c r="G39" s="252">
        <v>3888919561.9399996</v>
      </c>
      <c r="H39" s="252">
        <v>64768194.740000002</v>
      </c>
      <c r="I39" s="251">
        <v>1644473200.6499999</v>
      </c>
      <c r="K39" s="250"/>
    </row>
    <row r="40" spans="1:11" ht="15" customHeight="1">
      <c r="A40" s="7" t="s">
        <v>1199</v>
      </c>
      <c r="B40" s="7" t="s">
        <v>903</v>
      </c>
      <c r="C40" s="7" t="s">
        <v>728</v>
      </c>
      <c r="D40" s="295" t="s">
        <v>884</v>
      </c>
      <c r="E40" s="316">
        <v>145253101.51999998</v>
      </c>
      <c r="F40" s="263">
        <v>74189226.589999989</v>
      </c>
      <c r="G40" s="262">
        <v>46423785.75999999</v>
      </c>
      <c r="H40" s="262">
        <v>1001849.9099999999</v>
      </c>
      <c r="I40" s="261">
        <v>23638239.260000002</v>
      </c>
      <c r="K40" s="250"/>
    </row>
    <row r="41" spans="1:11" ht="15" customHeight="1">
      <c r="A41" s="7" t="s">
        <v>912</v>
      </c>
      <c r="B41" s="7" t="s">
        <v>391</v>
      </c>
      <c r="C41" s="7" t="s">
        <v>728</v>
      </c>
      <c r="D41" s="295" t="s">
        <v>884</v>
      </c>
      <c r="E41" s="315">
        <v>100304257.01999998</v>
      </c>
      <c r="F41" s="256">
        <v>51265385.499999993</v>
      </c>
      <c r="G41" s="255">
        <v>32136476.279999997</v>
      </c>
      <c r="H41" s="255">
        <v>854553.71</v>
      </c>
      <c r="I41" s="254">
        <v>16047841.530000001</v>
      </c>
      <c r="K41" s="250"/>
    </row>
    <row r="42" spans="1:11" ht="15" customHeight="1">
      <c r="A42" s="7" t="s">
        <v>911</v>
      </c>
      <c r="B42" s="7" t="s">
        <v>392</v>
      </c>
      <c r="C42" s="7" t="s">
        <v>728</v>
      </c>
      <c r="D42" s="295" t="s">
        <v>884</v>
      </c>
      <c r="E42" s="315">
        <v>63515544.890000001</v>
      </c>
      <c r="F42" s="256">
        <v>32389461.5</v>
      </c>
      <c r="G42" s="255">
        <v>20327316.270000003</v>
      </c>
      <c r="H42" s="255">
        <v>446990.57</v>
      </c>
      <c r="I42" s="254">
        <v>10351776.549999999</v>
      </c>
      <c r="K42" s="250"/>
    </row>
    <row r="43" spans="1:11" ht="15" customHeight="1">
      <c r="A43" s="7" t="s">
        <v>4</v>
      </c>
      <c r="B43" s="7" t="s">
        <v>393</v>
      </c>
      <c r="C43" s="7" t="s">
        <v>728</v>
      </c>
      <c r="D43" s="295" t="s">
        <v>885</v>
      </c>
      <c r="E43" s="315">
        <v>134243672.69999999</v>
      </c>
      <c r="F43" s="256">
        <v>64788606.149999999</v>
      </c>
      <c r="G43" s="255">
        <v>47259060.949999996</v>
      </c>
      <c r="H43" s="255">
        <v>1001938.63</v>
      </c>
      <c r="I43" s="254">
        <v>21194066.969999999</v>
      </c>
      <c r="K43" s="250"/>
    </row>
    <row r="44" spans="1:11" ht="15" customHeight="1">
      <c r="A44" s="7" t="s">
        <v>978</v>
      </c>
      <c r="B44" s="7" t="s">
        <v>394</v>
      </c>
      <c r="C44" s="7" t="s">
        <v>728</v>
      </c>
      <c r="D44" s="295" t="s">
        <v>881</v>
      </c>
      <c r="E44" s="315">
        <v>97084661.429999992</v>
      </c>
      <c r="F44" s="256">
        <v>48587121.479999997</v>
      </c>
      <c r="G44" s="255">
        <v>32604768.52</v>
      </c>
      <c r="H44" s="255">
        <v>533898.91</v>
      </c>
      <c r="I44" s="254">
        <v>15358872.520000001</v>
      </c>
      <c r="K44" s="250"/>
    </row>
    <row r="45" spans="1:11" ht="15" customHeight="1">
      <c r="A45" s="7" t="s">
        <v>5</v>
      </c>
      <c r="B45" s="7" t="s">
        <v>395</v>
      </c>
      <c r="C45" s="7" t="s">
        <v>728</v>
      </c>
      <c r="D45" s="295" t="s">
        <v>885</v>
      </c>
      <c r="E45" s="315">
        <v>90056214.969999984</v>
      </c>
      <c r="F45" s="256">
        <v>45091532.369999997</v>
      </c>
      <c r="G45" s="255">
        <v>29702184.299999997</v>
      </c>
      <c r="H45" s="255">
        <v>1103623.8099999998</v>
      </c>
      <c r="I45" s="254">
        <v>14158874.49</v>
      </c>
      <c r="K45" s="250"/>
    </row>
    <row r="46" spans="1:11" ht="15" customHeight="1">
      <c r="A46" s="7" t="s">
        <v>6</v>
      </c>
      <c r="B46" s="7" t="s">
        <v>396</v>
      </c>
      <c r="C46" s="7" t="s">
        <v>728</v>
      </c>
      <c r="D46" s="295" t="s">
        <v>881</v>
      </c>
      <c r="E46" s="315">
        <v>72362094.230000019</v>
      </c>
      <c r="F46" s="256">
        <v>36811333.680000007</v>
      </c>
      <c r="G46" s="255">
        <v>23416022.830000006</v>
      </c>
      <c r="H46" s="255">
        <v>308350.14999999997</v>
      </c>
      <c r="I46" s="254">
        <v>11826387.570000002</v>
      </c>
      <c r="K46" s="250"/>
    </row>
    <row r="47" spans="1:11" ht="15" customHeight="1">
      <c r="A47" s="7" t="s">
        <v>774</v>
      </c>
      <c r="B47" s="7" t="s">
        <v>397</v>
      </c>
      <c r="C47" s="7" t="s">
        <v>728</v>
      </c>
      <c r="D47" s="295" t="s">
        <v>884</v>
      </c>
      <c r="E47" s="315">
        <v>88067138.790000007</v>
      </c>
      <c r="F47" s="256">
        <v>46000691.359999999</v>
      </c>
      <c r="G47" s="255">
        <v>27065277.350000001</v>
      </c>
      <c r="H47" s="255">
        <v>689037.54999999993</v>
      </c>
      <c r="I47" s="254">
        <v>14312132.529999997</v>
      </c>
      <c r="K47" s="250"/>
    </row>
    <row r="48" spans="1:11" ht="15" customHeight="1">
      <c r="A48" s="7" t="s">
        <v>888</v>
      </c>
      <c r="B48" s="7" t="s">
        <v>862</v>
      </c>
      <c r="C48" s="7" t="s">
        <v>728</v>
      </c>
      <c r="D48" s="295" t="s">
        <v>884</v>
      </c>
      <c r="E48" s="315">
        <v>132066013.50000001</v>
      </c>
      <c r="F48" s="256">
        <v>65970220.960000008</v>
      </c>
      <c r="G48" s="255">
        <v>44225289.040000007</v>
      </c>
      <c r="H48" s="255">
        <v>1058330.08</v>
      </c>
      <c r="I48" s="254">
        <v>20812173.419999998</v>
      </c>
      <c r="K48" s="250"/>
    </row>
    <row r="49" spans="1:11" ht="15" customHeight="1">
      <c r="A49" s="7" t="s">
        <v>7</v>
      </c>
      <c r="B49" s="7" t="s">
        <v>398</v>
      </c>
      <c r="C49" s="7" t="s">
        <v>727</v>
      </c>
      <c r="D49" s="295" t="s">
        <v>885</v>
      </c>
      <c r="E49" s="315">
        <v>78949912.420000002</v>
      </c>
      <c r="F49" s="256">
        <v>39730772.660000004</v>
      </c>
      <c r="G49" s="255">
        <v>25901782.249999996</v>
      </c>
      <c r="H49" s="255">
        <v>620035.86</v>
      </c>
      <c r="I49" s="254">
        <v>12697321.650000002</v>
      </c>
      <c r="K49" s="250"/>
    </row>
    <row r="50" spans="1:11" ht="15" customHeight="1">
      <c r="A50" s="7" t="s">
        <v>8</v>
      </c>
      <c r="B50" s="7" t="s">
        <v>399</v>
      </c>
      <c r="C50" s="7" t="s">
        <v>727</v>
      </c>
      <c r="D50" s="295" t="s">
        <v>884</v>
      </c>
      <c r="E50" s="315">
        <v>49674009.380000003</v>
      </c>
      <c r="F50" s="256">
        <v>25304002.460000005</v>
      </c>
      <c r="G50" s="255">
        <v>16109113.760000002</v>
      </c>
      <c r="H50" s="255">
        <v>324719</v>
      </c>
      <c r="I50" s="254">
        <v>7936174.1599999992</v>
      </c>
      <c r="K50" s="250"/>
    </row>
    <row r="51" spans="1:11" ht="15" customHeight="1">
      <c r="A51" s="7" t="s">
        <v>9</v>
      </c>
      <c r="B51" s="7" t="s">
        <v>400</v>
      </c>
      <c r="C51" s="7" t="s">
        <v>727</v>
      </c>
      <c r="D51" s="295" t="s">
        <v>884</v>
      </c>
      <c r="E51" s="315">
        <v>61371263.580000006</v>
      </c>
      <c r="F51" s="256">
        <v>31054491.930000003</v>
      </c>
      <c r="G51" s="255">
        <v>20121608.880000003</v>
      </c>
      <c r="H51" s="255">
        <v>245617.28000000003</v>
      </c>
      <c r="I51" s="254">
        <v>9949545.4900000002</v>
      </c>
      <c r="K51" s="250"/>
    </row>
    <row r="52" spans="1:11" ht="15" customHeight="1">
      <c r="A52" s="7" t="s">
        <v>24</v>
      </c>
      <c r="B52" s="7" t="s">
        <v>859</v>
      </c>
      <c r="C52" s="7" t="s">
        <v>727</v>
      </c>
      <c r="D52" s="295" t="s">
        <v>885</v>
      </c>
      <c r="E52" s="315">
        <v>60800882.559999987</v>
      </c>
      <c r="F52" s="256">
        <v>28971290.920000002</v>
      </c>
      <c r="G52" s="255">
        <v>22113702.709999997</v>
      </c>
      <c r="H52" s="255">
        <v>338895.26</v>
      </c>
      <c r="I52" s="254">
        <v>9376993.6699999981</v>
      </c>
      <c r="K52" s="250"/>
    </row>
    <row r="53" spans="1:11" ht="15" customHeight="1">
      <c r="A53" s="7" t="s">
        <v>10</v>
      </c>
      <c r="B53" s="7" t="s">
        <v>401</v>
      </c>
      <c r="C53" s="7" t="s">
        <v>727</v>
      </c>
      <c r="D53" s="295" t="s">
        <v>881</v>
      </c>
      <c r="E53" s="315">
        <v>50793640.449999988</v>
      </c>
      <c r="F53" s="256">
        <v>26177560.729999997</v>
      </c>
      <c r="G53" s="255">
        <v>16140833.529999997</v>
      </c>
      <c r="H53" s="255">
        <v>194742.8</v>
      </c>
      <c r="I53" s="254">
        <v>8280503.3900000006</v>
      </c>
      <c r="K53" s="250"/>
    </row>
    <row r="54" spans="1:11" ht="15" customHeight="1">
      <c r="A54" s="7" t="s">
        <v>11</v>
      </c>
      <c r="B54" s="7" t="s">
        <v>402</v>
      </c>
      <c r="C54" s="7" t="s">
        <v>727</v>
      </c>
      <c r="D54" s="295" t="s">
        <v>881</v>
      </c>
      <c r="E54" s="315">
        <v>79347852.810000002</v>
      </c>
      <c r="F54" s="256">
        <v>39805178.300000004</v>
      </c>
      <c r="G54" s="255">
        <v>26590799.669999998</v>
      </c>
      <c r="H54" s="255">
        <v>268793.3</v>
      </c>
      <c r="I54" s="254">
        <v>12683081.539999999</v>
      </c>
      <c r="K54" s="250"/>
    </row>
    <row r="55" spans="1:11" ht="15" customHeight="1">
      <c r="A55" s="7" t="s">
        <v>12</v>
      </c>
      <c r="B55" s="7" t="s">
        <v>403</v>
      </c>
      <c r="C55" s="7" t="s">
        <v>727</v>
      </c>
      <c r="D55" s="295" t="s">
        <v>884</v>
      </c>
      <c r="E55" s="315">
        <v>97399412.060000002</v>
      </c>
      <c r="F55" s="256">
        <v>48986962.040000007</v>
      </c>
      <c r="G55" s="255">
        <v>32408741.060000002</v>
      </c>
      <c r="H55" s="255">
        <v>561455.49</v>
      </c>
      <c r="I55" s="254">
        <v>15442253.469999999</v>
      </c>
      <c r="K55" s="250"/>
    </row>
    <row r="56" spans="1:11" ht="15" customHeight="1">
      <c r="A56" s="7" t="s">
        <v>13</v>
      </c>
      <c r="B56" s="7" t="s">
        <v>404</v>
      </c>
      <c r="C56" s="7" t="s">
        <v>727</v>
      </c>
      <c r="D56" s="295" t="s">
        <v>885</v>
      </c>
      <c r="E56" s="315">
        <v>47472740.059999995</v>
      </c>
      <c r="F56" s="256">
        <v>22803556.440000005</v>
      </c>
      <c r="G56" s="255">
        <v>16764594.889999997</v>
      </c>
      <c r="H56" s="255">
        <v>557573.80000000005</v>
      </c>
      <c r="I56" s="254">
        <v>7347014.9299999997</v>
      </c>
      <c r="K56" s="250"/>
    </row>
    <row r="57" spans="1:11" ht="15" customHeight="1">
      <c r="A57" s="7" t="s">
        <v>14</v>
      </c>
      <c r="B57" s="7" t="s">
        <v>405</v>
      </c>
      <c r="C57" s="7" t="s">
        <v>727</v>
      </c>
      <c r="D57" s="295" t="s">
        <v>881</v>
      </c>
      <c r="E57" s="315">
        <v>88936197.200000003</v>
      </c>
      <c r="F57" s="256">
        <v>44291951.360000007</v>
      </c>
      <c r="G57" s="255">
        <v>30156956.309999995</v>
      </c>
      <c r="H57" s="255">
        <v>350286.44</v>
      </c>
      <c r="I57" s="254">
        <v>14137003.090000002</v>
      </c>
      <c r="K57" s="250"/>
    </row>
    <row r="58" spans="1:11" ht="15" customHeight="1">
      <c r="A58" s="7" t="s">
        <v>15</v>
      </c>
      <c r="B58" s="7" t="s">
        <v>406</v>
      </c>
      <c r="C58" s="7" t="s">
        <v>727</v>
      </c>
      <c r="D58" s="295" t="s">
        <v>881</v>
      </c>
      <c r="E58" s="315">
        <v>79972021.090000004</v>
      </c>
      <c r="F58" s="256">
        <v>40859703.710000008</v>
      </c>
      <c r="G58" s="255">
        <v>25580293.900000002</v>
      </c>
      <c r="H58" s="255">
        <v>535355.87</v>
      </c>
      <c r="I58" s="254">
        <v>12996667.609999999</v>
      </c>
      <c r="K58" s="250"/>
    </row>
    <row r="59" spans="1:11" ht="15" customHeight="1">
      <c r="A59" s="7" t="s">
        <v>16</v>
      </c>
      <c r="B59" s="7" t="s">
        <v>407</v>
      </c>
      <c r="C59" s="7" t="s">
        <v>727</v>
      </c>
      <c r="D59" s="295" t="s">
        <v>884</v>
      </c>
      <c r="E59" s="315">
        <v>50538981.329999998</v>
      </c>
      <c r="F59" s="256">
        <v>25832451.989999998</v>
      </c>
      <c r="G59" s="255">
        <v>16072328.709999999</v>
      </c>
      <c r="H59" s="255">
        <v>273216.11</v>
      </c>
      <c r="I59" s="254">
        <v>8360984.5200000014</v>
      </c>
      <c r="K59" s="250"/>
    </row>
    <row r="60" spans="1:11" ht="15" customHeight="1">
      <c r="A60" s="7" t="s">
        <v>17</v>
      </c>
      <c r="B60" s="7" t="s">
        <v>408</v>
      </c>
      <c r="C60" s="7" t="s">
        <v>727</v>
      </c>
      <c r="D60" s="295" t="s">
        <v>884</v>
      </c>
      <c r="E60" s="315">
        <v>47317291.599999994</v>
      </c>
      <c r="F60" s="256">
        <v>24443195.549999997</v>
      </c>
      <c r="G60" s="255">
        <v>14890148</v>
      </c>
      <c r="H60" s="255">
        <v>495042.29</v>
      </c>
      <c r="I60" s="254">
        <v>7488905.7600000007</v>
      </c>
      <c r="K60" s="250"/>
    </row>
    <row r="61" spans="1:11" ht="15" customHeight="1">
      <c r="A61" s="7" t="s">
        <v>18</v>
      </c>
      <c r="B61" s="7" t="s">
        <v>409</v>
      </c>
      <c r="C61" s="7" t="s">
        <v>727</v>
      </c>
      <c r="D61" s="295" t="s">
        <v>881</v>
      </c>
      <c r="E61" s="315">
        <v>81450884.330000013</v>
      </c>
      <c r="F61" s="256">
        <v>40225856.039999999</v>
      </c>
      <c r="G61" s="255">
        <v>27822692.879999999</v>
      </c>
      <c r="H61" s="255">
        <v>405787.62</v>
      </c>
      <c r="I61" s="254">
        <v>12996547.789999999</v>
      </c>
      <c r="K61" s="250"/>
    </row>
    <row r="62" spans="1:11" ht="15" customHeight="1">
      <c r="A62" s="7" t="s">
        <v>19</v>
      </c>
      <c r="B62" s="7" t="s">
        <v>860</v>
      </c>
      <c r="C62" s="7" t="s">
        <v>727</v>
      </c>
      <c r="D62" s="295" t="s">
        <v>881</v>
      </c>
      <c r="E62" s="315">
        <v>74585777.299999997</v>
      </c>
      <c r="F62" s="256">
        <v>35931215.450000003</v>
      </c>
      <c r="G62" s="255">
        <v>26517641.289999999</v>
      </c>
      <c r="H62" s="255">
        <v>373721.43999999994</v>
      </c>
      <c r="I62" s="254">
        <v>11763199.120000001</v>
      </c>
      <c r="K62" s="250"/>
    </row>
    <row r="63" spans="1:11" ht="15" customHeight="1">
      <c r="A63" s="7" t="s">
        <v>20</v>
      </c>
      <c r="B63" s="7" t="s">
        <v>410</v>
      </c>
      <c r="C63" s="7" t="s">
        <v>727</v>
      </c>
      <c r="D63" s="295" t="s">
        <v>885</v>
      </c>
      <c r="E63" s="315">
        <v>61633319.899999999</v>
      </c>
      <c r="F63" s="256">
        <v>29657775.489999998</v>
      </c>
      <c r="G63" s="255">
        <v>22030968.91</v>
      </c>
      <c r="H63" s="255">
        <v>410632.60000000003</v>
      </c>
      <c r="I63" s="254">
        <v>9533942.9000000004</v>
      </c>
      <c r="K63" s="250"/>
    </row>
    <row r="64" spans="1:11" ht="15" customHeight="1">
      <c r="A64" s="7" t="s">
        <v>21</v>
      </c>
      <c r="B64" s="7" t="s">
        <v>411</v>
      </c>
      <c r="C64" s="7" t="s">
        <v>727</v>
      </c>
      <c r="D64" s="295" t="s">
        <v>885</v>
      </c>
      <c r="E64" s="315">
        <v>102841007.91</v>
      </c>
      <c r="F64" s="256">
        <v>48763675.579999998</v>
      </c>
      <c r="G64" s="255">
        <v>37543009.509999998</v>
      </c>
      <c r="H64" s="255">
        <v>576264.91</v>
      </c>
      <c r="I64" s="254">
        <v>15958057.91</v>
      </c>
      <c r="K64" s="250"/>
    </row>
    <row r="65" spans="1:11" ht="15" customHeight="1">
      <c r="A65" s="7" t="s">
        <v>22</v>
      </c>
      <c r="B65" s="7" t="s">
        <v>412</v>
      </c>
      <c r="C65" s="7" t="s">
        <v>727</v>
      </c>
      <c r="D65" s="295" t="s">
        <v>881</v>
      </c>
      <c r="E65" s="315">
        <v>66462122.109999999</v>
      </c>
      <c r="F65" s="256">
        <v>32283623.620000005</v>
      </c>
      <c r="G65" s="255">
        <v>23463731.349999998</v>
      </c>
      <c r="H65" s="255">
        <v>431027.75</v>
      </c>
      <c r="I65" s="254">
        <v>10283739.389999999</v>
      </c>
      <c r="K65" s="250"/>
    </row>
    <row r="66" spans="1:11" ht="15" customHeight="1">
      <c r="A66" s="7" t="s">
        <v>23</v>
      </c>
      <c r="B66" s="7" t="s">
        <v>861</v>
      </c>
      <c r="C66" s="7" t="s">
        <v>727</v>
      </c>
      <c r="D66" s="295" t="s">
        <v>881</v>
      </c>
      <c r="E66" s="315">
        <v>59857432.75</v>
      </c>
      <c r="F66" s="256">
        <v>29278252.999999996</v>
      </c>
      <c r="G66" s="255">
        <v>20890677.379999999</v>
      </c>
      <c r="H66" s="255">
        <v>227352</v>
      </c>
      <c r="I66" s="254">
        <v>9461150.370000001</v>
      </c>
      <c r="K66" s="250"/>
    </row>
    <row r="67" spans="1:11" ht="15" customHeight="1">
      <c r="A67" s="7" t="s">
        <v>25</v>
      </c>
      <c r="B67" s="7" t="s">
        <v>413</v>
      </c>
      <c r="C67" s="7" t="s">
        <v>730</v>
      </c>
      <c r="D67" s="295" t="s">
        <v>884</v>
      </c>
      <c r="E67" s="315">
        <v>60413708.109999992</v>
      </c>
      <c r="F67" s="256">
        <v>30103698.239999998</v>
      </c>
      <c r="G67" s="255">
        <v>20348047.099999998</v>
      </c>
      <c r="H67" s="255">
        <v>524700.66</v>
      </c>
      <c r="I67" s="254">
        <v>9437262.1100000013</v>
      </c>
      <c r="K67" s="250"/>
    </row>
    <row r="68" spans="1:11" ht="15" customHeight="1">
      <c r="A68" s="7" t="s">
        <v>26</v>
      </c>
      <c r="B68" s="7" t="s">
        <v>414</v>
      </c>
      <c r="C68" s="7" t="s">
        <v>730</v>
      </c>
      <c r="D68" s="295" t="s">
        <v>884</v>
      </c>
      <c r="E68" s="315">
        <v>92914520.890000015</v>
      </c>
      <c r="F68" s="256">
        <v>48466923.770000003</v>
      </c>
      <c r="G68" s="255">
        <v>28973676.879999999</v>
      </c>
      <c r="H68" s="255">
        <v>305560.27999999997</v>
      </c>
      <c r="I68" s="254">
        <v>15168359.960000001</v>
      </c>
      <c r="K68" s="250"/>
    </row>
    <row r="69" spans="1:11" ht="15" customHeight="1">
      <c r="A69" s="7" t="s">
        <v>34</v>
      </c>
      <c r="B69" s="7" t="s">
        <v>864</v>
      </c>
      <c r="C69" s="7" t="s">
        <v>730</v>
      </c>
      <c r="D69" s="295" t="s">
        <v>884</v>
      </c>
      <c r="E69" s="315">
        <v>61183700.520000003</v>
      </c>
      <c r="F69" s="256">
        <v>32016907.210000001</v>
      </c>
      <c r="G69" s="255">
        <v>18630740.880000003</v>
      </c>
      <c r="H69" s="255">
        <v>444175.14</v>
      </c>
      <c r="I69" s="254">
        <v>10091877.290000001</v>
      </c>
      <c r="K69" s="250"/>
    </row>
    <row r="70" spans="1:11" ht="15" customHeight="1">
      <c r="A70" s="7" t="s">
        <v>762</v>
      </c>
      <c r="B70" s="7" t="s">
        <v>415</v>
      </c>
      <c r="C70" s="7" t="s">
        <v>730</v>
      </c>
      <c r="D70" s="295" t="s">
        <v>884</v>
      </c>
      <c r="E70" s="315">
        <v>108981953.13</v>
      </c>
      <c r="F70" s="256">
        <v>56756126.170000002</v>
      </c>
      <c r="G70" s="255">
        <v>34235819.719999999</v>
      </c>
      <c r="H70" s="255">
        <v>320936.15999999997</v>
      </c>
      <c r="I70" s="254">
        <v>17669071.080000006</v>
      </c>
      <c r="K70" s="250"/>
    </row>
    <row r="71" spans="1:11" ht="15" customHeight="1">
      <c r="A71" s="7" t="s">
        <v>761</v>
      </c>
      <c r="B71" s="7" t="s">
        <v>1030</v>
      </c>
      <c r="C71" s="7" t="s">
        <v>730</v>
      </c>
      <c r="D71" s="295" t="s">
        <v>884</v>
      </c>
      <c r="E71" s="315">
        <v>129742135.18000001</v>
      </c>
      <c r="F71" s="256">
        <v>68048889.390000001</v>
      </c>
      <c r="G71" s="255">
        <v>39473909.18</v>
      </c>
      <c r="H71" s="255">
        <v>772219.9</v>
      </c>
      <c r="I71" s="254">
        <v>21447116.710000001</v>
      </c>
      <c r="K71" s="250"/>
    </row>
    <row r="72" spans="1:11" ht="15" customHeight="1">
      <c r="A72" s="7" t="s">
        <v>27</v>
      </c>
      <c r="B72" s="7" t="s">
        <v>416</v>
      </c>
      <c r="C72" s="7" t="s">
        <v>730</v>
      </c>
      <c r="D72" s="295" t="s">
        <v>885</v>
      </c>
      <c r="E72" s="315">
        <v>208790111.75</v>
      </c>
      <c r="F72" s="256">
        <v>106114139.77</v>
      </c>
      <c r="G72" s="255">
        <v>68141266.860000014</v>
      </c>
      <c r="H72" s="255">
        <v>1334373.5400000003</v>
      </c>
      <c r="I72" s="254">
        <v>33200331.579999998</v>
      </c>
      <c r="K72" s="250"/>
    </row>
    <row r="73" spans="1:11" ht="15" customHeight="1">
      <c r="A73" s="7" t="s">
        <v>763</v>
      </c>
      <c r="B73" s="7" t="s">
        <v>865</v>
      </c>
      <c r="C73" s="7" t="s">
        <v>730</v>
      </c>
      <c r="D73" s="295" t="s">
        <v>884</v>
      </c>
      <c r="E73" s="315">
        <v>93915702.940000027</v>
      </c>
      <c r="F73" s="256">
        <v>48142289.670000009</v>
      </c>
      <c r="G73" s="255">
        <v>29688358.890000004</v>
      </c>
      <c r="H73" s="255">
        <v>731947.84</v>
      </c>
      <c r="I73" s="254">
        <v>15353106.539999999</v>
      </c>
      <c r="K73" s="250"/>
    </row>
    <row r="74" spans="1:11" ht="15" customHeight="1">
      <c r="A74" s="7" t="s">
        <v>31</v>
      </c>
      <c r="B74" s="7" t="s">
        <v>1031</v>
      </c>
      <c r="C74" s="7" t="s">
        <v>730</v>
      </c>
      <c r="D74" s="295" t="s">
        <v>884</v>
      </c>
      <c r="E74" s="315">
        <v>114908562.69</v>
      </c>
      <c r="F74" s="256">
        <v>60562544.020000003</v>
      </c>
      <c r="G74" s="255">
        <v>35240415.640000001</v>
      </c>
      <c r="H74" s="255">
        <v>475838.04999999993</v>
      </c>
      <c r="I74" s="254">
        <v>18629764.98</v>
      </c>
      <c r="K74" s="250"/>
    </row>
    <row r="75" spans="1:11" ht="15" customHeight="1">
      <c r="A75" s="7" t="s">
        <v>764</v>
      </c>
      <c r="B75" s="7" t="s">
        <v>1032</v>
      </c>
      <c r="C75" s="7" t="s">
        <v>730</v>
      </c>
      <c r="D75" s="295" t="s">
        <v>884</v>
      </c>
      <c r="E75" s="315">
        <v>93696225.620000005</v>
      </c>
      <c r="F75" s="256">
        <v>47046476.379999995</v>
      </c>
      <c r="G75" s="255">
        <v>31151579.93</v>
      </c>
      <c r="H75" s="255">
        <v>643741.51</v>
      </c>
      <c r="I75" s="254">
        <v>14854427.800000003</v>
      </c>
      <c r="K75" s="250"/>
    </row>
    <row r="76" spans="1:11" ht="15" customHeight="1">
      <c r="A76" s="7" t="s">
        <v>28</v>
      </c>
      <c r="B76" s="7" t="s">
        <v>417</v>
      </c>
      <c r="C76" s="7" t="s">
        <v>730</v>
      </c>
      <c r="D76" s="295" t="s">
        <v>885</v>
      </c>
      <c r="E76" s="315">
        <v>191301282.29999995</v>
      </c>
      <c r="F76" s="256">
        <v>95920823.86999999</v>
      </c>
      <c r="G76" s="255">
        <v>64431638.05999998</v>
      </c>
      <c r="H76" s="255">
        <v>891466.20000000007</v>
      </c>
      <c r="I76" s="254">
        <v>30057354.170000002</v>
      </c>
      <c r="K76" s="250"/>
    </row>
    <row r="77" spans="1:11" ht="15" customHeight="1">
      <c r="A77" s="7" t="s">
        <v>29</v>
      </c>
      <c r="B77" s="7" t="s">
        <v>418</v>
      </c>
      <c r="C77" s="7" t="s">
        <v>730</v>
      </c>
      <c r="D77" s="295" t="s">
        <v>884</v>
      </c>
      <c r="E77" s="315">
        <v>45133027.360000007</v>
      </c>
      <c r="F77" s="256">
        <v>23505690.080000006</v>
      </c>
      <c r="G77" s="255">
        <v>14236986.35</v>
      </c>
      <c r="H77" s="255">
        <v>223146</v>
      </c>
      <c r="I77" s="254">
        <v>7167204.9299999988</v>
      </c>
      <c r="K77" s="250"/>
    </row>
    <row r="78" spans="1:11" ht="15" customHeight="1">
      <c r="A78" s="7" t="s">
        <v>30</v>
      </c>
      <c r="B78" s="7" t="s">
        <v>419</v>
      </c>
      <c r="C78" s="7" t="s">
        <v>730</v>
      </c>
      <c r="D78" s="295" t="s">
        <v>884</v>
      </c>
      <c r="E78" s="315">
        <v>65811089.950000003</v>
      </c>
      <c r="F78" s="256">
        <v>34473976.210000001</v>
      </c>
      <c r="G78" s="255">
        <v>20114605.75</v>
      </c>
      <c r="H78" s="255">
        <v>369596.95</v>
      </c>
      <c r="I78" s="254">
        <v>10852911.039999999</v>
      </c>
      <c r="K78" s="250"/>
    </row>
    <row r="79" spans="1:11" ht="15" customHeight="1">
      <c r="A79" s="7" t="s">
        <v>32</v>
      </c>
      <c r="B79" s="7" t="s">
        <v>1013</v>
      </c>
      <c r="C79" s="7" t="s">
        <v>730</v>
      </c>
      <c r="D79" s="295" t="s">
        <v>884</v>
      </c>
      <c r="E79" s="315">
        <v>80988342.00999999</v>
      </c>
      <c r="F79" s="256">
        <v>42843990.399999991</v>
      </c>
      <c r="G79" s="255">
        <v>24811837.420000002</v>
      </c>
      <c r="H79" s="255">
        <v>370001.55000000005</v>
      </c>
      <c r="I79" s="254">
        <v>12962512.639999997</v>
      </c>
      <c r="K79" s="250"/>
    </row>
    <row r="80" spans="1:11" ht="15" customHeight="1">
      <c r="A80" s="7" t="s">
        <v>33</v>
      </c>
      <c r="B80" s="7" t="s">
        <v>1012</v>
      </c>
      <c r="C80" s="7" t="s">
        <v>730</v>
      </c>
      <c r="D80" s="295" t="s">
        <v>881</v>
      </c>
      <c r="E80" s="315">
        <v>43065994.459999993</v>
      </c>
      <c r="F80" s="256">
        <v>23486794.620000001</v>
      </c>
      <c r="G80" s="255">
        <v>12311887.52</v>
      </c>
      <c r="H80" s="255">
        <v>132017.22999999998</v>
      </c>
      <c r="I80" s="254">
        <v>7135295.0899999999</v>
      </c>
      <c r="K80" s="250"/>
    </row>
    <row r="81" spans="1:11" ht="15" customHeight="1">
      <c r="A81" s="7" t="s">
        <v>775</v>
      </c>
      <c r="B81" s="7" t="s">
        <v>863</v>
      </c>
      <c r="C81" s="7" t="s">
        <v>729</v>
      </c>
      <c r="D81" s="295" t="s">
        <v>881</v>
      </c>
      <c r="E81" s="315">
        <v>107862490.49999999</v>
      </c>
      <c r="F81" s="256">
        <v>55672751.059999987</v>
      </c>
      <c r="G81" s="255">
        <v>33277787.520000003</v>
      </c>
      <c r="H81" s="255">
        <v>1089838.6400000001</v>
      </c>
      <c r="I81" s="254">
        <v>17822113.279999997</v>
      </c>
      <c r="K81" s="250"/>
    </row>
    <row r="82" spans="1:11" ht="15" customHeight="1">
      <c r="A82" s="7" t="s">
        <v>36</v>
      </c>
      <c r="B82" s="7" t="s">
        <v>421</v>
      </c>
      <c r="C82" s="7" t="s">
        <v>729</v>
      </c>
      <c r="D82" s="295" t="s">
        <v>884</v>
      </c>
      <c r="E82" s="315">
        <v>113175420.19</v>
      </c>
      <c r="F82" s="256">
        <v>58011785.890000008</v>
      </c>
      <c r="G82" s="255">
        <v>35706673.420000002</v>
      </c>
      <c r="H82" s="255">
        <v>750903.93</v>
      </c>
      <c r="I82" s="254">
        <v>18706056.949999996</v>
      </c>
      <c r="K82" s="250"/>
    </row>
    <row r="83" spans="1:11" ht="15" customHeight="1">
      <c r="A83" s="7" t="s">
        <v>757</v>
      </c>
      <c r="B83" s="7" t="s">
        <v>422</v>
      </c>
      <c r="C83" s="7" t="s">
        <v>729</v>
      </c>
      <c r="D83" s="295" t="s">
        <v>884</v>
      </c>
      <c r="E83" s="315">
        <v>147119205.93000001</v>
      </c>
      <c r="F83" s="256">
        <v>77483406.00999999</v>
      </c>
      <c r="G83" s="255">
        <v>44602730.540000007</v>
      </c>
      <c r="H83" s="255">
        <v>766462.08</v>
      </c>
      <c r="I83" s="254">
        <v>24266607.300000001</v>
      </c>
      <c r="K83" s="250"/>
    </row>
    <row r="84" spans="1:11" ht="15" customHeight="1">
      <c r="A84" s="7" t="s">
        <v>37</v>
      </c>
      <c r="B84" s="7" t="s">
        <v>423</v>
      </c>
      <c r="C84" s="7" t="s">
        <v>729</v>
      </c>
      <c r="D84" s="295" t="s">
        <v>885</v>
      </c>
      <c r="E84" s="315">
        <v>184273643.62</v>
      </c>
      <c r="F84" s="256">
        <v>95901460.310000002</v>
      </c>
      <c r="G84" s="255">
        <v>57659663.780000001</v>
      </c>
      <c r="H84" s="255">
        <v>1456108.6500000001</v>
      </c>
      <c r="I84" s="254">
        <v>29256410.879999999</v>
      </c>
      <c r="K84" s="250"/>
    </row>
    <row r="85" spans="1:11" ht="15" customHeight="1">
      <c r="A85" s="7" t="s">
        <v>38</v>
      </c>
      <c r="B85" s="7" t="s">
        <v>424</v>
      </c>
      <c r="C85" s="7" t="s">
        <v>729</v>
      </c>
      <c r="D85" s="295" t="s">
        <v>885</v>
      </c>
      <c r="E85" s="315">
        <v>339820365.56999999</v>
      </c>
      <c r="F85" s="256">
        <v>155708747.85999998</v>
      </c>
      <c r="G85" s="255">
        <v>131067590.52</v>
      </c>
      <c r="H85" s="255">
        <v>2305653.33</v>
      </c>
      <c r="I85" s="254">
        <v>50738373.859999992</v>
      </c>
      <c r="K85" s="250"/>
    </row>
    <row r="86" spans="1:11" ht="15" customHeight="1">
      <c r="A86" s="7" t="s">
        <v>39</v>
      </c>
      <c r="B86" s="7" t="s">
        <v>425</v>
      </c>
      <c r="C86" s="7" t="s">
        <v>729</v>
      </c>
      <c r="D86" s="295" t="s">
        <v>885</v>
      </c>
      <c r="E86" s="315">
        <v>449234019.89999998</v>
      </c>
      <c r="F86" s="256">
        <v>220534959.22999999</v>
      </c>
      <c r="G86" s="255">
        <v>153903488.87999997</v>
      </c>
      <c r="H86" s="255">
        <v>3843765.9499999997</v>
      </c>
      <c r="I86" s="254">
        <v>70951805.840000004</v>
      </c>
      <c r="K86" s="250"/>
    </row>
    <row r="87" spans="1:11" ht="15" customHeight="1">
      <c r="A87" s="7" t="s">
        <v>759</v>
      </c>
      <c r="B87" s="7" t="s">
        <v>426</v>
      </c>
      <c r="C87" s="7" t="s">
        <v>729</v>
      </c>
      <c r="D87" s="295" t="s">
        <v>884</v>
      </c>
      <c r="E87" s="315">
        <v>90847794.650000006</v>
      </c>
      <c r="F87" s="256">
        <v>47260638.659999996</v>
      </c>
      <c r="G87" s="255">
        <v>28015814.150000002</v>
      </c>
      <c r="H87" s="255">
        <v>489653.97000000003</v>
      </c>
      <c r="I87" s="254">
        <v>15081687.869999997</v>
      </c>
      <c r="K87" s="250"/>
    </row>
    <row r="88" spans="1:11" ht="15" customHeight="1">
      <c r="A88" s="7" t="s">
        <v>776</v>
      </c>
      <c r="B88" s="7" t="s">
        <v>427</v>
      </c>
      <c r="C88" s="7" t="s">
        <v>729</v>
      </c>
      <c r="D88" s="295" t="s">
        <v>881</v>
      </c>
      <c r="E88" s="315">
        <v>117766847.50999999</v>
      </c>
      <c r="F88" s="256">
        <v>59742173.349999994</v>
      </c>
      <c r="G88" s="255">
        <v>38403362.419999994</v>
      </c>
      <c r="H88" s="255">
        <v>697095.91999999993</v>
      </c>
      <c r="I88" s="254">
        <v>18924215.82</v>
      </c>
      <c r="K88" s="250"/>
    </row>
    <row r="89" spans="1:11" ht="15" customHeight="1">
      <c r="A89" s="7" t="s">
        <v>40</v>
      </c>
      <c r="B89" s="7" t="s">
        <v>428</v>
      </c>
      <c r="C89" s="7" t="s">
        <v>729</v>
      </c>
      <c r="D89" s="295" t="s">
        <v>881</v>
      </c>
      <c r="E89" s="315">
        <v>93348809.319999993</v>
      </c>
      <c r="F89" s="256">
        <v>47278323.460000001</v>
      </c>
      <c r="G89" s="255">
        <v>30535286.699999999</v>
      </c>
      <c r="H89" s="255">
        <v>530534.82999999996</v>
      </c>
      <c r="I89" s="254">
        <v>15004664.33</v>
      </c>
      <c r="K89" s="250"/>
    </row>
    <row r="90" spans="1:11" ht="15" customHeight="1">
      <c r="A90" s="7" t="s">
        <v>41</v>
      </c>
      <c r="B90" s="7" t="s">
        <v>429</v>
      </c>
      <c r="C90" s="7" t="s">
        <v>729</v>
      </c>
      <c r="D90" s="295" t="s">
        <v>881</v>
      </c>
      <c r="E90" s="315">
        <v>90023042.210000008</v>
      </c>
      <c r="F90" s="256">
        <v>48458468.410000004</v>
      </c>
      <c r="G90" s="255">
        <v>26017493.32</v>
      </c>
      <c r="H90" s="255">
        <v>687326.25</v>
      </c>
      <c r="I90" s="254">
        <v>14859754.229999999</v>
      </c>
      <c r="K90" s="250"/>
    </row>
    <row r="91" spans="1:11" ht="15" customHeight="1">
      <c r="A91" s="7" t="s">
        <v>42</v>
      </c>
      <c r="B91" s="7" t="s">
        <v>430</v>
      </c>
      <c r="C91" s="7" t="s">
        <v>729</v>
      </c>
      <c r="D91" s="295" t="s">
        <v>881</v>
      </c>
      <c r="E91" s="315">
        <v>100564906.46000001</v>
      </c>
      <c r="F91" s="256">
        <v>52474601.100000009</v>
      </c>
      <c r="G91" s="255">
        <v>30764122.799999997</v>
      </c>
      <c r="H91" s="255">
        <v>808198.76</v>
      </c>
      <c r="I91" s="254">
        <v>16517983.800000001</v>
      </c>
      <c r="K91" s="250"/>
    </row>
    <row r="92" spans="1:11" ht="15" customHeight="1">
      <c r="A92" s="7" t="s">
        <v>758</v>
      </c>
      <c r="B92" s="7" t="s">
        <v>904</v>
      </c>
      <c r="C92" s="7" t="s">
        <v>729</v>
      </c>
      <c r="D92" s="295" t="s">
        <v>881</v>
      </c>
      <c r="E92" s="315">
        <v>119671058.11999997</v>
      </c>
      <c r="F92" s="256">
        <v>61064570.989999995</v>
      </c>
      <c r="G92" s="255">
        <v>38411592.399999999</v>
      </c>
      <c r="H92" s="255">
        <v>1012751.4600000001</v>
      </c>
      <c r="I92" s="254">
        <v>19182143.27</v>
      </c>
      <c r="K92" s="250"/>
    </row>
    <row r="93" spans="1:11" ht="15" customHeight="1">
      <c r="A93" s="7" t="s">
        <v>760</v>
      </c>
      <c r="B93" s="7" t="s">
        <v>431</v>
      </c>
      <c r="C93" s="7" t="s">
        <v>729</v>
      </c>
      <c r="D93" s="295" t="s">
        <v>881</v>
      </c>
      <c r="E93" s="315">
        <v>133541378.58000001</v>
      </c>
      <c r="F93" s="256">
        <v>67409301.530000001</v>
      </c>
      <c r="G93" s="255">
        <v>43479705.760000005</v>
      </c>
      <c r="H93" s="255">
        <v>1213227.9800000002</v>
      </c>
      <c r="I93" s="254">
        <v>21439143.309999999</v>
      </c>
      <c r="K93" s="250"/>
    </row>
    <row r="94" spans="1:11" ht="15" customHeight="1">
      <c r="A94" s="7" t="s">
        <v>43</v>
      </c>
      <c r="B94" s="7" t="s">
        <v>432</v>
      </c>
      <c r="C94" s="7" t="s">
        <v>731</v>
      </c>
      <c r="D94" s="295" t="s">
        <v>885</v>
      </c>
      <c r="E94" s="315">
        <v>118375084.08000001</v>
      </c>
      <c r="F94" s="256">
        <v>57044996.74000001</v>
      </c>
      <c r="G94" s="255">
        <v>41702099.410000011</v>
      </c>
      <c r="H94" s="255">
        <v>842258.31</v>
      </c>
      <c r="I94" s="254">
        <v>18785729.619999997</v>
      </c>
      <c r="K94" s="250"/>
    </row>
    <row r="95" spans="1:11" ht="15" customHeight="1">
      <c r="A95" s="7" t="s">
        <v>44</v>
      </c>
      <c r="B95" s="7" t="s">
        <v>433</v>
      </c>
      <c r="C95" s="7" t="s">
        <v>731</v>
      </c>
      <c r="D95" s="295" t="s">
        <v>881</v>
      </c>
      <c r="E95" s="315">
        <v>50014718.340000004</v>
      </c>
      <c r="F95" s="256">
        <v>25845920.690000005</v>
      </c>
      <c r="G95" s="255">
        <v>15638289.479999999</v>
      </c>
      <c r="H95" s="255">
        <v>501014.81999999995</v>
      </c>
      <c r="I95" s="254">
        <v>8029493.3500000006</v>
      </c>
      <c r="K95" s="250"/>
    </row>
    <row r="96" spans="1:11" ht="15" customHeight="1">
      <c r="A96" s="7" t="s">
        <v>45</v>
      </c>
      <c r="B96" s="7" t="s">
        <v>434</v>
      </c>
      <c r="C96" s="7" t="s">
        <v>731</v>
      </c>
      <c r="D96" s="295" t="s">
        <v>884</v>
      </c>
      <c r="E96" s="315">
        <v>28568640.009999998</v>
      </c>
      <c r="F96" s="256">
        <v>15496898.73</v>
      </c>
      <c r="G96" s="255">
        <v>8111165.7400000002</v>
      </c>
      <c r="H96" s="255">
        <v>159701.26</v>
      </c>
      <c r="I96" s="254">
        <v>4800874.2799999993</v>
      </c>
      <c r="K96" s="250"/>
    </row>
    <row r="97" spans="1:11" ht="15" customHeight="1">
      <c r="A97" s="7" t="s">
        <v>766</v>
      </c>
      <c r="B97" s="7" t="s">
        <v>765</v>
      </c>
      <c r="C97" s="7" t="s">
        <v>731</v>
      </c>
      <c r="D97" s="295" t="s">
        <v>885</v>
      </c>
      <c r="E97" s="315">
        <v>37159755.850000001</v>
      </c>
      <c r="F97" s="256">
        <v>18146029.609999999</v>
      </c>
      <c r="G97" s="255">
        <v>12950046.350000001</v>
      </c>
      <c r="H97" s="255">
        <v>200314.04</v>
      </c>
      <c r="I97" s="254">
        <v>5863365.8499999996</v>
      </c>
      <c r="K97" s="250"/>
    </row>
    <row r="98" spans="1:11" ht="15" customHeight="1">
      <c r="A98" s="7" t="s">
        <v>767</v>
      </c>
      <c r="B98" s="7" t="s">
        <v>435</v>
      </c>
      <c r="C98" s="7" t="s">
        <v>731</v>
      </c>
      <c r="D98" s="295" t="s">
        <v>881</v>
      </c>
      <c r="E98" s="315">
        <v>31052185.059999999</v>
      </c>
      <c r="F98" s="256">
        <v>16109197.050000001</v>
      </c>
      <c r="G98" s="255">
        <v>9883538.4100000001</v>
      </c>
      <c r="H98" s="255">
        <v>102798.58</v>
      </c>
      <c r="I98" s="254">
        <v>4956651.0200000005</v>
      </c>
      <c r="K98" s="250"/>
    </row>
    <row r="99" spans="1:11" ht="15" customHeight="1">
      <c r="A99" s="7" t="s">
        <v>49</v>
      </c>
      <c r="B99" s="7" t="s">
        <v>1029</v>
      </c>
      <c r="C99" s="7" t="s">
        <v>731</v>
      </c>
      <c r="D99" s="295" t="s">
        <v>881</v>
      </c>
      <c r="E99" s="315">
        <v>55271264.459999993</v>
      </c>
      <c r="F99" s="256">
        <v>29646086.019999996</v>
      </c>
      <c r="G99" s="255">
        <v>16032547.109999999</v>
      </c>
      <c r="H99" s="255">
        <v>416044.5</v>
      </c>
      <c r="I99" s="254">
        <v>9176586.8300000001</v>
      </c>
      <c r="K99" s="250"/>
    </row>
    <row r="100" spans="1:11" ht="15" customHeight="1">
      <c r="A100" s="7" t="s">
        <v>46</v>
      </c>
      <c r="B100" s="7" t="s">
        <v>436</v>
      </c>
      <c r="C100" s="7" t="s">
        <v>731</v>
      </c>
      <c r="D100" s="295" t="s">
        <v>885</v>
      </c>
      <c r="E100" s="315">
        <v>83128544.00999999</v>
      </c>
      <c r="F100" s="256">
        <v>43346982.68</v>
      </c>
      <c r="G100" s="255">
        <v>25794260.729999997</v>
      </c>
      <c r="H100" s="255">
        <v>696550.22</v>
      </c>
      <c r="I100" s="254">
        <v>13290750.380000001</v>
      </c>
      <c r="K100" s="250"/>
    </row>
    <row r="101" spans="1:11" ht="15" customHeight="1">
      <c r="A101" s="7" t="s">
        <v>48</v>
      </c>
      <c r="B101" s="7" t="s">
        <v>437</v>
      </c>
      <c r="C101" s="7" t="s">
        <v>731</v>
      </c>
      <c r="D101" s="295" t="s">
        <v>881</v>
      </c>
      <c r="E101" s="315">
        <v>27397572.119999997</v>
      </c>
      <c r="F101" s="256">
        <v>14135933.77</v>
      </c>
      <c r="G101" s="255">
        <v>8543015.7699999996</v>
      </c>
      <c r="H101" s="255">
        <v>266416.15000000002</v>
      </c>
      <c r="I101" s="254">
        <v>4452206.4300000016</v>
      </c>
      <c r="K101" s="250"/>
    </row>
    <row r="102" spans="1:11" ht="15" customHeight="1">
      <c r="A102" s="7" t="s">
        <v>35</v>
      </c>
      <c r="B102" s="7" t="s">
        <v>867</v>
      </c>
      <c r="C102" s="7" t="s">
        <v>731</v>
      </c>
      <c r="D102" s="295" t="s">
        <v>884</v>
      </c>
      <c r="E102" s="315">
        <v>60928710.989999995</v>
      </c>
      <c r="F102" s="256">
        <v>32119383.949999999</v>
      </c>
      <c r="G102" s="255">
        <v>18315393.559999999</v>
      </c>
      <c r="H102" s="255">
        <v>649756.72</v>
      </c>
      <c r="I102" s="254">
        <v>9844176.7599999998</v>
      </c>
      <c r="K102" s="250"/>
    </row>
    <row r="103" spans="1:11" ht="15" customHeight="1">
      <c r="A103" s="7" t="s">
        <v>51</v>
      </c>
      <c r="B103" s="7" t="s">
        <v>1026</v>
      </c>
      <c r="C103" s="7" t="s">
        <v>731</v>
      </c>
      <c r="D103" s="295" t="s">
        <v>885</v>
      </c>
      <c r="E103" s="315">
        <v>48477688.850000009</v>
      </c>
      <c r="F103" s="256">
        <v>23741985.200000003</v>
      </c>
      <c r="G103" s="255">
        <v>16697419.130000001</v>
      </c>
      <c r="H103" s="255">
        <v>302466.92</v>
      </c>
      <c r="I103" s="254">
        <v>7735817.5999999996</v>
      </c>
      <c r="K103" s="250"/>
    </row>
    <row r="104" spans="1:11" ht="15" customHeight="1">
      <c r="A104" s="7" t="s">
        <v>52</v>
      </c>
      <c r="B104" s="7" t="s">
        <v>1027</v>
      </c>
      <c r="C104" s="7" t="s">
        <v>731</v>
      </c>
      <c r="D104" s="295" t="s">
        <v>881</v>
      </c>
      <c r="E104" s="315">
        <v>25169203.549999997</v>
      </c>
      <c r="F104" s="256">
        <v>13117286.82</v>
      </c>
      <c r="G104" s="255">
        <v>7757075.9399999985</v>
      </c>
      <c r="H104" s="255">
        <v>111484.58</v>
      </c>
      <c r="I104" s="254">
        <v>4183356.21</v>
      </c>
      <c r="K104" s="250"/>
    </row>
    <row r="105" spans="1:11" ht="15" customHeight="1">
      <c r="A105" s="7" t="s">
        <v>53</v>
      </c>
      <c r="B105" s="7" t="s">
        <v>1028</v>
      </c>
      <c r="C105" s="7" t="s">
        <v>731</v>
      </c>
      <c r="D105" s="295" t="s">
        <v>881</v>
      </c>
      <c r="E105" s="315">
        <v>47247163.230000004</v>
      </c>
      <c r="F105" s="256">
        <v>24468667.280000001</v>
      </c>
      <c r="G105" s="255">
        <v>14972644.209999999</v>
      </c>
      <c r="H105" s="255">
        <v>271743.2</v>
      </c>
      <c r="I105" s="254">
        <v>7534108.54</v>
      </c>
      <c r="K105" s="250"/>
    </row>
    <row r="106" spans="1:11" ht="15" customHeight="1">
      <c r="A106" s="7" t="s">
        <v>47</v>
      </c>
      <c r="B106" s="7" t="s">
        <v>868</v>
      </c>
      <c r="C106" s="7" t="s">
        <v>731</v>
      </c>
      <c r="D106" s="295" t="s">
        <v>881</v>
      </c>
      <c r="E106" s="315">
        <v>33269173.539999995</v>
      </c>
      <c r="F106" s="256">
        <v>17946889.819999997</v>
      </c>
      <c r="G106" s="255">
        <v>9735637.3499999996</v>
      </c>
      <c r="H106" s="255">
        <v>261308.6</v>
      </c>
      <c r="I106" s="254">
        <v>5325337.7699999996</v>
      </c>
      <c r="K106" s="250"/>
    </row>
    <row r="107" spans="1:11" ht="15" customHeight="1">
      <c r="A107" s="7" t="s">
        <v>54</v>
      </c>
      <c r="B107" s="7" t="s">
        <v>438</v>
      </c>
      <c r="C107" s="7" t="s">
        <v>731</v>
      </c>
      <c r="D107" s="295" t="s">
        <v>884</v>
      </c>
      <c r="E107" s="315">
        <v>50463720.289999992</v>
      </c>
      <c r="F107" s="256">
        <v>27197426.929999996</v>
      </c>
      <c r="G107" s="255">
        <v>14684251.25</v>
      </c>
      <c r="H107" s="255">
        <v>137573.6</v>
      </c>
      <c r="I107" s="254">
        <v>8444468.5099999998</v>
      </c>
      <c r="K107" s="250"/>
    </row>
    <row r="108" spans="1:11" ht="15" customHeight="1">
      <c r="A108" s="7" t="s">
        <v>55</v>
      </c>
      <c r="B108" s="7" t="s">
        <v>439</v>
      </c>
      <c r="C108" s="7" t="s">
        <v>731</v>
      </c>
      <c r="D108" s="295" t="s">
        <v>875</v>
      </c>
      <c r="E108" s="315">
        <v>28654982.240000002</v>
      </c>
      <c r="F108" s="256">
        <v>14841453.570000002</v>
      </c>
      <c r="G108" s="255">
        <v>9003504.5500000007</v>
      </c>
      <c r="H108" s="255">
        <v>69271.790000000008</v>
      </c>
      <c r="I108" s="254">
        <v>4740752.3299999991</v>
      </c>
      <c r="K108" s="250"/>
    </row>
    <row r="109" spans="1:11" ht="15" customHeight="1">
      <c r="A109" s="7" t="s">
        <v>56</v>
      </c>
      <c r="B109" s="7" t="s">
        <v>440</v>
      </c>
      <c r="C109" s="7" t="s">
        <v>731</v>
      </c>
      <c r="D109" s="295" t="s">
        <v>884</v>
      </c>
      <c r="E109" s="315">
        <v>43551288.18999999</v>
      </c>
      <c r="F109" s="256">
        <v>23137371.399999999</v>
      </c>
      <c r="G109" s="255">
        <v>12828661.939999999</v>
      </c>
      <c r="H109" s="255">
        <v>439443.26</v>
      </c>
      <c r="I109" s="254">
        <v>7145811.5899999989</v>
      </c>
      <c r="K109" s="250"/>
    </row>
    <row r="110" spans="1:11" ht="15" customHeight="1">
      <c r="A110" s="7" t="s">
        <v>50</v>
      </c>
      <c r="B110" s="7" t="s">
        <v>1037</v>
      </c>
      <c r="C110" s="7" t="s">
        <v>731</v>
      </c>
      <c r="D110" s="295" t="s">
        <v>884</v>
      </c>
      <c r="E110" s="315">
        <v>52816101.890000001</v>
      </c>
      <c r="F110" s="256">
        <v>27650151.91</v>
      </c>
      <c r="G110" s="255">
        <v>16110932.110000003</v>
      </c>
      <c r="H110" s="255">
        <v>328685.03999999998</v>
      </c>
      <c r="I110" s="254">
        <v>8726332.8300000001</v>
      </c>
      <c r="K110" s="250"/>
    </row>
    <row r="111" spans="1:11" ht="15" customHeight="1">
      <c r="A111" s="7" t="s">
        <v>57</v>
      </c>
      <c r="B111" s="7" t="s">
        <v>441</v>
      </c>
      <c r="C111" s="7" t="s">
        <v>731</v>
      </c>
      <c r="D111" s="295" t="s">
        <v>881</v>
      </c>
      <c r="E111" s="315">
        <v>14225598.789999999</v>
      </c>
      <c r="F111" s="256">
        <v>7381710.3899999997</v>
      </c>
      <c r="G111" s="255">
        <v>4406258.74</v>
      </c>
      <c r="H111" s="255">
        <v>84763.1</v>
      </c>
      <c r="I111" s="254">
        <v>2352866.5599999996</v>
      </c>
      <c r="K111" s="250"/>
    </row>
    <row r="112" spans="1:11" ht="15" customHeight="1">
      <c r="A112" s="7" t="s">
        <v>58</v>
      </c>
      <c r="B112" s="7" t="s">
        <v>442</v>
      </c>
      <c r="C112" s="7" t="s">
        <v>731</v>
      </c>
      <c r="D112" s="295" t="s">
        <v>875</v>
      </c>
      <c r="E112" s="315">
        <v>15598187.950000001</v>
      </c>
      <c r="F112" s="256">
        <v>8530790.3900000006</v>
      </c>
      <c r="G112" s="255">
        <v>4360312.3100000005</v>
      </c>
      <c r="H112" s="255">
        <v>62892.409999999996</v>
      </c>
      <c r="I112" s="254">
        <v>2644192.84</v>
      </c>
      <c r="K112" s="250"/>
    </row>
    <row r="113" spans="1:11" ht="15" customHeight="1">
      <c r="A113" s="7" t="s">
        <v>59</v>
      </c>
      <c r="B113" s="7" t="s">
        <v>443</v>
      </c>
      <c r="C113" s="7" t="s">
        <v>731</v>
      </c>
      <c r="D113" s="295" t="s">
        <v>875</v>
      </c>
      <c r="E113" s="315">
        <v>16406181.140000001</v>
      </c>
      <c r="F113" s="256">
        <v>8561993.0299999993</v>
      </c>
      <c r="G113" s="255">
        <v>5021809.9899999993</v>
      </c>
      <c r="H113" s="255">
        <v>76160.5</v>
      </c>
      <c r="I113" s="254">
        <v>2746217.62</v>
      </c>
      <c r="K113" s="250"/>
    </row>
    <row r="114" spans="1:11" ht="15" customHeight="1">
      <c r="A114" s="7" t="s">
        <v>60</v>
      </c>
      <c r="B114" s="7" t="s">
        <v>444</v>
      </c>
      <c r="C114" s="7" t="s">
        <v>731</v>
      </c>
      <c r="D114" s="295" t="s">
        <v>875</v>
      </c>
      <c r="E114" s="315">
        <v>59886031.700000003</v>
      </c>
      <c r="F114" s="256">
        <v>31272393.819999993</v>
      </c>
      <c r="G114" s="255">
        <v>18489825.320000004</v>
      </c>
      <c r="H114" s="255">
        <v>563320.74</v>
      </c>
      <c r="I114" s="254">
        <v>9560491.8200000003</v>
      </c>
      <c r="K114" s="250"/>
    </row>
    <row r="115" spans="1:11" ht="15" customHeight="1">
      <c r="A115" s="7" t="s">
        <v>61</v>
      </c>
      <c r="B115" s="7" t="s">
        <v>869</v>
      </c>
      <c r="C115" s="7" t="s">
        <v>731</v>
      </c>
      <c r="D115" s="295" t="s">
        <v>875</v>
      </c>
      <c r="E115" s="315">
        <v>34940436.859999999</v>
      </c>
      <c r="F115" s="256">
        <v>18031452.300000001</v>
      </c>
      <c r="G115" s="255">
        <v>10958942.880000001</v>
      </c>
      <c r="H115" s="255">
        <v>168274.86</v>
      </c>
      <c r="I115" s="254">
        <v>5781766.8199999994</v>
      </c>
      <c r="K115" s="250"/>
    </row>
    <row r="116" spans="1:11" ht="15" customHeight="1">
      <c r="A116" s="7" t="s">
        <v>62</v>
      </c>
      <c r="B116" s="7" t="s">
        <v>445</v>
      </c>
      <c r="C116" s="7" t="s">
        <v>716</v>
      </c>
      <c r="D116" s="295" t="s">
        <v>878</v>
      </c>
      <c r="E116" s="315">
        <v>102089391.16</v>
      </c>
      <c r="F116" s="256">
        <v>45106770.719999999</v>
      </c>
      <c r="G116" s="255">
        <v>41327043.339999996</v>
      </c>
      <c r="H116" s="255">
        <v>668549.91</v>
      </c>
      <c r="I116" s="254">
        <v>14987027.189999999</v>
      </c>
      <c r="K116" s="250"/>
    </row>
    <row r="117" spans="1:11" ht="15" customHeight="1">
      <c r="A117" s="7" t="s">
        <v>63</v>
      </c>
      <c r="B117" s="7" t="s">
        <v>446</v>
      </c>
      <c r="C117" s="7" t="s">
        <v>716</v>
      </c>
      <c r="D117" s="295" t="s">
        <v>878</v>
      </c>
      <c r="E117" s="315">
        <v>102195678.66000001</v>
      </c>
      <c r="F117" s="256">
        <v>47174412.970000006</v>
      </c>
      <c r="G117" s="255">
        <v>39043657.230000004</v>
      </c>
      <c r="H117" s="255">
        <v>385422.30000000005</v>
      </c>
      <c r="I117" s="254">
        <v>15592186.16</v>
      </c>
      <c r="K117" s="250"/>
    </row>
    <row r="118" spans="1:11" ht="15" customHeight="1">
      <c r="A118" s="7" t="s">
        <v>64</v>
      </c>
      <c r="B118" s="7" t="s">
        <v>447</v>
      </c>
      <c r="C118" s="7" t="s">
        <v>716</v>
      </c>
      <c r="D118" s="295" t="s">
        <v>878</v>
      </c>
      <c r="E118" s="315">
        <v>192802785.31000003</v>
      </c>
      <c r="F118" s="256">
        <v>84063046.140000001</v>
      </c>
      <c r="G118" s="255">
        <v>80361970.520000011</v>
      </c>
      <c r="H118" s="255">
        <v>774694.97</v>
      </c>
      <c r="I118" s="254">
        <v>27603073.68</v>
      </c>
      <c r="K118" s="250"/>
    </row>
    <row r="119" spans="1:11" ht="15" customHeight="1">
      <c r="A119" s="7" t="s">
        <v>76</v>
      </c>
      <c r="B119" s="7" t="s">
        <v>777</v>
      </c>
      <c r="C119" s="7" t="s">
        <v>716</v>
      </c>
      <c r="D119" s="295" t="s">
        <v>878</v>
      </c>
      <c r="E119" s="315">
        <v>132725480.16000001</v>
      </c>
      <c r="F119" s="256">
        <v>59128592.319999993</v>
      </c>
      <c r="G119" s="255">
        <v>53549759.660000011</v>
      </c>
      <c r="H119" s="255">
        <v>479889.65000000008</v>
      </c>
      <c r="I119" s="254">
        <v>19567238.529999997</v>
      </c>
      <c r="K119" s="250"/>
    </row>
    <row r="120" spans="1:11" ht="15" customHeight="1">
      <c r="A120" s="7" t="s">
        <v>66</v>
      </c>
      <c r="B120" s="7" t="s">
        <v>448</v>
      </c>
      <c r="C120" s="7" t="s">
        <v>716</v>
      </c>
      <c r="D120" s="295" t="s">
        <v>882</v>
      </c>
      <c r="E120" s="315">
        <v>84086210.500000015</v>
      </c>
      <c r="F120" s="256">
        <v>39684039.410000004</v>
      </c>
      <c r="G120" s="255">
        <v>31150809.220000003</v>
      </c>
      <c r="H120" s="255">
        <v>524304.31000000006</v>
      </c>
      <c r="I120" s="254">
        <v>12727057.560000001</v>
      </c>
      <c r="K120" s="250"/>
    </row>
    <row r="121" spans="1:11" ht="15" customHeight="1">
      <c r="A121" s="7" t="s">
        <v>67</v>
      </c>
      <c r="B121" s="7" t="s">
        <v>449</v>
      </c>
      <c r="C121" s="7" t="s">
        <v>716</v>
      </c>
      <c r="D121" s="295" t="s">
        <v>878</v>
      </c>
      <c r="E121" s="315">
        <v>87353861.410000011</v>
      </c>
      <c r="F121" s="256">
        <v>41505759.20000001</v>
      </c>
      <c r="G121" s="255">
        <v>32269533.159999996</v>
      </c>
      <c r="H121" s="255">
        <v>298020.14</v>
      </c>
      <c r="I121" s="254">
        <v>13280548.91</v>
      </c>
      <c r="K121" s="250"/>
    </row>
    <row r="122" spans="1:11" ht="15" customHeight="1">
      <c r="A122" s="7" t="s">
        <v>68</v>
      </c>
      <c r="B122" s="7" t="s">
        <v>450</v>
      </c>
      <c r="C122" s="7" t="s">
        <v>716</v>
      </c>
      <c r="D122" s="295" t="s">
        <v>878</v>
      </c>
      <c r="E122" s="315">
        <v>71120379.030000001</v>
      </c>
      <c r="F122" s="256">
        <v>33140872.780000001</v>
      </c>
      <c r="G122" s="255">
        <v>27036864.699999999</v>
      </c>
      <c r="H122" s="255">
        <v>159840.25</v>
      </c>
      <c r="I122" s="254">
        <v>10782801.300000001</v>
      </c>
      <c r="K122" s="250"/>
    </row>
    <row r="123" spans="1:11" ht="15" customHeight="1">
      <c r="A123" s="7" t="s">
        <v>69</v>
      </c>
      <c r="B123" s="7" t="s">
        <v>451</v>
      </c>
      <c r="C123" s="7" t="s">
        <v>717</v>
      </c>
      <c r="D123" s="295" t="s">
        <v>882</v>
      </c>
      <c r="E123" s="315">
        <v>1862177277.5599999</v>
      </c>
      <c r="F123" s="256">
        <v>755112770</v>
      </c>
      <c r="G123" s="255">
        <v>856245661.02999997</v>
      </c>
      <c r="H123" s="255">
        <v>8055914.5600000015</v>
      </c>
      <c r="I123" s="254">
        <v>242762931.97000003</v>
      </c>
      <c r="K123" s="250"/>
    </row>
    <row r="124" spans="1:11" ht="15" customHeight="1">
      <c r="A124" s="7" t="s">
        <v>70</v>
      </c>
      <c r="B124" s="7" t="s">
        <v>452</v>
      </c>
      <c r="C124" s="7" t="s">
        <v>716</v>
      </c>
      <c r="D124" s="295" t="s">
        <v>878</v>
      </c>
      <c r="E124" s="315">
        <v>78113286.769999996</v>
      </c>
      <c r="F124" s="256">
        <v>37680805.920000002</v>
      </c>
      <c r="G124" s="255">
        <v>27936873.519999996</v>
      </c>
      <c r="H124" s="255">
        <v>383746.7</v>
      </c>
      <c r="I124" s="254">
        <v>12111860.630000001</v>
      </c>
      <c r="K124" s="250"/>
    </row>
    <row r="125" spans="1:11" ht="15" customHeight="1">
      <c r="A125" s="7" t="s">
        <v>65</v>
      </c>
      <c r="B125" s="7" t="s">
        <v>778</v>
      </c>
      <c r="C125" s="7" t="s">
        <v>716</v>
      </c>
      <c r="D125" s="295" t="s">
        <v>878</v>
      </c>
      <c r="E125" s="315">
        <v>69919150.75999999</v>
      </c>
      <c r="F125" s="256">
        <v>34040284.659999996</v>
      </c>
      <c r="G125" s="255">
        <v>24903542.66</v>
      </c>
      <c r="H125" s="255">
        <v>142491.72999999998</v>
      </c>
      <c r="I125" s="254">
        <v>10832831.710000001</v>
      </c>
      <c r="K125" s="250"/>
    </row>
    <row r="126" spans="1:11" ht="15" customHeight="1">
      <c r="A126" s="7" t="s">
        <v>71</v>
      </c>
      <c r="B126" s="7" t="s">
        <v>453</v>
      </c>
      <c r="C126" s="7" t="s">
        <v>716</v>
      </c>
      <c r="D126" s="295" t="s">
        <v>882</v>
      </c>
      <c r="E126" s="315">
        <v>245071532.72999999</v>
      </c>
      <c r="F126" s="256">
        <v>109323079.37000002</v>
      </c>
      <c r="G126" s="255">
        <v>98027582.389999986</v>
      </c>
      <c r="H126" s="255">
        <v>1455157.71</v>
      </c>
      <c r="I126" s="254">
        <v>36265713.259999998</v>
      </c>
      <c r="K126" s="250"/>
    </row>
    <row r="127" spans="1:11" ht="15" customHeight="1">
      <c r="A127" s="7" t="s">
        <v>72</v>
      </c>
      <c r="B127" s="7" t="s">
        <v>454</v>
      </c>
      <c r="C127" s="7" t="s">
        <v>716</v>
      </c>
      <c r="D127" s="295" t="s">
        <v>878</v>
      </c>
      <c r="E127" s="315">
        <v>54058067.949999996</v>
      </c>
      <c r="F127" s="256">
        <v>24417906.260000002</v>
      </c>
      <c r="G127" s="255">
        <v>21013228.469999995</v>
      </c>
      <c r="H127" s="255">
        <v>220024.96999999997</v>
      </c>
      <c r="I127" s="254">
        <v>8406908.25</v>
      </c>
      <c r="K127" s="250"/>
    </row>
    <row r="128" spans="1:11" ht="15" customHeight="1">
      <c r="A128" s="7" t="s">
        <v>73</v>
      </c>
      <c r="B128" s="7" t="s">
        <v>455</v>
      </c>
      <c r="C128" s="7" t="s">
        <v>716</v>
      </c>
      <c r="D128" s="295" t="s">
        <v>882</v>
      </c>
      <c r="E128" s="315">
        <v>184497032.70999998</v>
      </c>
      <c r="F128" s="256">
        <v>84862418.819999993</v>
      </c>
      <c r="G128" s="255">
        <v>70731062.200000003</v>
      </c>
      <c r="H128" s="255">
        <v>735878.62999999989</v>
      </c>
      <c r="I128" s="254">
        <v>28167673.059999999</v>
      </c>
      <c r="K128" s="250"/>
    </row>
    <row r="129" spans="1:11" ht="15" customHeight="1">
      <c r="A129" s="7" t="s">
        <v>74</v>
      </c>
      <c r="B129" s="7" t="s">
        <v>456</v>
      </c>
      <c r="C129" s="7" t="s">
        <v>716</v>
      </c>
      <c r="D129" s="295" t="s">
        <v>878</v>
      </c>
      <c r="E129" s="315">
        <v>79561197.810000002</v>
      </c>
      <c r="F129" s="256">
        <v>36166262.950000003</v>
      </c>
      <c r="G129" s="255">
        <v>30720060.02</v>
      </c>
      <c r="H129" s="255">
        <v>312188.13</v>
      </c>
      <c r="I129" s="254">
        <v>12362686.710000001</v>
      </c>
      <c r="K129" s="250"/>
    </row>
    <row r="130" spans="1:11" ht="15" customHeight="1">
      <c r="A130" s="7" t="s">
        <v>75</v>
      </c>
      <c r="B130" s="7" t="s">
        <v>457</v>
      </c>
      <c r="C130" s="7" t="s">
        <v>716</v>
      </c>
      <c r="D130" s="295" t="s">
        <v>882</v>
      </c>
      <c r="E130" s="315">
        <v>67772532.370000005</v>
      </c>
      <c r="F130" s="256">
        <v>32553522.780000001</v>
      </c>
      <c r="G130" s="255">
        <v>24271781.170000002</v>
      </c>
      <c r="H130" s="255">
        <v>452046.70999999996</v>
      </c>
      <c r="I130" s="254">
        <v>10495181.709999999</v>
      </c>
      <c r="K130" s="250"/>
    </row>
    <row r="131" spans="1:11" ht="15" customHeight="1">
      <c r="A131" s="7" t="s">
        <v>77</v>
      </c>
      <c r="B131" s="7" t="s">
        <v>458</v>
      </c>
      <c r="C131" s="7" t="s">
        <v>716</v>
      </c>
      <c r="D131" s="295" t="s">
        <v>878</v>
      </c>
      <c r="E131" s="315">
        <v>110908793.75999999</v>
      </c>
      <c r="F131" s="256">
        <v>54003207.239999995</v>
      </c>
      <c r="G131" s="255">
        <v>39106755.469999999</v>
      </c>
      <c r="H131" s="255">
        <v>410795.07</v>
      </c>
      <c r="I131" s="254">
        <v>17388035.98</v>
      </c>
      <c r="K131" s="250"/>
    </row>
    <row r="132" spans="1:11" ht="15" customHeight="1">
      <c r="A132" s="7" t="s">
        <v>78</v>
      </c>
      <c r="B132" s="7" t="s">
        <v>459</v>
      </c>
      <c r="C132" s="7" t="s">
        <v>718</v>
      </c>
      <c r="D132" s="295" t="s">
        <v>882</v>
      </c>
      <c r="E132" s="315">
        <v>164250001.21000001</v>
      </c>
      <c r="F132" s="256">
        <v>73267312.439999998</v>
      </c>
      <c r="G132" s="255">
        <v>66102845.429999992</v>
      </c>
      <c r="H132" s="255">
        <v>944350.64999999991</v>
      </c>
      <c r="I132" s="254">
        <v>23935492.690000001</v>
      </c>
      <c r="K132" s="250"/>
    </row>
    <row r="133" spans="1:11" ht="15" customHeight="1">
      <c r="A133" s="7" t="s">
        <v>79</v>
      </c>
      <c r="B133" s="7" t="s">
        <v>460</v>
      </c>
      <c r="C133" s="7" t="s">
        <v>718</v>
      </c>
      <c r="D133" s="295" t="s">
        <v>883</v>
      </c>
      <c r="E133" s="315">
        <v>99709821.080000013</v>
      </c>
      <c r="F133" s="256">
        <v>49726057.690000013</v>
      </c>
      <c r="G133" s="255">
        <v>33811504.509999998</v>
      </c>
      <c r="H133" s="255">
        <v>802241.67000000016</v>
      </c>
      <c r="I133" s="254">
        <v>15370017.209999997</v>
      </c>
      <c r="K133" s="250"/>
    </row>
    <row r="134" spans="1:11" ht="15" customHeight="1">
      <c r="A134" s="7" t="s">
        <v>80</v>
      </c>
      <c r="B134" s="7" t="s">
        <v>461</v>
      </c>
      <c r="C134" s="7" t="s">
        <v>718</v>
      </c>
      <c r="D134" s="295" t="s">
        <v>878</v>
      </c>
      <c r="E134" s="315">
        <v>60209216.719999999</v>
      </c>
      <c r="F134" s="256">
        <v>28214612.73</v>
      </c>
      <c r="G134" s="255">
        <v>22563558.149999999</v>
      </c>
      <c r="H134" s="255">
        <v>320821.36000000004</v>
      </c>
      <c r="I134" s="254">
        <v>9110224.4800000004</v>
      </c>
      <c r="K134" s="250"/>
    </row>
    <row r="135" spans="1:11" ht="15" customHeight="1">
      <c r="A135" s="7" t="s">
        <v>89</v>
      </c>
      <c r="B135" s="7" t="s">
        <v>779</v>
      </c>
      <c r="C135" s="7" t="s">
        <v>718</v>
      </c>
      <c r="D135" s="295" t="s">
        <v>878</v>
      </c>
      <c r="E135" s="315">
        <v>87672552.799999982</v>
      </c>
      <c r="F135" s="256">
        <v>41145420.36999999</v>
      </c>
      <c r="G135" s="255">
        <v>32830028.309999999</v>
      </c>
      <c r="H135" s="255">
        <v>383757.58</v>
      </c>
      <c r="I135" s="254">
        <v>13313346.539999999</v>
      </c>
      <c r="K135" s="250"/>
    </row>
    <row r="136" spans="1:11" ht="15" customHeight="1">
      <c r="A136" s="7" t="s">
        <v>82</v>
      </c>
      <c r="B136" s="7" t="s">
        <v>462</v>
      </c>
      <c r="C136" s="7" t="s">
        <v>719</v>
      </c>
      <c r="D136" s="295" t="s">
        <v>882</v>
      </c>
      <c r="E136" s="315">
        <v>651596154.54999995</v>
      </c>
      <c r="F136" s="256">
        <v>299898304.11999995</v>
      </c>
      <c r="G136" s="255">
        <v>252592273.44000006</v>
      </c>
      <c r="H136" s="255">
        <v>3886862.68</v>
      </c>
      <c r="I136" s="254">
        <v>95218714.310000002</v>
      </c>
      <c r="K136" s="250"/>
    </row>
    <row r="137" spans="1:11" ht="15" customHeight="1">
      <c r="A137" s="7" t="s">
        <v>83</v>
      </c>
      <c r="B137" s="7" t="s">
        <v>463</v>
      </c>
      <c r="C137" s="7" t="s">
        <v>718</v>
      </c>
      <c r="D137" s="295" t="s">
        <v>878</v>
      </c>
      <c r="E137" s="315">
        <v>36083277.109999999</v>
      </c>
      <c r="F137" s="256">
        <v>17342113.659999996</v>
      </c>
      <c r="G137" s="255">
        <v>13152840.390000001</v>
      </c>
      <c r="H137" s="255">
        <v>76106.51999999999</v>
      </c>
      <c r="I137" s="254">
        <v>5512216.5399999991</v>
      </c>
      <c r="K137" s="250"/>
    </row>
    <row r="138" spans="1:11" ht="15" customHeight="1">
      <c r="A138" s="7" t="s">
        <v>84</v>
      </c>
      <c r="B138" s="7" t="s">
        <v>791</v>
      </c>
      <c r="C138" s="7" t="s">
        <v>719</v>
      </c>
      <c r="D138" s="295" t="s">
        <v>883</v>
      </c>
      <c r="E138" s="315">
        <v>164036254.69</v>
      </c>
      <c r="F138" s="256">
        <v>80682670.170000002</v>
      </c>
      <c r="G138" s="255">
        <v>56838451.24000001</v>
      </c>
      <c r="H138" s="255">
        <v>1425633.45</v>
      </c>
      <c r="I138" s="254">
        <v>25089499.829999998</v>
      </c>
      <c r="K138" s="250"/>
    </row>
    <row r="139" spans="1:11" ht="15" customHeight="1">
      <c r="A139" s="7" t="s">
        <v>85</v>
      </c>
      <c r="B139" s="7" t="s">
        <v>464</v>
      </c>
      <c r="C139" s="7" t="s">
        <v>718</v>
      </c>
      <c r="D139" s="295" t="s">
        <v>879</v>
      </c>
      <c r="E139" s="315">
        <v>100206267.47999999</v>
      </c>
      <c r="F139" s="256">
        <v>47854042.600000001</v>
      </c>
      <c r="G139" s="255">
        <v>36220654.400000006</v>
      </c>
      <c r="H139" s="255">
        <v>369344.7099999999</v>
      </c>
      <c r="I139" s="254">
        <v>15762225.769999998</v>
      </c>
      <c r="K139" s="250"/>
    </row>
    <row r="140" spans="1:11" ht="15" customHeight="1">
      <c r="A140" s="7" t="s">
        <v>733</v>
      </c>
      <c r="B140" s="7" t="s">
        <v>465</v>
      </c>
      <c r="C140" s="7" t="s">
        <v>718</v>
      </c>
      <c r="D140" s="295" t="s">
        <v>878</v>
      </c>
      <c r="E140" s="315">
        <v>70102891.539999992</v>
      </c>
      <c r="F140" s="256">
        <v>33385883.259999994</v>
      </c>
      <c r="G140" s="255">
        <v>25651806.599999998</v>
      </c>
      <c r="H140" s="255">
        <v>185111.63</v>
      </c>
      <c r="I140" s="254">
        <v>10880090.050000001</v>
      </c>
      <c r="K140" s="250"/>
    </row>
    <row r="141" spans="1:11" ht="15" customHeight="1">
      <c r="A141" s="7" t="s">
        <v>86</v>
      </c>
      <c r="B141" s="7" t="s">
        <v>466</v>
      </c>
      <c r="C141" s="7" t="s">
        <v>718</v>
      </c>
      <c r="D141" s="295" t="s">
        <v>882</v>
      </c>
      <c r="E141" s="315">
        <v>42158881.289999999</v>
      </c>
      <c r="F141" s="256">
        <v>20408406.549999997</v>
      </c>
      <c r="G141" s="255">
        <v>15092844.630000001</v>
      </c>
      <c r="H141" s="255">
        <v>189452.24</v>
      </c>
      <c r="I141" s="254">
        <v>6468177.8699999992</v>
      </c>
      <c r="K141" s="250"/>
    </row>
    <row r="142" spans="1:11" ht="15" customHeight="1">
      <c r="A142" s="7" t="s">
        <v>101</v>
      </c>
      <c r="B142" s="7" t="s">
        <v>780</v>
      </c>
      <c r="C142" s="7" t="s">
        <v>718</v>
      </c>
      <c r="D142" s="295" t="s">
        <v>878</v>
      </c>
      <c r="E142" s="315">
        <v>74233385.290000007</v>
      </c>
      <c r="F142" s="256">
        <v>35664779.149999999</v>
      </c>
      <c r="G142" s="255">
        <v>26599595.740000002</v>
      </c>
      <c r="H142" s="255">
        <v>170961.7</v>
      </c>
      <c r="I142" s="254">
        <v>11798048.700000001</v>
      </c>
      <c r="K142" s="250"/>
    </row>
    <row r="143" spans="1:11" ht="15" customHeight="1">
      <c r="A143" s="7" t="s">
        <v>88</v>
      </c>
      <c r="B143" s="7" t="s">
        <v>781</v>
      </c>
      <c r="C143" s="7" t="s">
        <v>718</v>
      </c>
      <c r="D143" s="295" t="s">
        <v>878</v>
      </c>
      <c r="E143" s="315">
        <v>26743015.18</v>
      </c>
      <c r="F143" s="256">
        <v>12479875.960000001</v>
      </c>
      <c r="G143" s="255">
        <v>9880597.1500000004</v>
      </c>
      <c r="H143" s="255">
        <v>127521.90999999999</v>
      </c>
      <c r="I143" s="254">
        <v>4255020.1599999992</v>
      </c>
      <c r="K143" s="250"/>
    </row>
    <row r="144" spans="1:11" ht="15" customHeight="1">
      <c r="A144" s="7" t="s">
        <v>87</v>
      </c>
      <c r="B144" s="7" t="s">
        <v>782</v>
      </c>
      <c r="C144" s="7" t="s">
        <v>718</v>
      </c>
      <c r="D144" s="295" t="s">
        <v>878</v>
      </c>
      <c r="E144" s="315">
        <v>97637892.539999992</v>
      </c>
      <c r="F144" s="256">
        <v>46341301.069999993</v>
      </c>
      <c r="G144" s="255">
        <v>35958116.719999999</v>
      </c>
      <c r="H144" s="255">
        <v>217286.95</v>
      </c>
      <c r="I144" s="254">
        <v>15121187.799999999</v>
      </c>
      <c r="K144" s="250"/>
    </row>
    <row r="145" spans="1:11" ht="15" customHeight="1">
      <c r="A145" s="7" t="s">
        <v>90</v>
      </c>
      <c r="B145" s="7" t="s">
        <v>467</v>
      </c>
      <c r="C145" s="7" t="s">
        <v>718</v>
      </c>
      <c r="D145" s="295" t="s">
        <v>879</v>
      </c>
      <c r="E145" s="315">
        <v>177329443.81999999</v>
      </c>
      <c r="F145" s="256">
        <v>84732591.530000001</v>
      </c>
      <c r="G145" s="255">
        <v>64723894.449999996</v>
      </c>
      <c r="H145" s="255">
        <v>887124.82</v>
      </c>
      <c r="I145" s="254">
        <v>26985833.02</v>
      </c>
      <c r="K145" s="250"/>
    </row>
    <row r="146" spans="1:11" ht="15" customHeight="1">
      <c r="A146" s="7" t="s">
        <v>91</v>
      </c>
      <c r="B146" s="7" t="s">
        <v>468</v>
      </c>
      <c r="C146" s="7" t="s">
        <v>718</v>
      </c>
      <c r="D146" s="295" t="s">
        <v>876</v>
      </c>
      <c r="E146" s="315">
        <v>68711545.75</v>
      </c>
      <c r="F146" s="256">
        <v>34629608.319999993</v>
      </c>
      <c r="G146" s="255">
        <v>22716119.310000002</v>
      </c>
      <c r="H146" s="255">
        <v>363474.79</v>
      </c>
      <c r="I146" s="254">
        <v>11002343.329999998</v>
      </c>
      <c r="K146" s="250"/>
    </row>
    <row r="147" spans="1:11" ht="15" customHeight="1">
      <c r="A147" s="7" t="s">
        <v>92</v>
      </c>
      <c r="B147" s="7" t="s">
        <v>469</v>
      </c>
      <c r="C147" s="7" t="s">
        <v>718</v>
      </c>
      <c r="D147" s="295" t="s">
        <v>879</v>
      </c>
      <c r="E147" s="315">
        <v>39975197.640000001</v>
      </c>
      <c r="F147" s="256">
        <v>20339402.279999997</v>
      </c>
      <c r="G147" s="255">
        <v>12985213.420000002</v>
      </c>
      <c r="H147" s="255">
        <v>266789.02</v>
      </c>
      <c r="I147" s="254">
        <v>6383792.9199999999</v>
      </c>
      <c r="K147" s="250"/>
    </row>
    <row r="148" spans="1:11" ht="15" customHeight="1">
      <c r="A148" s="7" t="s">
        <v>93</v>
      </c>
      <c r="B148" s="7" t="s">
        <v>470</v>
      </c>
      <c r="C148" s="7" t="s">
        <v>718</v>
      </c>
      <c r="D148" s="295" t="s">
        <v>878</v>
      </c>
      <c r="E148" s="315">
        <v>102401204.53999999</v>
      </c>
      <c r="F148" s="256">
        <v>49683791.209999993</v>
      </c>
      <c r="G148" s="255">
        <v>36423913.230000004</v>
      </c>
      <c r="H148" s="255">
        <v>483443.18999999994</v>
      </c>
      <c r="I148" s="254">
        <v>15810056.909999998</v>
      </c>
      <c r="K148" s="250"/>
    </row>
    <row r="149" spans="1:11" ht="15" customHeight="1">
      <c r="A149" s="7" t="s">
        <v>94</v>
      </c>
      <c r="B149" s="7" t="s">
        <v>783</v>
      </c>
      <c r="C149" s="7" t="s">
        <v>718</v>
      </c>
      <c r="D149" s="295" t="s">
        <v>878</v>
      </c>
      <c r="E149" s="315">
        <v>74061060.359999999</v>
      </c>
      <c r="F149" s="256">
        <v>36740908.640000001</v>
      </c>
      <c r="G149" s="255">
        <v>25369345.819999997</v>
      </c>
      <c r="H149" s="255">
        <v>340551.81</v>
      </c>
      <c r="I149" s="254">
        <v>11610254.09</v>
      </c>
      <c r="K149" s="250"/>
    </row>
    <row r="150" spans="1:11" ht="15" customHeight="1">
      <c r="A150" s="7" t="s">
        <v>95</v>
      </c>
      <c r="B150" s="7" t="s">
        <v>471</v>
      </c>
      <c r="C150" s="7" t="s">
        <v>718</v>
      </c>
      <c r="D150" s="295" t="s">
        <v>882</v>
      </c>
      <c r="E150" s="315">
        <v>950509386</v>
      </c>
      <c r="F150" s="256">
        <v>433669111.61999995</v>
      </c>
      <c r="G150" s="255">
        <v>371098684.56999999</v>
      </c>
      <c r="H150" s="255">
        <v>4537277.76</v>
      </c>
      <c r="I150" s="254">
        <v>141204312.05000004</v>
      </c>
      <c r="K150" s="250"/>
    </row>
    <row r="151" spans="1:11" ht="15" customHeight="1">
      <c r="A151" s="7" t="s">
        <v>96</v>
      </c>
      <c r="B151" s="7" t="s">
        <v>472</v>
      </c>
      <c r="C151" s="7" t="s">
        <v>718</v>
      </c>
      <c r="D151" s="295" t="s">
        <v>876</v>
      </c>
      <c r="E151" s="315">
        <v>54068083.869999997</v>
      </c>
      <c r="F151" s="256">
        <v>25941155.809999995</v>
      </c>
      <c r="G151" s="255">
        <v>19522020.920000002</v>
      </c>
      <c r="H151" s="255">
        <v>578990.17999999993</v>
      </c>
      <c r="I151" s="254">
        <v>8025916.96</v>
      </c>
      <c r="K151" s="250"/>
    </row>
    <row r="152" spans="1:11" ht="15" customHeight="1">
      <c r="A152" s="7" t="s">
        <v>97</v>
      </c>
      <c r="B152" s="7" t="s">
        <v>473</v>
      </c>
      <c r="C152" s="7" t="s">
        <v>718</v>
      </c>
      <c r="D152" s="295" t="s">
        <v>878</v>
      </c>
      <c r="E152" s="315">
        <v>66795763.010000013</v>
      </c>
      <c r="F152" s="256">
        <v>32552398.170000006</v>
      </c>
      <c r="G152" s="255">
        <v>23272353.260000002</v>
      </c>
      <c r="H152" s="255">
        <v>467825.7</v>
      </c>
      <c r="I152" s="254">
        <v>10503185.880000001</v>
      </c>
      <c r="K152" s="250"/>
    </row>
    <row r="153" spans="1:11" ht="15" customHeight="1">
      <c r="A153" s="7" t="s">
        <v>98</v>
      </c>
      <c r="B153" s="7" t="s">
        <v>474</v>
      </c>
      <c r="C153" s="7" t="s">
        <v>718</v>
      </c>
      <c r="D153" s="295" t="s">
        <v>880</v>
      </c>
      <c r="E153" s="315">
        <v>82475001.289999992</v>
      </c>
      <c r="F153" s="256">
        <v>38933007.739999995</v>
      </c>
      <c r="G153" s="255">
        <v>30860958.960000001</v>
      </c>
      <c r="H153" s="255">
        <v>576768.9700000002</v>
      </c>
      <c r="I153" s="254">
        <v>12104265.619999999</v>
      </c>
      <c r="K153" s="250"/>
    </row>
    <row r="154" spans="1:11" ht="15" customHeight="1">
      <c r="A154" s="7" t="s">
        <v>99</v>
      </c>
      <c r="B154" s="7" t="s">
        <v>475</v>
      </c>
      <c r="C154" s="7" t="s">
        <v>718</v>
      </c>
      <c r="D154" s="295" t="s">
        <v>879</v>
      </c>
      <c r="E154" s="315">
        <v>172279846.04999998</v>
      </c>
      <c r="F154" s="256">
        <v>83878324.609999999</v>
      </c>
      <c r="G154" s="255">
        <v>60661987.219999999</v>
      </c>
      <c r="H154" s="255">
        <v>1375880.19</v>
      </c>
      <c r="I154" s="254">
        <v>26363654.029999994</v>
      </c>
      <c r="K154" s="250"/>
    </row>
    <row r="155" spans="1:11" ht="15" customHeight="1">
      <c r="A155" s="7" t="s">
        <v>81</v>
      </c>
      <c r="B155" s="7" t="s">
        <v>784</v>
      </c>
      <c r="C155" s="7" t="s">
        <v>718</v>
      </c>
      <c r="D155" s="295" t="s">
        <v>878</v>
      </c>
      <c r="E155" s="315">
        <v>75594315.310000002</v>
      </c>
      <c r="F155" s="256">
        <v>35610037.07</v>
      </c>
      <c r="G155" s="255">
        <v>27833896.620000001</v>
      </c>
      <c r="H155" s="255">
        <v>458361.1</v>
      </c>
      <c r="I155" s="254">
        <v>11692020.520000003</v>
      </c>
      <c r="K155" s="250"/>
    </row>
    <row r="156" spans="1:11" ht="15" customHeight="1">
      <c r="A156" s="7" t="s">
        <v>102</v>
      </c>
      <c r="B156" s="7" t="s">
        <v>476</v>
      </c>
      <c r="C156" s="7" t="s">
        <v>718</v>
      </c>
      <c r="D156" s="295" t="s">
        <v>878</v>
      </c>
      <c r="E156" s="315">
        <v>92318055.379999995</v>
      </c>
      <c r="F156" s="256">
        <v>42058829.829999998</v>
      </c>
      <c r="G156" s="255">
        <v>35814124.469999999</v>
      </c>
      <c r="H156" s="255">
        <v>312325.83999999997</v>
      </c>
      <c r="I156" s="254">
        <v>14132775.240000002</v>
      </c>
      <c r="K156" s="250"/>
    </row>
    <row r="157" spans="1:11" ht="15" customHeight="1">
      <c r="A157" s="7" t="s">
        <v>103</v>
      </c>
      <c r="B157" s="7" t="s">
        <v>477</v>
      </c>
      <c r="C157" s="7" t="s">
        <v>718</v>
      </c>
      <c r="D157" s="295" t="s">
        <v>878</v>
      </c>
      <c r="E157" s="315">
        <v>99937188.560000002</v>
      </c>
      <c r="F157" s="256">
        <v>44004201.490000002</v>
      </c>
      <c r="G157" s="255">
        <v>40664744.850000001</v>
      </c>
      <c r="H157" s="255">
        <v>218079.28</v>
      </c>
      <c r="I157" s="254">
        <v>15050162.939999999</v>
      </c>
      <c r="K157" s="250"/>
    </row>
    <row r="158" spans="1:11" ht="15" customHeight="1">
      <c r="A158" s="7" t="s">
        <v>116</v>
      </c>
      <c r="B158" s="7" t="s">
        <v>785</v>
      </c>
      <c r="C158" s="7" t="s">
        <v>718</v>
      </c>
      <c r="D158" s="295" t="s">
        <v>878</v>
      </c>
      <c r="E158" s="315">
        <v>24589468.259999998</v>
      </c>
      <c r="F158" s="256">
        <v>12664437.519999998</v>
      </c>
      <c r="G158" s="255">
        <v>7897074.9399999995</v>
      </c>
      <c r="H158" s="255">
        <v>74282.64</v>
      </c>
      <c r="I158" s="254">
        <v>3953673.16</v>
      </c>
      <c r="K158" s="250"/>
    </row>
    <row r="159" spans="1:11" ht="15" customHeight="1">
      <c r="A159" s="7" t="s">
        <v>117</v>
      </c>
      <c r="B159" s="7" t="s">
        <v>786</v>
      </c>
      <c r="C159" s="7" t="s">
        <v>718</v>
      </c>
      <c r="D159" s="295" t="s">
        <v>876</v>
      </c>
      <c r="E159" s="315">
        <v>43415902.909999996</v>
      </c>
      <c r="F159" s="256">
        <v>21117777.370000001</v>
      </c>
      <c r="G159" s="255">
        <v>15392534.32</v>
      </c>
      <c r="H159" s="255">
        <v>261518.65</v>
      </c>
      <c r="I159" s="254">
        <v>6644072.5699999994</v>
      </c>
      <c r="K159" s="250"/>
    </row>
    <row r="160" spans="1:11" ht="15" customHeight="1">
      <c r="A160" s="7" t="s">
        <v>105</v>
      </c>
      <c r="B160" s="7" t="s">
        <v>478</v>
      </c>
      <c r="C160" s="7" t="s">
        <v>718</v>
      </c>
      <c r="D160" s="295" t="s">
        <v>874</v>
      </c>
      <c r="E160" s="315">
        <v>52409413.649999999</v>
      </c>
      <c r="F160" s="256">
        <v>24758238.199999999</v>
      </c>
      <c r="G160" s="255">
        <v>19347682.710000001</v>
      </c>
      <c r="H160" s="255">
        <v>51018.570000000007</v>
      </c>
      <c r="I160" s="254">
        <v>8252474.169999999</v>
      </c>
      <c r="K160" s="250"/>
    </row>
    <row r="161" spans="1:11" ht="15" customHeight="1">
      <c r="A161" s="7" t="s">
        <v>100</v>
      </c>
      <c r="B161" s="7" t="s">
        <v>787</v>
      </c>
      <c r="C161" s="7" t="s">
        <v>718</v>
      </c>
      <c r="D161" s="295" t="s">
        <v>874</v>
      </c>
      <c r="E161" s="315">
        <v>103116957.21000001</v>
      </c>
      <c r="F161" s="256">
        <v>49502636.460000001</v>
      </c>
      <c r="G161" s="255">
        <v>36892824.610000007</v>
      </c>
      <c r="H161" s="255">
        <v>298725.28999999998</v>
      </c>
      <c r="I161" s="254">
        <v>16422770.850000001</v>
      </c>
      <c r="K161" s="250"/>
    </row>
    <row r="162" spans="1:11" ht="15" customHeight="1">
      <c r="A162" s="7" t="s">
        <v>106</v>
      </c>
      <c r="B162" s="7" t="s">
        <v>479</v>
      </c>
      <c r="C162" s="7" t="s">
        <v>718</v>
      </c>
      <c r="D162" s="295" t="s">
        <v>883</v>
      </c>
      <c r="E162" s="315">
        <v>75182503.769999996</v>
      </c>
      <c r="F162" s="256">
        <v>34959881.290000007</v>
      </c>
      <c r="G162" s="255">
        <v>28448118.179999996</v>
      </c>
      <c r="H162" s="255">
        <v>284660.41000000003</v>
      </c>
      <c r="I162" s="254">
        <v>11489843.889999999</v>
      </c>
      <c r="K162" s="250"/>
    </row>
    <row r="163" spans="1:11" ht="15" customHeight="1">
      <c r="A163" s="7" t="s">
        <v>107</v>
      </c>
      <c r="B163" s="7" t="s">
        <v>480</v>
      </c>
      <c r="C163" s="7" t="s">
        <v>718</v>
      </c>
      <c r="D163" s="295" t="s">
        <v>882</v>
      </c>
      <c r="E163" s="315">
        <v>138955193.16000003</v>
      </c>
      <c r="F163" s="256">
        <v>58771655.230000012</v>
      </c>
      <c r="G163" s="255">
        <v>59246908.860000007</v>
      </c>
      <c r="H163" s="255">
        <v>663676.79</v>
      </c>
      <c r="I163" s="254">
        <v>20272952.280000001</v>
      </c>
      <c r="K163" s="250"/>
    </row>
    <row r="164" spans="1:11" ht="15" customHeight="1">
      <c r="A164" s="7" t="s">
        <v>108</v>
      </c>
      <c r="B164" s="7" t="s">
        <v>481</v>
      </c>
      <c r="C164" s="7" t="s">
        <v>718</v>
      </c>
      <c r="D164" s="295" t="s">
        <v>879</v>
      </c>
      <c r="E164" s="315">
        <v>49608022.75</v>
      </c>
      <c r="F164" s="256">
        <v>24468680.760000002</v>
      </c>
      <c r="G164" s="255">
        <v>17121908.219999999</v>
      </c>
      <c r="H164" s="255">
        <v>226823.08</v>
      </c>
      <c r="I164" s="254">
        <v>7790610.6899999985</v>
      </c>
      <c r="K164" s="250"/>
    </row>
    <row r="165" spans="1:11" ht="15" customHeight="1">
      <c r="A165" s="7" t="s">
        <v>109</v>
      </c>
      <c r="B165" s="7" t="s">
        <v>482</v>
      </c>
      <c r="C165" s="7" t="s">
        <v>718</v>
      </c>
      <c r="D165" s="295" t="s">
        <v>878</v>
      </c>
      <c r="E165" s="315">
        <v>49485897.990000002</v>
      </c>
      <c r="F165" s="256">
        <v>22833910.170000006</v>
      </c>
      <c r="G165" s="255">
        <v>18859858.140000001</v>
      </c>
      <c r="H165" s="255">
        <v>208743.43</v>
      </c>
      <c r="I165" s="254">
        <v>7583386.25</v>
      </c>
      <c r="K165" s="250"/>
    </row>
    <row r="166" spans="1:11" ht="15" customHeight="1">
      <c r="A166" s="7" t="s">
        <v>110</v>
      </c>
      <c r="B166" s="7" t="s">
        <v>483</v>
      </c>
      <c r="C166" s="7" t="s">
        <v>718</v>
      </c>
      <c r="D166" s="295" t="s">
        <v>878</v>
      </c>
      <c r="E166" s="315">
        <v>44113078.659999996</v>
      </c>
      <c r="F166" s="256">
        <v>20724969.579999998</v>
      </c>
      <c r="G166" s="255">
        <v>16190601.080000002</v>
      </c>
      <c r="H166" s="255">
        <v>110570.49</v>
      </c>
      <c r="I166" s="254">
        <v>7086937.5099999998</v>
      </c>
      <c r="K166" s="250"/>
    </row>
    <row r="167" spans="1:11" ht="15" customHeight="1">
      <c r="A167" s="7" t="s">
        <v>122</v>
      </c>
      <c r="B167" s="7" t="s">
        <v>788</v>
      </c>
      <c r="C167" s="7" t="s">
        <v>718</v>
      </c>
      <c r="D167" s="295" t="s">
        <v>882</v>
      </c>
      <c r="E167" s="315">
        <v>89981521.790000007</v>
      </c>
      <c r="F167" s="256">
        <v>42418997.070000008</v>
      </c>
      <c r="G167" s="255">
        <v>33694885.800000004</v>
      </c>
      <c r="H167" s="255">
        <v>481294.31000000006</v>
      </c>
      <c r="I167" s="254">
        <v>13386344.610000001</v>
      </c>
      <c r="K167" s="250"/>
    </row>
    <row r="168" spans="1:11" ht="15" customHeight="1">
      <c r="A168" s="7" t="s">
        <v>123</v>
      </c>
      <c r="B168" s="7" t="s">
        <v>789</v>
      </c>
      <c r="C168" s="7" t="s">
        <v>718</v>
      </c>
      <c r="D168" s="295" t="s">
        <v>878</v>
      </c>
      <c r="E168" s="315">
        <v>40106338.32</v>
      </c>
      <c r="F168" s="256">
        <v>19283132.110000003</v>
      </c>
      <c r="G168" s="255">
        <v>14441664.530000001</v>
      </c>
      <c r="H168" s="255">
        <v>168914.38</v>
      </c>
      <c r="I168" s="254">
        <v>6212627.2999999998</v>
      </c>
      <c r="K168" s="250"/>
    </row>
    <row r="169" spans="1:11" ht="15" customHeight="1">
      <c r="A169" s="7" t="s">
        <v>111</v>
      </c>
      <c r="B169" s="7" t="s">
        <v>484</v>
      </c>
      <c r="C169" s="7" t="s">
        <v>718</v>
      </c>
      <c r="D169" s="295" t="s">
        <v>882</v>
      </c>
      <c r="E169" s="315">
        <v>132799996.61</v>
      </c>
      <c r="F169" s="256">
        <v>58570250.889999993</v>
      </c>
      <c r="G169" s="255">
        <v>54040477.950000003</v>
      </c>
      <c r="H169" s="255">
        <v>749033.64</v>
      </c>
      <c r="I169" s="254">
        <v>19440234.129999999</v>
      </c>
      <c r="K169" s="250"/>
    </row>
    <row r="170" spans="1:11" ht="15" customHeight="1">
      <c r="A170" s="7" t="s">
        <v>112</v>
      </c>
      <c r="B170" s="7" t="s">
        <v>485</v>
      </c>
      <c r="C170" s="7" t="s">
        <v>718</v>
      </c>
      <c r="D170" s="295" t="s">
        <v>876</v>
      </c>
      <c r="E170" s="315">
        <v>97499237.359999999</v>
      </c>
      <c r="F170" s="256">
        <v>47026243.039999992</v>
      </c>
      <c r="G170" s="255">
        <v>34726994.649999999</v>
      </c>
      <c r="H170" s="255">
        <v>422825.59</v>
      </c>
      <c r="I170" s="254">
        <v>15323174.08</v>
      </c>
      <c r="K170" s="250"/>
    </row>
    <row r="171" spans="1:11" ht="15" customHeight="1">
      <c r="A171" s="7" t="s">
        <v>113</v>
      </c>
      <c r="B171" s="7" t="s">
        <v>486</v>
      </c>
      <c r="C171" s="7" t="s">
        <v>718</v>
      </c>
      <c r="D171" s="295" t="s">
        <v>879</v>
      </c>
      <c r="E171" s="315">
        <v>121461149.64999999</v>
      </c>
      <c r="F171" s="256">
        <v>55381982.319999993</v>
      </c>
      <c r="G171" s="255">
        <v>47164406.549999997</v>
      </c>
      <c r="H171" s="255">
        <v>552913.5</v>
      </c>
      <c r="I171" s="254">
        <v>18361847.280000001</v>
      </c>
      <c r="K171" s="250"/>
    </row>
    <row r="172" spans="1:11" ht="15" customHeight="1">
      <c r="A172" s="7" t="s">
        <v>114</v>
      </c>
      <c r="B172" s="7" t="s">
        <v>487</v>
      </c>
      <c r="C172" s="7" t="s">
        <v>718</v>
      </c>
      <c r="D172" s="295" t="s">
        <v>878</v>
      </c>
      <c r="E172" s="315">
        <v>90222954.850000024</v>
      </c>
      <c r="F172" s="256">
        <v>44507066.530000001</v>
      </c>
      <c r="G172" s="255">
        <v>31155769.100000005</v>
      </c>
      <c r="H172" s="255">
        <v>388926.37</v>
      </c>
      <c r="I172" s="254">
        <v>14171192.850000001</v>
      </c>
      <c r="K172" s="250"/>
    </row>
    <row r="173" spans="1:11" ht="15" customHeight="1">
      <c r="A173" s="7" t="s">
        <v>115</v>
      </c>
      <c r="B173" s="7" t="s">
        <v>488</v>
      </c>
      <c r="C173" s="7" t="s">
        <v>718</v>
      </c>
      <c r="D173" s="295" t="s">
        <v>878</v>
      </c>
      <c r="E173" s="315">
        <v>48135234.299999997</v>
      </c>
      <c r="F173" s="256">
        <v>23558821.529999997</v>
      </c>
      <c r="G173" s="255">
        <v>16720798.309999999</v>
      </c>
      <c r="H173" s="255">
        <v>106433.43000000001</v>
      </c>
      <c r="I173" s="254">
        <v>7749181.0300000003</v>
      </c>
      <c r="K173" s="250"/>
    </row>
    <row r="174" spans="1:11" ht="15" customHeight="1">
      <c r="A174" s="7" t="s">
        <v>118</v>
      </c>
      <c r="B174" s="7" t="s">
        <v>489</v>
      </c>
      <c r="C174" s="7" t="s">
        <v>718</v>
      </c>
      <c r="D174" s="295" t="s">
        <v>874</v>
      </c>
      <c r="E174" s="315">
        <v>48896116.929999992</v>
      </c>
      <c r="F174" s="256">
        <v>23296217.819999997</v>
      </c>
      <c r="G174" s="255">
        <v>17575068.16</v>
      </c>
      <c r="H174" s="255">
        <v>194958.3</v>
      </c>
      <c r="I174" s="254">
        <v>7829872.6499999994</v>
      </c>
      <c r="K174" s="250"/>
    </row>
    <row r="175" spans="1:11" ht="15" customHeight="1">
      <c r="A175" s="7" t="s">
        <v>119</v>
      </c>
      <c r="B175" s="7" t="s">
        <v>490</v>
      </c>
      <c r="C175" s="7" t="s">
        <v>718</v>
      </c>
      <c r="D175" s="295" t="s">
        <v>876</v>
      </c>
      <c r="E175" s="315">
        <v>65571411.109999999</v>
      </c>
      <c r="F175" s="256">
        <v>31540936.549999997</v>
      </c>
      <c r="G175" s="255">
        <v>23283357.920000006</v>
      </c>
      <c r="H175" s="255">
        <v>379200.27</v>
      </c>
      <c r="I175" s="254">
        <v>10367916.370000001</v>
      </c>
      <c r="K175" s="250"/>
    </row>
    <row r="176" spans="1:11" ht="15" customHeight="1">
      <c r="A176" s="7" t="s">
        <v>120</v>
      </c>
      <c r="B176" s="7" t="s">
        <v>491</v>
      </c>
      <c r="C176" s="7" t="s">
        <v>718</v>
      </c>
      <c r="D176" s="295" t="s">
        <v>879</v>
      </c>
      <c r="E176" s="315">
        <v>50895689.659999996</v>
      </c>
      <c r="F176" s="256">
        <v>24658370.939999998</v>
      </c>
      <c r="G176" s="255">
        <v>18065893.059999999</v>
      </c>
      <c r="H176" s="255">
        <v>67218.5</v>
      </c>
      <c r="I176" s="254">
        <v>8104207.1600000001</v>
      </c>
      <c r="K176" s="250"/>
    </row>
    <row r="177" spans="1:11" ht="15" customHeight="1">
      <c r="A177" s="7" t="s">
        <v>121</v>
      </c>
      <c r="B177" s="7" t="s">
        <v>492</v>
      </c>
      <c r="C177" s="7" t="s">
        <v>718</v>
      </c>
      <c r="D177" s="295" t="s">
        <v>878</v>
      </c>
      <c r="E177" s="315">
        <v>86259126.5</v>
      </c>
      <c r="F177" s="256">
        <v>42034308.030000001</v>
      </c>
      <c r="G177" s="255">
        <v>30349665.219999999</v>
      </c>
      <c r="H177" s="255">
        <v>388524.36000000004</v>
      </c>
      <c r="I177" s="254">
        <v>13486628.889999999</v>
      </c>
      <c r="K177" s="250"/>
    </row>
    <row r="178" spans="1:11" ht="15" customHeight="1">
      <c r="A178" s="7" t="s">
        <v>104</v>
      </c>
      <c r="B178" s="7" t="s">
        <v>790</v>
      </c>
      <c r="C178" s="7" t="s">
        <v>718</v>
      </c>
      <c r="D178" s="295" t="s">
        <v>878</v>
      </c>
      <c r="E178" s="315">
        <v>72995663.219999999</v>
      </c>
      <c r="F178" s="256">
        <v>35339757.839999996</v>
      </c>
      <c r="G178" s="255">
        <v>25717197.460000001</v>
      </c>
      <c r="H178" s="255">
        <v>469405.43999999994</v>
      </c>
      <c r="I178" s="254">
        <v>11469302.48</v>
      </c>
      <c r="K178" s="250"/>
    </row>
    <row r="179" spans="1:11" ht="15" customHeight="1">
      <c r="A179" s="7" t="s">
        <v>124</v>
      </c>
      <c r="B179" s="7" t="s">
        <v>493</v>
      </c>
      <c r="C179" s="7" t="s">
        <v>720</v>
      </c>
      <c r="D179" s="295" t="s">
        <v>879</v>
      </c>
      <c r="E179" s="315">
        <v>126808036.84999999</v>
      </c>
      <c r="F179" s="256">
        <v>63291201.950000003</v>
      </c>
      <c r="G179" s="255">
        <v>42859218.989999995</v>
      </c>
      <c r="H179" s="255">
        <v>512357.28</v>
      </c>
      <c r="I179" s="254">
        <v>20145258.629999999</v>
      </c>
      <c r="K179" s="250"/>
    </row>
    <row r="180" spans="1:11" ht="15" customHeight="1">
      <c r="A180" s="7" t="s">
        <v>125</v>
      </c>
      <c r="B180" s="7" t="s">
        <v>494</v>
      </c>
      <c r="C180" s="7" t="s">
        <v>720</v>
      </c>
      <c r="D180" s="295" t="s">
        <v>882</v>
      </c>
      <c r="E180" s="315">
        <v>403321002.94999999</v>
      </c>
      <c r="F180" s="256">
        <v>192863888.56999999</v>
      </c>
      <c r="G180" s="255">
        <v>147979778.06</v>
      </c>
      <c r="H180" s="255">
        <v>1176364.8</v>
      </c>
      <c r="I180" s="254">
        <v>61300971.519999996</v>
      </c>
      <c r="K180" s="250"/>
    </row>
    <row r="181" spans="1:11" ht="15" customHeight="1">
      <c r="A181" s="7" t="s">
        <v>142</v>
      </c>
      <c r="B181" s="7" t="s">
        <v>792</v>
      </c>
      <c r="C181" s="7" t="s">
        <v>720</v>
      </c>
      <c r="D181" s="295" t="s">
        <v>879</v>
      </c>
      <c r="E181" s="315">
        <v>173113402.61999997</v>
      </c>
      <c r="F181" s="256">
        <v>86802977.109999985</v>
      </c>
      <c r="G181" s="255">
        <v>58352350.400000006</v>
      </c>
      <c r="H181" s="255">
        <v>930164.66999999993</v>
      </c>
      <c r="I181" s="254">
        <v>27027910.439999994</v>
      </c>
      <c r="K181" s="250"/>
    </row>
    <row r="182" spans="1:11" ht="15" customHeight="1">
      <c r="A182" s="7" t="s">
        <v>127</v>
      </c>
      <c r="B182" s="7" t="s">
        <v>495</v>
      </c>
      <c r="C182" s="7" t="s">
        <v>720</v>
      </c>
      <c r="D182" s="295" t="s">
        <v>880</v>
      </c>
      <c r="E182" s="315">
        <v>135439556.28</v>
      </c>
      <c r="F182" s="256">
        <v>61449624.060000002</v>
      </c>
      <c r="G182" s="255">
        <v>52882067.559999995</v>
      </c>
      <c r="H182" s="255">
        <v>624921.5</v>
      </c>
      <c r="I182" s="254">
        <v>20482943.16</v>
      </c>
      <c r="K182" s="250"/>
    </row>
    <row r="183" spans="1:11" ht="15" customHeight="1">
      <c r="A183" s="7" t="s">
        <v>128</v>
      </c>
      <c r="B183" s="7" t="s">
        <v>496</v>
      </c>
      <c r="C183" s="7" t="s">
        <v>720</v>
      </c>
      <c r="D183" s="295" t="s">
        <v>879</v>
      </c>
      <c r="E183" s="315">
        <v>124120883.94999999</v>
      </c>
      <c r="F183" s="256">
        <v>62455363.909999996</v>
      </c>
      <c r="G183" s="255">
        <v>41747118.829999998</v>
      </c>
      <c r="H183" s="255">
        <v>614815.69000000006</v>
      </c>
      <c r="I183" s="254">
        <v>19303585.52</v>
      </c>
      <c r="K183" s="250"/>
    </row>
    <row r="184" spans="1:11" ht="15" customHeight="1">
      <c r="A184" s="7" t="s">
        <v>129</v>
      </c>
      <c r="B184" s="7" t="s">
        <v>497</v>
      </c>
      <c r="C184" s="7" t="s">
        <v>720</v>
      </c>
      <c r="D184" s="295" t="s">
        <v>879</v>
      </c>
      <c r="E184" s="315">
        <v>156391008.61000001</v>
      </c>
      <c r="F184" s="256">
        <v>70969942.25999999</v>
      </c>
      <c r="G184" s="255">
        <v>61572358.920000009</v>
      </c>
      <c r="H184" s="255">
        <v>532913.56000000006</v>
      </c>
      <c r="I184" s="254">
        <v>23315793.869999997</v>
      </c>
      <c r="K184" s="250"/>
    </row>
    <row r="185" spans="1:11" ht="15" customHeight="1">
      <c r="A185" s="7" t="s">
        <v>130</v>
      </c>
      <c r="B185" s="7" t="s">
        <v>498</v>
      </c>
      <c r="C185" s="7" t="s">
        <v>720</v>
      </c>
      <c r="D185" s="295" t="s">
        <v>882</v>
      </c>
      <c r="E185" s="315">
        <v>288752068.74000001</v>
      </c>
      <c r="F185" s="256">
        <v>132721417.83999997</v>
      </c>
      <c r="G185" s="255">
        <v>110468964.23</v>
      </c>
      <c r="H185" s="255">
        <v>2108751.87</v>
      </c>
      <c r="I185" s="254">
        <v>43452934.799999997</v>
      </c>
      <c r="K185" s="250"/>
    </row>
    <row r="186" spans="1:11" ht="15" customHeight="1">
      <c r="A186" s="7" t="s">
        <v>131</v>
      </c>
      <c r="B186" s="7" t="s">
        <v>793</v>
      </c>
      <c r="C186" s="7" t="s">
        <v>720</v>
      </c>
      <c r="D186" s="295" t="s">
        <v>879</v>
      </c>
      <c r="E186" s="315">
        <v>155867923.41</v>
      </c>
      <c r="F186" s="256">
        <v>75279783.870000005</v>
      </c>
      <c r="G186" s="255">
        <v>55943586.060000002</v>
      </c>
      <c r="H186" s="255">
        <v>188629.11000000002</v>
      </c>
      <c r="I186" s="254">
        <v>24455924.370000001</v>
      </c>
      <c r="K186" s="250"/>
    </row>
    <row r="187" spans="1:11" ht="15" customHeight="1">
      <c r="A187" s="7" t="s">
        <v>132</v>
      </c>
      <c r="B187" s="7" t="s">
        <v>499</v>
      </c>
      <c r="C187" s="7" t="s">
        <v>720</v>
      </c>
      <c r="D187" s="295" t="s">
        <v>883</v>
      </c>
      <c r="E187" s="315">
        <v>340063737.38999999</v>
      </c>
      <c r="F187" s="256">
        <v>159982247.86999997</v>
      </c>
      <c r="G187" s="255">
        <v>126414299.41000001</v>
      </c>
      <c r="H187" s="255">
        <v>1670235.64</v>
      </c>
      <c r="I187" s="254">
        <v>51996954.469999999</v>
      </c>
      <c r="K187" s="250"/>
    </row>
    <row r="188" spans="1:11" ht="15" customHeight="1">
      <c r="A188" s="7" t="s">
        <v>133</v>
      </c>
      <c r="B188" s="7" t="s">
        <v>500</v>
      </c>
      <c r="C188" s="7" t="s">
        <v>720</v>
      </c>
      <c r="D188" s="295" t="s">
        <v>883</v>
      </c>
      <c r="E188" s="315">
        <v>187826888.44</v>
      </c>
      <c r="F188" s="256">
        <v>88905471.640000001</v>
      </c>
      <c r="G188" s="255">
        <v>69214500.560000002</v>
      </c>
      <c r="H188" s="255">
        <v>892405.87</v>
      </c>
      <c r="I188" s="254">
        <v>28814510.370000001</v>
      </c>
      <c r="K188" s="250"/>
    </row>
    <row r="189" spans="1:11" ht="15" customHeight="1">
      <c r="A189" s="7" t="s">
        <v>134</v>
      </c>
      <c r="B189" s="7" t="s">
        <v>501</v>
      </c>
      <c r="C189" s="7" t="s">
        <v>720</v>
      </c>
      <c r="D189" s="295" t="s">
        <v>880</v>
      </c>
      <c r="E189" s="315">
        <v>235888050.66999999</v>
      </c>
      <c r="F189" s="256">
        <v>106974390.13999999</v>
      </c>
      <c r="G189" s="255">
        <v>92143895.379999995</v>
      </c>
      <c r="H189" s="255">
        <v>742885</v>
      </c>
      <c r="I189" s="254">
        <v>36026880.149999999</v>
      </c>
      <c r="K189" s="250"/>
    </row>
    <row r="190" spans="1:11" ht="15" customHeight="1">
      <c r="A190" s="7" t="s">
        <v>135</v>
      </c>
      <c r="B190" s="7" t="s">
        <v>502</v>
      </c>
      <c r="C190" s="7" t="s">
        <v>720</v>
      </c>
      <c r="D190" s="295" t="s">
        <v>879</v>
      </c>
      <c r="E190" s="315">
        <v>298201887.79000002</v>
      </c>
      <c r="F190" s="256">
        <v>138028609.12</v>
      </c>
      <c r="G190" s="255">
        <v>113715452.42</v>
      </c>
      <c r="H190" s="255">
        <v>1478254.75</v>
      </c>
      <c r="I190" s="254">
        <v>44979571.500000007</v>
      </c>
      <c r="K190" s="250"/>
    </row>
    <row r="191" spans="1:11" ht="15" customHeight="1">
      <c r="A191" s="7" t="s">
        <v>136</v>
      </c>
      <c r="B191" s="7" t="s">
        <v>503</v>
      </c>
      <c r="C191" s="7" t="s">
        <v>720</v>
      </c>
      <c r="D191" s="295" t="s">
        <v>879</v>
      </c>
      <c r="E191" s="315">
        <v>270916733.21999997</v>
      </c>
      <c r="F191" s="256">
        <v>127552043.30000001</v>
      </c>
      <c r="G191" s="255">
        <v>101482129.72999999</v>
      </c>
      <c r="H191" s="255">
        <v>857567.04</v>
      </c>
      <c r="I191" s="254">
        <v>41024993.149999991</v>
      </c>
      <c r="K191" s="250"/>
    </row>
    <row r="192" spans="1:11" ht="15" customHeight="1">
      <c r="A192" s="7" t="s">
        <v>137</v>
      </c>
      <c r="B192" s="7" t="s">
        <v>504</v>
      </c>
      <c r="C192" s="7" t="s">
        <v>720</v>
      </c>
      <c r="D192" s="295" t="s">
        <v>879</v>
      </c>
      <c r="E192" s="315">
        <v>88592373.859999985</v>
      </c>
      <c r="F192" s="256">
        <v>43715039.409999996</v>
      </c>
      <c r="G192" s="255">
        <v>30720576.129999999</v>
      </c>
      <c r="H192" s="255">
        <v>529417.69000000006</v>
      </c>
      <c r="I192" s="254">
        <v>13627340.630000001</v>
      </c>
      <c r="K192" s="250"/>
    </row>
    <row r="193" spans="1:11" ht="15" customHeight="1">
      <c r="A193" s="7" t="s">
        <v>138</v>
      </c>
      <c r="B193" s="7" t="s">
        <v>505</v>
      </c>
      <c r="C193" s="7" t="s">
        <v>720</v>
      </c>
      <c r="D193" s="295" t="s">
        <v>879</v>
      </c>
      <c r="E193" s="315">
        <v>135355140.73000002</v>
      </c>
      <c r="F193" s="256">
        <v>66837261.310000002</v>
      </c>
      <c r="G193" s="255">
        <v>46122883.820000008</v>
      </c>
      <c r="H193" s="255">
        <v>860428.99</v>
      </c>
      <c r="I193" s="254">
        <v>21534566.609999999</v>
      </c>
      <c r="K193" s="250"/>
    </row>
    <row r="194" spans="1:11" ht="15" customHeight="1">
      <c r="A194" s="7" t="s">
        <v>139</v>
      </c>
      <c r="B194" s="7" t="s">
        <v>506</v>
      </c>
      <c r="C194" s="7" t="s">
        <v>720</v>
      </c>
      <c r="D194" s="295" t="s">
        <v>878</v>
      </c>
      <c r="E194" s="315">
        <v>82391468.540000007</v>
      </c>
      <c r="F194" s="256">
        <v>40901632.450000003</v>
      </c>
      <c r="G194" s="255">
        <v>28150226.050000004</v>
      </c>
      <c r="H194" s="255">
        <v>487227.55999999988</v>
      </c>
      <c r="I194" s="254">
        <v>12852382.479999999</v>
      </c>
      <c r="K194" s="250"/>
    </row>
    <row r="195" spans="1:11" ht="15" customHeight="1">
      <c r="A195" s="7" t="s">
        <v>140</v>
      </c>
      <c r="B195" s="7" t="s">
        <v>794</v>
      </c>
      <c r="C195" s="7" t="s">
        <v>720</v>
      </c>
      <c r="D195" s="295" t="s">
        <v>879</v>
      </c>
      <c r="E195" s="315">
        <v>189996884.37</v>
      </c>
      <c r="F195" s="256">
        <v>93504810.379999995</v>
      </c>
      <c r="G195" s="255">
        <v>65957099.850000001</v>
      </c>
      <c r="H195" s="255">
        <v>290687.31000000006</v>
      </c>
      <c r="I195" s="254">
        <v>30244286.829999998</v>
      </c>
      <c r="K195" s="250"/>
    </row>
    <row r="196" spans="1:11" ht="15" customHeight="1">
      <c r="A196" s="7" t="s">
        <v>141</v>
      </c>
      <c r="B196" s="7" t="s">
        <v>507</v>
      </c>
      <c r="C196" s="7" t="s">
        <v>720</v>
      </c>
      <c r="D196" s="295" t="s">
        <v>883</v>
      </c>
      <c r="E196" s="315">
        <v>781774741.37000012</v>
      </c>
      <c r="F196" s="256">
        <v>354075002.55000001</v>
      </c>
      <c r="G196" s="255">
        <v>309238041.13999999</v>
      </c>
      <c r="H196" s="255">
        <v>5490335.8799999999</v>
      </c>
      <c r="I196" s="254">
        <v>112971361.80000001</v>
      </c>
      <c r="K196" s="250"/>
    </row>
    <row r="197" spans="1:11" ht="15" customHeight="1">
      <c r="A197" s="7" t="s">
        <v>143</v>
      </c>
      <c r="B197" s="7" t="s">
        <v>508</v>
      </c>
      <c r="C197" s="7" t="s">
        <v>720</v>
      </c>
      <c r="D197" s="295" t="s">
        <v>882</v>
      </c>
      <c r="E197" s="315">
        <v>457904116.91999996</v>
      </c>
      <c r="F197" s="256">
        <v>208970658.30999997</v>
      </c>
      <c r="G197" s="255">
        <v>179085666.41999999</v>
      </c>
      <c r="H197" s="255">
        <v>2159573.35</v>
      </c>
      <c r="I197" s="254">
        <v>67688218.840000004</v>
      </c>
      <c r="K197" s="250"/>
    </row>
    <row r="198" spans="1:11" ht="15" customHeight="1">
      <c r="A198" s="7" t="s">
        <v>145</v>
      </c>
      <c r="B198" s="7" t="s">
        <v>509</v>
      </c>
      <c r="C198" s="7" t="s">
        <v>720</v>
      </c>
      <c r="D198" s="295" t="s">
        <v>883</v>
      </c>
      <c r="E198" s="315">
        <v>588065776.30000007</v>
      </c>
      <c r="F198" s="256">
        <v>292775549.66000003</v>
      </c>
      <c r="G198" s="255">
        <v>203920404.38</v>
      </c>
      <c r="H198" s="255">
        <v>565249.56000000006</v>
      </c>
      <c r="I198" s="254">
        <v>90804572.700000003</v>
      </c>
      <c r="K198" s="250"/>
    </row>
    <row r="199" spans="1:11" ht="15" customHeight="1">
      <c r="A199" s="7" t="s">
        <v>146</v>
      </c>
      <c r="B199" s="7" t="s">
        <v>795</v>
      </c>
      <c r="C199" s="7" t="s">
        <v>720</v>
      </c>
      <c r="D199" s="295" t="s">
        <v>883</v>
      </c>
      <c r="E199" s="315">
        <v>730557042.74000001</v>
      </c>
      <c r="F199" s="256">
        <v>346495013.36000001</v>
      </c>
      <c r="G199" s="255">
        <v>277078450.75</v>
      </c>
      <c r="H199" s="255">
        <v>4635932.4300000006</v>
      </c>
      <c r="I199" s="254">
        <v>102347646.20000002</v>
      </c>
      <c r="K199" s="250"/>
    </row>
    <row r="200" spans="1:11" ht="15" customHeight="1">
      <c r="A200" s="7" t="s">
        <v>147</v>
      </c>
      <c r="B200" s="7" t="s">
        <v>510</v>
      </c>
      <c r="C200" s="7" t="s">
        <v>720</v>
      </c>
      <c r="D200" s="295" t="s">
        <v>883</v>
      </c>
      <c r="E200" s="315">
        <v>408048338.50999999</v>
      </c>
      <c r="F200" s="256">
        <v>200030110.31999999</v>
      </c>
      <c r="G200" s="255">
        <v>142197249.75999999</v>
      </c>
      <c r="H200" s="255">
        <v>3219388.8499999996</v>
      </c>
      <c r="I200" s="254">
        <v>62601589.580000006</v>
      </c>
      <c r="K200" s="250"/>
    </row>
    <row r="201" spans="1:11" ht="15" customHeight="1">
      <c r="A201" s="7" t="s">
        <v>148</v>
      </c>
      <c r="B201" s="7" t="s">
        <v>511</v>
      </c>
      <c r="C201" s="7" t="s">
        <v>720</v>
      </c>
      <c r="D201" s="295" t="s">
        <v>883</v>
      </c>
      <c r="E201" s="315">
        <v>90078631.730000004</v>
      </c>
      <c r="F201" s="256">
        <v>44441997.109999992</v>
      </c>
      <c r="G201" s="255">
        <v>31340423.359999999</v>
      </c>
      <c r="H201" s="255">
        <v>502748.95</v>
      </c>
      <c r="I201" s="254">
        <v>13793462.309999999</v>
      </c>
      <c r="K201" s="250"/>
    </row>
    <row r="202" spans="1:11" ht="15" customHeight="1">
      <c r="A202" s="7" t="s">
        <v>149</v>
      </c>
      <c r="B202" s="7" t="s">
        <v>512</v>
      </c>
      <c r="C202" s="7" t="s">
        <v>720</v>
      </c>
      <c r="D202" s="295" t="s">
        <v>879</v>
      </c>
      <c r="E202" s="315">
        <v>230327615.56999999</v>
      </c>
      <c r="F202" s="256">
        <v>110012229.41000001</v>
      </c>
      <c r="G202" s="255">
        <v>84116920.75999999</v>
      </c>
      <c r="H202" s="255">
        <v>1771799.2899999998</v>
      </c>
      <c r="I202" s="254">
        <v>34426666.109999999</v>
      </c>
      <c r="K202" s="250"/>
    </row>
    <row r="203" spans="1:11" ht="15" customHeight="1">
      <c r="A203" s="7" t="s">
        <v>150</v>
      </c>
      <c r="B203" s="7" t="s">
        <v>513</v>
      </c>
      <c r="C203" s="7" t="s">
        <v>720</v>
      </c>
      <c r="D203" s="295" t="s">
        <v>883</v>
      </c>
      <c r="E203" s="315">
        <v>206130473.19999999</v>
      </c>
      <c r="F203" s="256">
        <v>102679345.91</v>
      </c>
      <c r="G203" s="255">
        <v>70144295.789999992</v>
      </c>
      <c r="H203" s="255">
        <v>975096.19000000006</v>
      </c>
      <c r="I203" s="254">
        <v>32331735.310000002</v>
      </c>
      <c r="K203" s="250"/>
    </row>
    <row r="204" spans="1:11" ht="15" customHeight="1">
      <c r="A204" s="7" t="s">
        <v>151</v>
      </c>
      <c r="B204" s="7" t="s">
        <v>514</v>
      </c>
      <c r="C204" s="7" t="s">
        <v>720</v>
      </c>
      <c r="D204" s="295" t="s">
        <v>883</v>
      </c>
      <c r="E204" s="315">
        <v>143069602.99000001</v>
      </c>
      <c r="F204" s="256">
        <v>69502345.349999994</v>
      </c>
      <c r="G204" s="255">
        <v>50314662.170000002</v>
      </c>
      <c r="H204" s="255">
        <v>259973.4</v>
      </c>
      <c r="I204" s="254">
        <v>22992622.07</v>
      </c>
      <c r="K204" s="250"/>
    </row>
    <row r="205" spans="1:11" ht="15" customHeight="1">
      <c r="A205" s="7" t="s">
        <v>152</v>
      </c>
      <c r="B205" s="7" t="s">
        <v>515</v>
      </c>
      <c r="C205" s="7" t="s">
        <v>720</v>
      </c>
      <c r="D205" s="295" t="s">
        <v>883</v>
      </c>
      <c r="E205" s="315">
        <v>272942282.57999998</v>
      </c>
      <c r="F205" s="256">
        <v>133064137.98999999</v>
      </c>
      <c r="G205" s="255">
        <v>96159737.910000011</v>
      </c>
      <c r="H205" s="255">
        <v>1445215.14</v>
      </c>
      <c r="I205" s="254">
        <v>42273191.539999999</v>
      </c>
      <c r="K205" s="250"/>
    </row>
    <row r="206" spans="1:11" ht="15" customHeight="1">
      <c r="A206" s="7" t="s">
        <v>153</v>
      </c>
      <c r="B206" s="7" t="s">
        <v>516</v>
      </c>
      <c r="C206" s="7" t="s">
        <v>720</v>
      </c>
      <c r="D206" s="295" t="s">
        <v>879</v>
      </c>
      <c r="E206" s="315">
        <v>131700183.91000003</v>
      </c>
      <c r="F206" s="256">
        <v>62745737.210000001</v>
      </c>
      <c r="G206" s="255">
        <v>47560727.180000007</v>
      </c>
      <c r="H206" s="255">
        <v>708119.36</v>
      </c>
      <c r="I206" s="254">
        <v>20685600.160000004</v>
      </c>
      <c r="K206" s="250"/>
    </row>
    <row r="207" spans="1:11" ht="15" customHeight="1">
      <c r="A207" s="7" t="s">
        <v>154</v>
      </c>
      <c r="B207" s="7" t="s">
        <v>517</v>
      </c>
      <c r="C207" s="7" t="s">
        <v>720</v>
      </c>
      <c r="D207" s="295" t="s">
        <v>879</v>
      </c>
      <c r="E207" s="315">
        <v>184790293.56</v>
      </c>
      <c r="F207" s="256">
        <v>91285235.890000001</v>
      </c>
      <c r="G207" s="255">
        <v>64077539.539999999</v>
      </c>
      <c r="H207" s="255">
        <v>311653.43000000005</v>
      </c>
      <c r="I207" s="254">
        <v>29115864.699999996</v>
      </c>
      <c r="K207" s="250"/>
    </row>
    <row r="208" spans="1:11" ht="15" customHeight="1">
      <c r="A208" s="7" t="s">
        <v>155</v>
      </c>
      <c r="B208" s="7" t="s">
        <v>518</v>
      </c>
      <c r="C208" s="7" t="s">
        <v>720</v>
      </c>
      <c r="D208" s="295" t="s">
        <v>879</v>
      </c>
      <c r="E208" s="315">
        <v>274316564.31</v>
      </c>
      <c r="F208" s="256">
        <v>135501760.72999999</v>
      </c>
      <c r="G208" s="255">
        <v>94986644.979999989</v>
      </c>
      <c r="H208" s="255">
        <v>1451319.47</v>
      </c>
      <c r="I208" s="254">
        <v>42376839.130000003</v>
      </c>
      <c r="K208" s="250"/>
    </row>
    <row r="209" spans="1:11" ht="15" customHeight="1">
      <c r="A209" s="7" t="s">
        <v>156</v>
      </c>
      <c r="B209" s="7" t="s">
        <v>519</v>
      </c>
      <c r="C209" s="7" t="s">
        <v>720</v>
      </c>
      <c r="D209" s="295" t="s">
        <v>882</v>
      </c>
      <c r="E209" s="315">
        <v>1017421119.53</v>
      </c>
      <c r="F209" s="256">
        <v>443871262.03000003</v>
      </c>
      <c r="G209" s="255">
        <v>425147287.9199999</v>
      </c>
      <c r="H209" s="255">
        <v>2986012.9600000004</v>
      </c>
      <c r="I209" s="254">
        <v>145416556.62</v>
      </c>
      <c r="K209" s="250"/>
    </row>
    <row r="210" spans="1:11" ht="15" customHeight="1">
      <c r="A210" s="7" t="s">
        <v>157</v>
      </c>
      <c r="B210" s="7" t="s">
        <v>520</v>
      </c>
      <c r="C210" s="7" t="s">
        <v>720</v>
      </c>
      <c r="D210" s="295" t="s">
        <v>882</v>
      </c>
      <c r="E210" s="315">
        <v>230036660.46000001</v>
      </c>
      <c r="F210" s="256">
        <v>108765782.75</v>
      </c>
      <c r="G210" s="255">
        <v>85641481.430000007</v>
      </c>
      <c r="H210" s="255">
        <v>1104693.31</v>
      </c>
      <c r="I210" s="254">
        <v>34524702.969999999</v>
      </c>
      <c r="K210" s="250"/>
    </row>
    <row r="211" spans="1:11" ht="15" customHeight="1">
      <c r="A211" s="7" t="s">
        <v>158</v>
      </c>
      <c r="B211" s="7" t="s">
        <v>521</v>
      </c>
      <c r="C211" s="7" t="s">
        <v>720</v>
      </c>
      <c r="D211" s="295" t="s">
        <v>879</v>
      </c>
      <c r="E211" s="315">
        <v>150651734.59</v>
      </c>
      <c r="F211" s="256">
        <v>71875893.849999994</v>
      </c>
      <c r="G211" s="255">
        <v>55357565.950000003</v>
      </c>
      <c r="H211" s="255">
        <v>825076.47000000009</v>
      </c>
      <c r="I211" s="254">
        <v>22593198.32</v>
      </c>
      <c r="K211" s="250"/>
    </row>
    <row r="212" spans="1:11" ht="15" customHeight="1">
      <c r="A212" s="7" t="s">
        <v>144</v>
      </c>
      <c r="B212" s="7" t="s">
        <v>889</v>
      </c>
      <c r="C212" s="7" t="s">
        <v>720</v>
      </c>
      <c r="D212" s="295" t="s">
        <v>879</v>
      </c>
      <c r="E212" s="315">
        <v>341393802.81999999</v>
      </c>
      <c r="F212" s="256">
        <v>156135889.34999999</v>
      </c>
      <c r="G212" s="255">
        <v>133178732.52000001</v>
      </c>
      <c r="H212" s="255">
        <v>2190849.06</v>
      </c>
      <c r="I212" s="254">
        <v>49888331.890000001</v>
      </c>
      <c r="K212" s="250"/>
    </row>
    <row r="213" spans="1:11" ht="15" customHeight="1">
      <c r="A213" s="7" t="s">
        <v>160</v>
      </c>
      <c r="B213" s="7" t="s">
        <v>522</v>
      </c>
      <c r="C213" s="7" t="s">
        <v>720</v>
      </c>
      <c r="D213" s="295" t="s">
        <v>883</v>
      </c>
      <c r="E213" s="315">
        <v>285916907.06999999</v>
      </c>
      <c r="F213" s="256">
        <v>132423379.69</v>
      </c>
      <c r="G213" s="255">
        <v>110012123.29999998</v>
      </c>
      <c r="H213" s="255">
        <v>1147781.1299999999</v>
      </c>
      <c r="I213" s="254">
        <v>42333622.949999996</v>
      </c>
      <c r="K213" s="250"/>
    </row>
    <row r="214" spans="1:11" ht="15" customHeight="1">
      <c r="A214" s="7" t="s">
        <v>161</v>
      </c>
      <c r="B214" s="7" t="s">
        <v>523</v>
      </c>
      <c r="C214" s="7" t="s">
        <v>720</v>
      </c>
      <c r="D214" s="295" t="s">
        <v>879</v>
      </c>
      <c r="E214" s="315">
        <v>259075947.19</v>
      </c>
      <c r="F214" s="256">
        <v>120060141.61</v>
      </c>
      <c r="G214" s="255">
        <v>98505480.139999986</v>
      </c>
      <c r="H214" s="255">
        <v>1629607.27</v>
      </c>
      <c r="I214" s="254">
        <v>38880718.170000002</v>
      </c>
      <c r="K214" s="250"/>
    </row>
    <row r="215" spans="1:11" ht="15" customHeight="1">
      <c r="A215" s="7" t="s">
        <v>126</v>
      </c>
      <c r="B215" s="7" t="s">
        <v>796</v>
      </c>
      <c r="C215" s="7" t="s">
        <v>720</v>
      </c>
      <c r="D215" s="295" t="s">
        <v>879</v>
      </c>
      <c r="E215" s="315">
        <v>128251244.63999997</v>
      </c>
      <c r="F215" s="256">
        <v>62525186.679999992</v>
      </c>
      <c r="G215" s="255">
        <v>45126279.149999999</v>
      </c>
      <c r="H215" s="255">
        <v>562892.1</v>
      </c>
      <c r="I215" s="254">
        <v>20036886.709999997</v>
      </c>
      <c r="K215" s="250"/>
    </row>
    <row r="216" spans="1:11" ht="15" customHeight="1">
      <c r="A216" s="7" t="s">
        <v>162</v>
      </c>
      <c r="B216" s="7" t="s">
        <v>797</v>
      </c>
      <c r="C216" s="7" t="s">
        <v>720</v>
      </c>
      <c r="D216" s="295" t="s">
        <v>880</v>
      </c>
      <c r="E216" s="315">
        <v>168304799.38000003</v>
      </c>
      <c r="F216" s="256">
        <v>75399322.960000008</v>
      </c>
      <c r="G216" s="255">
        <v>67012952.390000008</v>
      </c>
      <c r="H216" s="255">
        <v>730646.37</v>
      </c>
      <c r="I216" s="254">
        <v>25161877.660000004</v>
      </c>
      <c r="K216" s="250"/>
    </row>
    <row r="217" spans="1:11" ht="15" customHeight="1">
      <c r="A217" s="7" t="s">
        <v>163</v>
      </c>
      <c r="B217" s="7" t="s">
        <v>524</v>
      </c>
      <c r="C217" s="7" t="s">
        <v>720</v>
      </c>
      <c r="D217" s="295" t="s">
        <v>883</v>
      </c>
      <c r="E217" s="315">
        <v>160101461.00999999</v>
      </c>
      <c r="F217" s="256">
        <v>77262604.400000006</v>
      </c>
      <c r="G217" s="255">
        <v>57994994.039999999</v>
      </c>
      <c r="H217" s="255">
        <v>204195.16999999998</v>
      </c>
      <c r="I217" s="254">
        <v>24639667.399999999</v>
      </c>
      <c r="K217" s="250"/>
    </row>
    <row r="218" spans="1:11" ht="15" customHeight="1">
      <c r="A218" s="7" t="s">
        <v>164</v>
      </c>
      <c r="B218" s="7" t="s">
        <v>525</v>
      </c>
      <c r="C218" s="7" t="s">
        <v>720</v>
      </c>
      <c r="D218" s="295" t="s">
        <v>883</v>
      </c>
      <c r="E218" s="315">
        <v>224216390.83999997</v>
      </c>
      <c r="F218" s="256">
        <v>111123064.03999999</v>
      </c>
      <c r="G218" s="255">
        <v>77881424.929999992</v>
      </c>
      <c r="H218" s="255">
        <v>1008206.6000000001</v>
      </c>
      <c r="I218" s="254">
        <v>34203695.269999996</v>
      </c>
      <c r="K218" s="250"/>
    </row>
    <row r="219" spans="1:11" ht="15" customHeight="1">
      <c r="A219" s="7" t="s">
        <v>165</v>
      </c>
      <c r="B219" s="7" t="s">
        <v>526</v>
      </c>
      <c r="C219" s="7" t="s">
        <v>720</v>
      </c>
      <c r="D219" s="295" t="s">
        <v>879</v>
      </c>
      <c r="E219" s="315">
        <v>157566230.85999998</v>
      </c>
      <c r="F219" s="256">
        <v>77073201.239999995</v>
      </c>
      <c r="G219" s="255">
        <v>54282976.870000005</v>
      </c>
      <c r="H219" s="255">
        <v>1167608.52</v>
      </c>
      <c r="I219" s="254">
        <v>25042444.23</v>
      </c>
      <c r="K219" s="250"/>
    </row>
    <row r="220" spans="1:11" ht="15" customHeight="1">
      <c r="A220" s="7" t="s">
        <v>166</v>
      </c>
      <c r="B220" s="7" t="s">
        <v>527</v>
      </c>
      <c r="C220" s="7" t="s">
        <v>720</v>
      </c>
      <c r="D220" s="295" t="s">
        <v>876</v>
      </c>
      <c r="E220" s="315">
        <v>53299014.519999996</v>
      </c>
      <c r="F220" s="256">
        <v>28507129.529999997</v>
      </c>
      <c r="G220" s="255">
        <v>15548652.010000002</v>
      </c>
      <c r="H220" s="255">
        <v>465689.96</v>
      </c>
      <c r="I220" s="254">
        <v>8777543.0199999996</v>
      </c>
      <c r="K220" s="250"/>
    </row>
    <row r="221" spans="1:11" ht="15" customHeight="1">
      <c r="A221" s="7" t="s">
        <v>167</v>
      </c>
      <c r="B221" s="7" t="s">
        <v>798</v>
      </c>
      <c r="C221" s="7" t="s">
        <v>720</v>
      </c>
      <c r="D221" s="295" t="s">
        <v>883</v>
      </c>
      <c r="E221" s="315">
        <v>555786421.19000006</v>
      </c>
      <c r="F221" s="256">
        <v>270126681.91000003</v>
      </c>
      <c r="G221" s="255">
        <v>199272463.19</v>
      </c>
      <c r="H221" s="255">
        <v>3474935.21</v>
      </c>
      <c r="I221" s="254">
        <v>82912340.879999995</v>
      </c>
      <c r="K221" s="250"/>
    </row>
    <row r="222" spans="1:11" ht="15" customHeight="1">
      <c r="A222" s="7" t="s">
        <v>168</v>
      </c>
      <c r="B222" s="7" t="s">
        <v>528</v>
      </c>
      <c r="C222" s="7" t="s">
        <v>720</v>
      </c>
      <c r="D222" s="295" t="s">
        <v>879</v>
      </c>
      <c r="E222" s="315">
        <v>188330278.24000001</v>
      </c>
      <c r="F222" s="256">
        <v>91726324.529999986</v>
      </c>
      <c r="G222" s="255">
        <v>65950838.280000016</v>
      </c>
      <c r="H222" s="255">
        <v>1401533.08</v>
      </c>
      <c r="I222" s="254">
        <v>29251582.350000001</v>
      </c>
      <c r="K222" s="250"/>
    </row>
    <row r="223" spans="1:11" ht="15" customHeight="1">
      <c r="A223" s="7" t="s">
        <v>169</v>
      </c>
      <c r="B223" s="7" t="s">
        <v>529</v>
      </c>
      <c r="C223" s="7" t="s">
        <v>720</v>
      </c>
      <c r="D223" s="295" t="s">
        <v>879</v>
      </c>
      <c r="E223" s="315">
        <v>153787936.17000002</v>
      </c>
      <c r="F223" s="256">
        <v>74099967.090000004</v>
      </c>
      <c r="G223" s="255">
        <v>54740020.279999994</v>
      </c>
      <c r="H223" s="255">
        <v>1662831.3599999999</v>
      </c>
      <c r="I223" s="254">
        <v>23285117.439999998</v>
      </c>
      <c r="K223" s="250"/>
    </row>
    <row r="224" spans="1:11" ht="15" customHeight="1">
      <c r="A224" s="7" t="s">
        <v>170</v>
      </c>
      <c r="B224" s="7" t="s">
        <v>530</v>
      </c>
      <c r="C224" s="7" t="s">
        <v>720</v>
      </c>
      <c r="D224" s="295" t="s">
        <v>874</v>
      </c>
      <c r="E224" s="315">
        <v>46079372.469999999</v>
      </c>
      <c r="F224" s="256">
        <v>23641887.719999999</v>
      </c>
      <c r="G224" s="255">
        <v>14951257.919999998</v>
      </c>
      <c r="H224" s="255">
        <v>205749.13999999998</v>
      </c>
      <c r="I224" s="254">
        <v>7280477.6899999995</v>
      </c>
      <c r="K224" s="250"/>
    </row>
    <row r="225" spans="1:11" ht="15" customHeight="1">
      <c r="A225" s="7" t="s">
        <v>171</v>
      </c>
      <c r="B225" s="7" t="s">
        <v>531</v>
      </c>
      <c r="C225" s="7" t="s">
        <v>720</v>
      </c>
      <c r="D225" s="295" t="s">
        <v>879</v>
      </c>
      <c r="E225" s="315">
        <v>146463345.69999999</v>
      </c>
      <c r="F225" s="256">
        <v>72283276.399999991</v>
      </c>
      <c r="G225" s="255">
        <v>50581646.559999995</v>
      </c>
      <c r="H225" s="255">
        <v>583923.39</v>
      </c>
      <c r="I225" s="254">
        <v>23014499.349999998</v>
      </c>
      <c r="K225" s="250"/>
    </row>
    <row r="226" spans="1:11" ht="15" customHeight="1">
      <c r="A226" s="7" t="s">
        <v>159</v>
      </c>
      <c r="B226" s="7" t="s">
        <v>799</v>
      </c>
      <c r="C226" s="7" t="s">
        <v>720</v>
      </c>
      <c r="D226" s="295" t="s">
        <v>879</v>
      </c>
      <c r="E226" s="315">
        <v>103124158.66</v>
      </c>
      <c r="F226" s="256">
        <v>52694876.199999996</v>
      </c>
      <c r="G226" s="255">
        <v>34017489.710000001</v>
      </c>
      <c r="H226" s="255">
        <v>142061.38999999998</v>
      </c>
      <c r="I226" s="254">
        <v>16269731.359999999</v>
      </c>
      <c r="K226" s="250"/>
    </row>
    <row r="227" spans="1:11" ht="15" customHeight="1">
      <c r="A227" s="7" t="s">
        <v>174</v>
      </c>
      <c r="B227" s="7" t="s">
        <v>532</v>
      </c>
      <c r="C227" s="7" t="s">
        <v>720</v>
      </c>
      <c r="D227" s="295" t="s">
        <v>879</v>
      </c>
      <c r="E227" s="315">
        <v>269120921.32999998</v>
      </c>
      <c r="F227" s="256">
        <v>132324047.01000001</v>
      </c>
      <c r="G227" s="255">
        <v>92942125.269999996</v>
      </c>
      <c r="H227" s="255">
        <v>1236156.0900000001</v>
      </c>
      <c r="I227" s="254">
        <v>42618592.960000001</v>
      </c>
      <c r="K227" s="250"/>
    </row>
    <row r="228" spans="1:11" ht="15" customHeight="1">
      <c r="A228" s="7" t="s">
        <v>175</v>
      </c>
      <c r="B228" s="7" t="s">
        <v>533</v>
      </c>
      <c r="C228" s="7" t="s">
        <v>720</v>
      </c>
      <c r="D228" s="295" t="s">
        <v>878</v>
      </c>
      <c r="E228" s="315">
        <v>140962685.78000003</v>
      </c>
      <c r="F228" s="256">
        <v>69905198.460000023</v>
      </c>
      <c r="G228" s="255">
        <v>48391273.220000006</v>
      </c>
      <c r="H228" s="255">
        <v>168071.64999999997</v>
      </c>
      <c r="I228" s="254">
        <v>22498142.449999999</v>
      </c>
      <c r="K228" s="250"/>
    </row>
    <row r="229" spans="1:11" ht="15" customHeight="1">
      <c r="A229" s="7" t="s">
        <v>172</v>
      </c>
      <c r="B229" s="7" t="s">
        <v>890</v>
      </c>
      <c r="C229" s="7" t="s">
        <v>720</v>
      </c>
      <c r="D229" s="295" t="s">
        <v>883</v>
      </c>
      <c r="E229" s="315">
        <v>90540957.24000001</v>
      </c>
      <c r="F229" s="256">
        <v>43763115.07</v>
      </c>
      <c r="G229" s="255">
        <v>32208851.690000001</v>
      </c>
      <c r="H229" s="255">
        <v>659248.60000000009</v>
      </c>
      <c r="I229" s="254">
        <v>13909741.880000003</v>
      </c>
      <c r="K229" s="250"/>
    </row>
    <row r="230" spans="1:11" ht="15" customHeight="1">
      <c r="A230" s="7" t="s">
        <v>173</v>
      </c>
      <c r="B230" s="7" t="s">
        <v>891</v>
      </c>
      <c r="C230" s="7" t="s">
        <v>720</v>
      </c>
      <c r="D230" s="295" t="s">
        <v>883</v>
      </c>
      <c r="E230" s="315">
        <v>126054002.03999999</v>
      </c>
      <c r="F230" s="256">
        <v>59529389.709999993</v>
      </c>
      <c r="G230" s="255">
        <v>47289842.280000001</v>
      </c>
      <c r="H230" s="255">
        <v>514180.21</v>
      </c>
      <c r="I230" s="254">
        <v>18720589.839999996</v>
      </c>
      <c r="K230" s="250"/>
    </row>
    <row r="231" spans="1:11" ht="15" customHeight="1">
      <c r="A231" s="7" t="s">
        <v>176</v>
      </c>
      <c r="B231" s="7" t="s">
        <v>800</v>
      </c>
      <c r="C231" s="7" t="s">
        <v>720</v>
      </c>
      <c r="D231" s="295" t="s">
        <v>883</v>
      </c>
      <c r="E231" s="315">
        <v>381127913.13000005</v>
      </c>
      <c r="F231" s="256">
        <v>182008201.72000003</v>
      </c>
      <c r="G231" s="255">
        <v>140379950.47999999</v>
      </c>
      <c r="H231" s="255">
        <v>654296.81000000006</v>
      </c>
      <c r="I231" s="254">
        <v>58085464.120000005</v>
      </c>
      <c r="K231" s="250"/>
    </row>
    <row r="232" spans="1:11" ht="15" customHeight="1">
      <c r="A232" s="7" t="s">
        <v>177</v>
      </c>
      <c r="B232" s="7" t="s">
        <v>534</v>
      </c>
      <c r="C232" s="7" t="s">
        <v>721</v>
      </c>
      <c r="D232" s="295" t="s">
        <v>875</v>
      </c>
      <c r="E232" s="315">
        <v>43155488.590000004</v>
      </c>
      <c r="F232" s="256">
        <v>21184818.469999999</v>
      </c>
      <c r="G232" s="255">
        <v>15053768.01</v>
      </c>
      <c r="H232" s="255">
        <v>183150.7</v>
      </c>
      <c r="I232" s="254">
        <v>6733751.4100000001</v>
      </c>
      <c r="K232" s="250"/>
    </row>
    <row r="233" spans="1:11" ht="15" customHeight="1">
      <c r="A233" s="7" t="s">
        <v>188</v>
      </c>
      <c r="B233" s="7" t="s">
        <v>801</v>
      </c>
      <c r="C233" s="7" t="s">
        <v>721</v>
      </c>
      <c r="D233" s="295" t="s">
        <v>874</v>
      </c>
      <c r="E233" s="315">
        <v>79384965.920000002</v>
      </c>
      <c r="F233" s="256">
        <v>37458695.640000008</v>
      </c>
      <c r="G233" s="255">
        <v>29165621.919999998</v>
      </c>
      <c r="H233" s="255">
        <v>544755.97</v>
      </c>
      <c r="I233" s="254">
        <v>12215892.390000001</v>
      </c>
      <c r="K233" s="250"/>
    </row>
    <row r="234" spans="1:11" ht="15" customHeight="1">
      <c r="A234" s="7" t="s">
        <v>179</v>
      </c>
      <c r="B234" s="7" t="s">
        <v>535</v>
      </c>
      <c r="C234" s="7" t="s">
        <v>721</v>
      </c>
      <c r="D234" s="295" t="s">
        <v>879</v>
      </c>
      <c r="E234" s="315">
        <v>127396253.26000001</v>
      </c>
      <c r="F234" s="256">
        <v>57958644.190000013</v>
      </c>
      <c r="G234" s="255">
        <v>50561946.36999999</v>
      </c>
      <c r="H234" s="255">
        <v>571896.08999999985</v>
      </c>
      <c r="I234" s="254">
        <v>18303766.610000003</v>
      </c>
      <c r="K234" s="250"/>
    </row>
    <row r="235" spans="1:11" ht="15" customHeight="1">
      <c r="A235" s="7" t="s">
        <v>180</v>
      </c>
      <c r="B235" s="7" t="s">
        <v>536</v>
      </c>
      <c r="C235" s="7" t="s">
        <v>721</v>
      </c>
      <c r="D235" s="295" t="s">
        <v>879</v>
      </c>
      <c r="E235" s="315">
        <v>137117140.60999998</v>
      </c>
      <c r="F235" s="256">
        <v>61310901.649999999</v>
      </c>
      <c r="G235" s="255">
        <v>55822489.289999992</v>
      </c>
      <c r="H235" s="255">
        <v>681664.44000000006</v>
      </c>
      <c r="I235" s="254">
        <v>19302085.229999997</v>
      </c>
      <c r="K235" s="250"/>
    </row>
    <row r="236" spans="1:11" ht="15" customHeight="1">
      <c r="A236" s="7" t="s">
        <v>181</v>
      </c>
      <c r="B236" s="7" t="s">
        <v>537</v>
      </c>
      <c r="C236" s="7" t="s">
        <v>721</v>
      </c>
      <c r="D236" s="295" t="s">
        <v>876</v>
      </c>
      <c r="E236" s="315">
        <v>39298644.299999997</v>
      </c>
      <c r="F236" s="256">
        <v>18039735.350000001</v>
      </c>
      <c r="G236" s="255">
        <v>14919998.25</v>
      </c>
      <c r="H236" s="255">
        <v>284846.13</v>
      </c>
      <c r="I236" s="254">
        <v>6054064.5699999994</v>
      </c>
      <c r="K236" s="250"/>
    </row>
    <row r="237" spans="1:11" ht="15" customHeight="1">
      <c r="A237" s="7" t="s">
        <v>183</v>
      </c>
      <c r="B237" s="7" t="s">
        <v>538</v>
      </c>
      <c r="C237" s="7" t="s">
        <v>721</v>
      </c>
      <c r="D237" s="295" t="s">
        <v>880</v>
      </c>
      <c r="E237" s="315">
        <v>123807027.92999998</v>
      </c>
      <c r="F237" s="256">
        <v>52411549.29999999</v>
      </c>
      <c r="G237" s="255">
        <v>53056696.649999999</v>
      </c>
      <c r="H237" s="255">
        <v>1340652.1100000001</v>
      </c>
      <c r="I237" s="254">
        <v>16998129.869999997</v>
      </c>
      <c r="K237" s="250"/>
    </row>
    <row r="238" spans="1:11" ht="15" customHeight="1">
      <c r="A238" s="7" t="s">
        <v>187</v>
      </c>
      <c r="B238" s="7" t="s">
        <v>539</v>
      </c>
      <c r="C238" s="7" t="s">
        <v>721</v>
      </c>
      <c r="D238" s="295" t="s">
        <v>880</v>
      </c>
      <c r="E238" s="315">
        <v>549939198.18999994</v>
      </c>
      <c r="F238" s="256">
        <v>234093722.89999998</v>
      </c>
      <c r="G238" s="255">
        <v>234463207.91999999</v>
      </c>
      <c r="H238" s="255">
        <v>3457634.11</v>
      </c>
      <c r="I238" s="254">
        <v>77924633.25999999</v>
      </c>
      <c r="K238" s="250"/>
    </row>
    <row r="239" spans="1:11" ht="15" customHeight="1">
      <c r="A239" s="7" t="s">
        <v>189</v>
      </c>
      <c r="B239" s="7" t="s">
        <v>540</v>
      </c>
      <c r="C239" s="7" t="s">
        <v>721</v>
      </c>
      <c r="D239" s="295" t="s">
        <v>879</v>
      </c>
      <c r="E239" s="315">
        <v>191467042.99000001</v>
      </c>
      <c r="F239" s="256">
        <v>86449961.230000004</v>
      </c>
      <c r="G239" s="255">
        <v>75592961.639999986</v>
      </c>
      <c r="H239" s="255">
        <v>1557037.01</v>
      </c>
      <c r="I239" s="254">
        <v>27867083.109999999</v>
      </c>
      <c r="K239" s="250"/>
    </row>
    <row r="240" spans="1:11" ht="15" customHeight="1">
      <c r="A240" s="7" t="s">
        <v>190</v>
      </c>
      <c r="B240" s="7" t="s">
        <v>541</v>
      </c>
      <c r="C240" s="7" t="s">
        <v>721</v>
      </c>
      <c r="D240" s="295" t="s">
        <v>876</v>
      </c>
      <c r="E240" s="315">
        <v>0</v>
      </c>
      <c r="F240" s="256" t="s">
        <v>987</v>
      </c>
      <c r="G240" s="255" t="s">
        <v>987</v>
      </c>
      <c r="H240" s="255" t="s">
        <v>987</v>
      </c>
      <c r="I240" s="254" t="s">
        <v>987</v>
      </c>
      <c r="K240" s="250"/>
    </row>
    <row r="241" spans="1:11" ht="15" customHeight="1">
      <c r="A241" s="7" t="s">
        <v>191</v>
      </c>
      <c r="B241" s="7" t="s">
        <v>542</v>
      </c>
      <c r="C241" s="7" t="s">
        <v>721</v>
      </c>
      <c r="D241" s="295" t="s">
        <v>879</v>
      </c>
      <c r="E241" s="315">
        <v>131129922.64999999</v>
      </c>
      <c r="F241" s="256">
        <v>60021982.809999995</v>
      </c>
      <c r="G241" s="255">
        <v>50685525.039999992</v>
      </c>
      <c r="H241" s="255">
        <v>658542.82000000007</v>
      </c>
      <c r="I241" s="254">
        <v>19763871.98</v>
      </c>
      <c r="K241" s="250"/>
    </row>
    <row r="242" spans="1:11" ht="15" customHeight="1">
      <c r="A242" s="7" t="s">
        <v>192</v>
      </c>
      <c r="B242" s="7" t="s">
        <v>543</v>
      </c>
      <c r="C242" s="7" t="s">
        <v>721</v>
      </c>
      <c r="D242" s="295" t="s">
        <v>879</v>
      </c>
      <c r="E242" s="315">
        <v>233461949.16</v>
      </c>
      <c r="F242" s="256">
        <v>107966670.58000001</v>
      </c>
      <c r="G242" s="255">
        <v>90504851.689999998</v>
      </c>
      <c r="H242" s="255">
        <v>1788797.22</v>
      </c>
      <c r="I242" s="254">
        <v>33201629.669999994</v>
      </c>
      <c r="K242" s="250"/>
    </row>
    <row r="243" spans="1:11" ht="15" customHeight="1">
      <c r="A243" s="7" t="s">
        <v>184</v>
      </c>
      <c r="B243" s="7" t="s">
        <v>892</v>
      </c>
      <c r="C243" s="7" t="s">
        <v>721</v>
      </c>
      <c r="D243" s="295" t="s">
        <v>880</v>
      </c>
      <c r="E243" s="315">
        <v>96386023.569999993</v>
      </c>
      <c r="F243" s="256">
        <v>44375466.580000006</v>
      </c>
      <c r="G243" s="255">
        <v>37783611.669999994</v>
      </c>
      <c r="H243" s="255">
        <v>397964.22000000003</v>
      </c>
      <c r="I243" s="254">
        <v>13828981.1</v>
      </c>
      <c r="K243" s="250"/>
    </row>
    <row r="244" spans="1:11" ht="15" customHeight="1">
      <c r="A244" s="7" t="s">
        <v>185</v>
      </c>
      <c r="B244" s="7" t="s">
        <v>893</v>
      </c>
      <c r="C244" s="7" t="s">
        <v>721</v>
      </c>
      <c r="D244" s="295" t="s">
        <v>880</v>
      </c>
      <c r="E244" s="315">
        <v>110457275.97999999</v>
      </c>
      <c r="F244" s="256">
        <v>45805874.219999999</v>
      </c>
      <c r="G244" s="255">
        <v>49483983.350000001</v>
      </c>
      <c r="H244" s="255">
        <v>478281.67000000004</v>
      </c>
      <c r="I244" s="254">
        <v>14689136.74</v>
      </c>
      <c r="K244" s="250"/>
    </row>
    <row r="245" spans="1:11" ht="15" customHeight="1">
      <c r="A245" s="7" t="s">
        <v>182</v>
      </c>
      <c r="B245" s="7" t="s">
        <v>894</v>
      </c>
      <c r="C245" s="7" t="s">
        <v>721</v>
      </c>
      <c r="D245" s="295" t="s">
        <v>880</v>
      </c>
      <c r="E245" s="315">
        <v>171962396.82999998</v>
      </c>
      <c r="F245" s="256">
        <v>74888177.049999997</v>
      </c>
      <c r="G245" s="255">
        <v>71416203.739999995</v>
      </c>
      <c r="H245" s="255">
        <v>718763.12</v>
      </c>
      <c r="I245" s="254">
        <v>24939252.919999998</v>
      </c>
      <c r="K245" s="250"/>
    </row>
    <row r="246" spans="1:11" ht="15" customHeight="1">
      <c r="A246" s="7" t="s">
        <v>193</v>
      </c>
      <c r="B246" s="7" t="s">
        <v>544</v>
      </c>
      <c r="C246" s="7" t="s">
        <v>721</v>
      </c>
      <c r="D246" s="295" t="s">
        <v>882</v>
      </c>
      <c r="E246" s="315">
        <v>196969428.47</v>
      </c>
      <c r="F246" s="256">
        <v>92254498.080000013</v>
      </c>
      <c r="G246" s="255">
        <v>73691152.980000004</v>
      </c>
      <c r="H246" s="255">
        <v>1129453.6599999997</v>
      </c>
      <c r="I246" s="254">
        <v>29894323.75</v>
      </c>
      <c r="K246" s="250"/>
    </row>
    <row r="247" spans="1:11" ht="15" customHeight="1">
      <c r="A247" s="7" t="s">
        <v>194</v>
      </c>
      <c r="B247" s="7" t="s">
        <v>545</v>
      </c>
      <c r="C247" s="7" t="s">
        <v>721</v>
      </c>
      <c r="D247" s="295" t="s">
        <v>879</v>
      </c>
      <c r="E247" s="315">
        <v>93418381.879999995</v>
      </c>
      <c r="F247" s="256">
        <v>45694217.920000002</v>
      </c>
      <c r="G247" s="255">
        <v>33100838.569999997</v>
      </c>
      <c r="H247" s="255">
        <v>463175.27</v>
      </c>
      <c r="I247" s="254">
        <v>14160150.119999997</v>
      </c>
      <c r="K247" s="250"/>
    </row>
    <row r="248" spans="1:11" ht="15" customHeight="1">
      <c r="A248" s="7" t="s">
        <v>178</v>
      </c>
      <c r="B248" s="7" t="s">
        <v>802</v>
      </c>
      <c r="C248" s="7" t="s">
        <v>721</v>
      </c>
      <c r="D248" s="295" t="s">
        <v>876</v>
      </c>
      <c r="E248" s="315">
        <v>44629222.200000003</v>
      </c>
      <c r="F248" s="256">
        <v>22754306.079999998</v>
      </c>
      <c r="G248" s="255">
        <v>14386125.590000002</v>
      </c>
      <c r="H248" s="255">
        <v>366404.32</v>
      </c>
      <c r="I248" s="254">
        <v>7122386.21</v>
      </c>
      <c r="K248" s="250"/>
    </row>
    <row r="249" spans="1:11" ht="15" customHeight="1">
      <c r="A249" s="7" t="s">
        <v>195</v>
      </c>
      <c r="B249" s="7" t="s">
        <v>546</v>
      </c>
      <c r="C249" s="7" t="s">
        <v>721</v>
      </c>
      <c r="D249" s="295" t="s">
        <v>875</v>
      </c>
      <c r="E249" s="315">
        <v>62045251.909999996</v>
      </c>
      <c r="F249" s="256">
        <v>30580988.849999998</v>
      </c>
      <c r="G249" s="255">
        <v>21685191.230000004</v>
      </c>
      <c r="H249" s="255">
        <v>416597.05000000005</v>
      </c>
      <c r="I249" s="254">
        <v>9362474.7799999993</v>
      </c>
      <c r="K249" s="250"/>
    </row>
    <row r="250" spans="1:11" ht="15" customHeight="1">
      <c r="A250" s="7" t="s">
        <v>742</v>
      </c>
      <c r="B250" s="7" t="s">
        <v>803</v>
      </c>
      <c r="C250" s="7" t="s">
        <v>721</v>
      </c>
      <c r="D250" s="295" t="s">
        <v>876</v>
      </c>
      <c r="E250" s="315">
        <v>67472577.170000002</v>
      </c>
      <c r="F250" s="256">
        <v>34258732.449999996</v>
      </c>
      <c r="G250" s="255">
        <v>22099486.039999999</v>
      </c>
      <c r="H250" s="255">
        <v>563194.53</v>
      </c>
      <c r="I250" s="254">
        <v>10551164.15</v>
      </c>
      <c r="K250" s="250"/>
    </row>
    <row r="251" spans="1:11" ht="15" customHeight="1">
      <c r="A251" s="7" t="s">
        <v>196</v>
      </c>
      <c r="B251" s="7" t="s">
        <v>547</v>
      </c>
      <c r="C251" s="7" t="s">
        <v>721</v>
      </c>
      <c r="D251" s="295" t="s">
        <v>878</v>
      </c>
      <c r="E251" s="315">
        <v>86723049.049999997</v>
      </c>
      <c r="F251" s="256">
        <v>40424699.57</v>
      </c>
      <c r="G251" s="255">
        <v>32549061.999999996</v>
      </c>
      <c r="H251" s="255">
        <v>664281.49999999988</v>
      </c>
      <c r="I251" s="254">
        <v>13085005.979999999</v>
      </c>
      <c r="K251" s="250"/>
    </row>
    <row r="252" spans="1:11" ht="15" customHeight="1">
      <c r="A252" s="7" t="s">
        <v>199</v>
      </c>
      <c r="B252" s="7" t="s">
        <v>804</v>
      </c>
      <c r="C252" s="7" t="s">
        <v>721</v>
      </c>
      <c r="D252" s="295" t="s">
        <v>879</v>
      </c>
      <c r="E252" s="315">
        <v>149160223.37</v>
      </c>
      <c r="F252" s="256">
        <v>70602568.019999996</v>
      </c>
      <c r="G252" s="255">
        <v>55173136.049999997</v>
      </c>
      <c r="H252" s="255">
        <v>1287556.06</v>
      </c>
      <c r="I252" s="254">
        <v>22096963.239999998</v>
      </c>
      <c r="K252" s="250"/>
    </row>
    <row r="253" spans="1:11" ht="15" customHeight="1">
      <c r="A253" s="7" t="s">
        <v>197</v>
      </c>
      <c r="B253" s="7" t="s">
        <v>548</v>
      </c>
      <c r="C253" s="7" t="s">
        <v>721</v>
      </c>
      <c r="D253" s="295" t="s">
        <v>879</v>
      </c>
      <c r="E253" s="315">
        <v>118607002.94</v>
      </c>
      <c r="F253" s="256">
        <v>54678682.369999997</v>
      </c>
      <c r="G253" s="255">
        <v>45580791.350000009</v>
      </c>
      <c r="H253" s="255">
        <v>789462.70000000007</v>
      </c>
      <c r="I253" s="254">
        <v>17558066.52</v>
      </c>
      <c r="K253" s="250"/>
    </row>
    <row r="254" spans="1:11" ht="15" customHeight="1">
      <c r="A254" s="7" t="s">
        <v>186</v>
      </c>
      <c r="B254" s="7" t="s">
        <v>895</v>
      </c>
      <c r="C254" s="7" t="s">
        <v>721</v>
      </c>
      <c r="D254" s="295" t="s">
        <v>880</v>
      </c>
      <c r="E254" s="315">
        <v>191916680.67000002</v>
      </c>
      <c r="F254" s="256">
        <v>81513289.210000008</v>
      </c>
      <c r="G254" s="255">
        <v>82288900.689999998</v>
      </c>
      <c r="H254" s="255">
        <v>1034375.8700000001</v>
      </c>
      <c r="I254" s="254">
        <v>27080114.900000002</v>
      </c>
      <c r="K254" s="250"/>
    </row>
    <row r="255" spans="1:11" ht="15" customHeight="1">
      <c r="A255" s="7" t="s">
        <v>198</v>
      </c>
      <c r="B255" s="7" t="s">
        <v>805</v>
      </c>
      <c r="C255" s="7" t="s">
        <v>721</v>
      </c>
      <c r="D255" s="295" t="s">
        <v>882</v>
      </c>
      <c r="E255" s="315">
        <v>108725620.53</v>
      </c>
      <c r="F255" s="256">
        <v>46551473.149999999</v>
      </c>
      <c r="G255" s="255">
        <v>44834277.100000001</v>
      </c>
      <c r="H255" s="255">
        <v>297773.11</v>
      </c>
      <c r="I255" s="254">
        <v>17042097.169999998</v>
      </c>
      <c r="K255" s="250"/>
    </row>
    <row r="256" spans="1:11" ht="15" customHeight="1">
      <c r="A256" s="7" t="s">
        <v>200</v>
      </c>
      <c r="B256" s="7" t="s">
        <v>549</v>
      </c>
      <c r="C256" s="7" t="s">
        <v>721</v>
      </c>
      <c r="D256" s="295" t="s">
        <v>880</v>
      </c>
      <c r="E256" s="315">
        <v>256908589.47999999</v>
      </c>
      <c r="F256" s="256">
        <v>106004869.44</v>
      </c>
      <c r="G256" s="255">
        <v>111808872.01000001</v>
      </c>
      <c r="H256" s="255">
        <v>1588815.3100000003</v>
      </c>
      <c r="I256" s="254">
        <v>37506032.720000006</v>
      </c>
      <c r="K256" s="250"/>
    </row>
    <row r="257" spans="1:11" ht="15" customHeight="1">
      <c r="A257" s="7" t="s">
        <v>201</v>
      </c>
      <c r="B257" s="7" t="s">
        <v>550</v>
      </c>
      <c r="C257" s="7" t="s">
        <v>721</v>
      </c>
      <c r="D257" s="295" t="s">
        <v>878</v>
      </c>
      <c r="E257" s="315">
        <v>85493096.610000014</v>
      </c>
      <c r="F257" s="256">
        <v>39227006.180000007</v>
      </c>
      <c r="G257" s="255">
        <v>33257584.099999998</v>
      </c>
      <c r="H257" s="255">
        <v>452378.79</v>
      </c>
      <c r="I257" s="254">
        <v>12556127.539999999</v>
      </c>
      <c r="K257" s="250"/>
    </row>
    <row r="258" spans="1:11" ht="15" customHeight="1">
      <c r="A258" s="7" t="s">
        <v>202</v>
      </c>
      <c r="B258" s="7" t="s">
        <v>551</v>
      </c>
      <c r="C258" s="7" t="s">
        <v>722</v>
      </c>
      <c r="D258" s="295" t="s">
        <v>876</v>
      </c>
      <c r="E258" s="315">
        <v>81864669.429999992</v>
      </c>
      <c r="F258" s="256">
        <v>40523717.54999999</v>
      </c>
      <c r="G258" s="255">
        <v>28155009.91</v>
      </c>
      <c r="H258" s="255">
        <v>338475.06000000006</v>
      </c>
      <c r="I258" s="254">
        <v>12847466.91</v>
      </c>
      <c r="K258" s="250"/>
    </row>
    <row r="259" spans="1:11" ht="15" customHeight="1">
      <c r="A259" s="7" t="s">
        <v>203</v>
      </c>
      <c r="B259" s="7" t="s">
        <v>552</v>
      </c>
      <c r="C259" s="7" t="s">
        <v>722</v>
      </c>
      <c r="D259" s="295" t="s">
        <v>876</v>
      </c>
      <c r="E259" s="315">
        <v>45059872.840000011</v>
      </c>
      <c r="F259" s="256">
        <v>23169169.590000004</v>
      </c>
      <c r="G259" s="255">
        <v>14714093.84</v>
      </c>
      <c r="H259" s="255">
        <v>261087.13</v>
      </c>
      <c r="I259" s="254">
        <v>6915522.2800000012</v>
      </c>
      <c r="K259" s="250"/>
    </row>
    <row r="260" spans="1:11" ht="15" customHeight="1">
      <c r="A260" s="7" t="s">
        <v>204</v>
      </c>
      <c r="B260" s="7" t="s">
        <v>553</v>
      </c>
      <c r="C260" s="7" t="s">
        <v>722</v>
      </c>
      <c r="D260" s="295" t="s">
        <v>875</v>
      </c>
      <c r="E260" s="315">
        <v>30057333.689999998</v>
      </c>
      <c r="F260" s="256">
        <v>14934672.809999997</v>
      </c>
      <c r="G260" s="255">
        <v>10126053.189999999</v>
      </c>
      <c r="H260" s="255">
        <v>166961.67000000001</v>
      </c>
      <c r="I260" s="254">
        <v>4829646.0200000014</v>
      </c>
      <c r="K260" s="250"/>
    </row>
    <row r="261" spans="1:11" ht="15" customHeight="1">
      <c r="A261" s="7" t="s">
        <v>205</v>
      </c>
      <c r="B261" s="7" t="s">
        <v>554</v>
      </c>
      <c r="C261" s="7" t="s">
        <v>722</v>
      </c>
      <c r="D261" s="295" t="s">
        <v>876</v>
      </c>
      <c r="E261" s="315">
        <v>29719724.359999992</v>
      </c>
      <c r="F261" s="256">
        <v>15014664.559999997</v>
      </c>
      <c r="G261" s="255">
        <v>9918793.1199999973</v>
      </c>
      <c r="H261" s="255">
        <v>158344.35</v>
      </c>
      <c r="I261" s="254">
        <v>4627922.33</v>
      </c>
      <c r="K261" s="250"/>
    </row>
    <row r="262" spans="1:11" ht="15" customHeight="1">
      <c r="A262" s="7" t="s">
        <v>206</v>
      </c>
      <c r="B262" s="7" t="s">
        <v>555</v>
      </c>
      <c r="C262" s="7" t="s">
        <v>722</v>
      </c>
      <c r="D262" s="295" t="s">
        <v>882</v>
      </c>
      <c r="E262" s="315">
        <v>76244770.120000005</v>
      </c>
      <c r="F262" s="256">
        <v>36223270.220000006</v>
      </c>
      <c r="G262" s="255">
        <v>27885731.689999998</v>
      </c>
      <c r="H262" s="255">
        <v>293467.5</v>
      </c>
      <c r="I262" s="254">
        <v>11842300.709999997</v>
      </c>
      <c r="K262" s="250"/>
    </row>
    <row r="263" spans="1:11" ht="15" customHeight="1">
      <c r="A263" s="7" t="s">
        <v>207</v>
      </c>
      <c r="B263" s="7" t="s">
        <v>556</v>
      </c>
      <c r="C263" s="7" t="s">
        <v>722</v>
      </c>
      <c r="D263" s="295" t="s">
        <v>878</v>
      </c>
      <c r="E263" s="315">
        <v>37647066.620000005</v>
      </c>
      <c r="F263" s="256">
        <v>18639753.710000001</v>
      </c>
      <c r="G263" s="255">
        <v>12969471.560000001</v>
      </c>
      <c r="H263" s="255">
        <v>138505</v>
      </c>
      <c r="I263" s="254">
        <v>5899336.3500000006</v>
      </c>
      <c r="K263" s="250"/>
    </row>
    <row r="264" spans="1:11" ht="15" customHeight="1">
      <c r="A264" s="7" t="s">
        <v>228</v>
      </c>
      <c r="B264" s="7" t="s">
        <v>806</v>
      </c>
      <c r="C264" s="7" t="s">
        <v>722</v>
      </c>
      <c r="D264" s="295" t="s">
        <v>876</v>
      </c>
      <c r="E264" s="315">
        <v>39706261.519999996</v>
      </c>
      <c r="F264" s="256">
        <v>19979385.279999997</v>
      </c>
      <c r="G264" s="255">
        <v>13191638.220000001</v>
      </c>
      <c r="H264" s="255">
        <v>356042.31</v>
      </c>
      <c r="I264" s="254">
        <v>6179195.71</v>
      </c>
      <c r="K264" s="250"/>
    </row>
    <row r="265" spans="1:11" ht="15" customHeight="1">
      <c r="A265" s="7" t="s">
        <v>229</v>
      </c>
      <c r="B265" s="7" t="s">
        <v>807</v>
      </c>
      <c r="C265" s="7" t="s">
        <v>722</v>
      </c>
      <c r="D265" s="295" t="s">
        <v>876</v>
      </c>
      <c r="E265" s="315">
        <v>20313782.789999999</v>
      </c>
      <c r="F265" s="256">
        <v>9928676.8200000003</v>
      </c>
      <c r="G265" s="255">
        <v>6950835.2799999993</v>
      </c>
      <c r="H265" s="255">
        <v>193733.61</v>
      </c>
      <c r="I265" s="254">
        <v>3240537.0799999991</v>
      </c>
      <c r="K265" s="250"/>
    </row>
    <row r="266" spans="1:11" ht="15" customHeight="1">
      <c r="A266" s="7" t="s">
        <v>230</v>
      </c>
      <c r="B266" s="7" t="s">
        <v>808</v>
      </c>
      <c r="C266" s="7" t="s">
        <v>722</v>
      </c>
      <c r="D266" s="295" t="s">
        <v>878</v>
      </c>
      <c r="E266" s="315">
        <v>20508972.129999999</v>
      </c>
      <c r="F266" s="256">
        <v>10876572.41</v>
      </c>
      <c r="G266" s="255">
        <v>6454736.75</v>
      </c>
      <c r="H266" s="255">
        <v>86674.290000000008</v>
      </c>
      <c r="I266" s="254">
        <v>3090988.68</v>
      </c>
      <c r="K266" s="250"/>
    </row>
    <row r="267" spans="1:11" ht="15" customHeight="1">
      <c r="A267" s="7" t="s">
        <v>208</v>
      </c>
      <c r="B267" s="7" t="s">
        <v>809</v>
      </c>
      <c r="C267" s="7" t="s">
        <v>722</v>
      </c>
      <c r="D267" s="295" t="s">
        <v>876</v>
      </c>
      <c r="E267" s="315">
        <v>29771658.839999996</v>
      </c>
      <c r="F267" s="256">
        <v>15196657.079999998</v>
      </c>
      <c r="G267" s="255">
        <v>9799153.790000001</v>
      </c>
      <c r="H267" s="255">
        <v>80063.98</v>
      </c>
      <c r="I267" s="254">
        <v>4695783.99</v>
      </c>
      <c r="K267" s="250"/>
    </row>
    <row r="268" spans="1:11" ht="15" customHeight="1">
      <c r="A268" s="7" t="s">
        <v>209</v>
      </c>
      <c r="B268" s="7" t="s">
        <v>557</v>
      </c>
      <c r="C268" s="7" t="s">
        <v>722</v>
      </c>
      <c r="D268" s="295" t="s">
        <v>882</v>
      </c>
      <c r="E268" s="315">
        <v>75656735.810000002</v>
      </c>
      <c r="F268" s="256">
        <v>35685521.130000003</v>
      </c>
      <c r="G268" s="255">
        <v>27903954.410000004</v>
      </c>
      <c r="H268" s="255">
        <v>231179.64000000004</v>
      </c>
      <c r="I268" s="254">
        <v>11836080.629999999</v>
      </c>
      <c r="K268" s="250"/>
    </row>
    <row r="269" spans="1:11" ht="15" customHeight="1">
      <c r="A269" s="7" t="s">
        <v>210</v>
      </c>
      <c r="B269" s="7" t="s">
        <v>558</v>
      </c>
      <c r="C269" s="7" t="s">
        <v>722</v>
      </c>
      <c r="D269" s="295" t="s">
        <v>875</v>
      </c>
      <c r="E269" s="315">
        <v>18397143.740000002</v>
      </c>
      <c r="F269" s="256">
        <v>9539946.6799999997</v>
      </c>
      <c r="G269" s="255">
        <v>5820205.5699999994</v>
      </c>
      <c r="H269" s="255">
        <v>80844.569999999992</v>
      </c>
      <c r="I269" s="254">
        <v>2956146.92</v>
      </c>
      <c r="K269" s="250"/>
    </row>
    <row r="270" spans="1:11" ht="15" customHeight="1">
      <c r="A270" s="7" t="s">
        <v>217</v>
      </c>
      <c r="B270" s="7" t="s">
        <v>810</v>
      </c>
      <c r="C270" s="7" t="s">
        <v>722</v>
      </c>
      <c r="D270" s="295" t="s">
        <v>878</v>
      </c>
      <c r="E270" s="315">
        <v>38656625.75</v>
      </c>
      <c r="F270" s="256">
        <v>18047276.91</v>
      </c>
      <c r="G270" s="255">
        <v>14241385.539999999</v>
      </c>
      <c r="H270" s="255">
        <v>69299.12000000001</v>
      </c>
      <c r="I270" s="254">
        <v>6298664.1800000006</v>
      </c>
      <c r="K270" s="250"/>
    </row>
    <row r="271" spans="1:11" ht="15" customHeight="1">
      <c r="A271" s="7" t="s">
        <v>218</v>
      </c>
      <c r="B271" s="7" t="s">
        <v>811</v>
      </c>
      <c r="C271" s="7" t="s">
        <v>722</v>
      </c>
      <c r="D271" s="295" t="s">
        <v>876</v>
      </c>
      <c r="E271" s="315">
        <v>80809219.359999985</v>
      </c>
      <c r="F271" s="256">
        <v>39944188.75</v>
      </c>
      <c r="G271" s="255">
        <v>27966390.259999998</v>
      </c>
      <c r="H271" s="255">
        <v>246061.21000000002</v>
      </c>
      <c r="I271" s="254">
        <v>12652579.139999999</v>
      </c>
      <c r="K271" s="250"/>
    </row>
    <row r="272" spans="1:11" ht="15" customHeight="1">
      <c r="A272" s="7" t="s">
        <v>211</v>
      </c>
      <c r="B272" s="7" t="s">
        <v>559</v>
      </c>
      <c r="C272" s="7" t="s">
        <v>722</v>
      </c>
      <c r="D272" s="295" t="s">
        <v>879</v>
      </c>
      <c r="E272" s="315">
        <v>271880596.95000005</v>
      </c>
      <c r="F272" s="256">
        <v>128905673.80000003</v>
      </c>
      <c r="G272" s="255">
        <v>99536101.679999992</v>
      </c>
      <c r="H272" s="255">
        <v>1261760.33</v>
      </c>
      <c r="I272" s="254">
        <v>42177061.140000001</v>
      </c>
      <c r="K272" s="250"/>
    </row>
    <row r="273" spans="1:11" ht="15" customHeight="1">
      <c r="A273" s="7" t="s">
        <v>213</v>
      </c>
      <c r="B273" s="7" t="s">
        <v>560</v>
      </c>
      <c r="C273" s="7" t="s">
        <v>722</v>
      </c>
      <c r="D273" s="295" t="s">
        <v>878</v>
      </c>
      <c r="E273" s="315">
        <v>43977615.009999998</v>
      </c>
      <c r="F273" s="256">
        <v>20935360.710000001</v>
      </c>
      <c r="G273" s="255">
        <v>16007416.989999996</v>
      </c>
      <c r="H273" s="255">
        <v>212669.93</v>
      </c>
      <c r="I273" s="254">
        <v>6822167.3800000008</v>
      </c>
      <c r="K273" s="250"/>
    </row>
    <row r="274" spans="1:11" ht="15" customHeight="1">
      <c r="A274" s="7" t="s">
        <v>214</v>
      </c>
      <c r="B274" s="7" t="s">
        <v>561</v>
      </c>
      <c r="C274" s="7" t="s">
        <v>722</v>
      </c>
      <c r="D274" s="295" t="s">
        <v>880</v>
      </c>
      <c r="E274" s="315">
        <v>132592062.21000001</v>
      </c>
      <c r="F274" s="256">
        <v>59437710.099999994</v>
      </c>
      <c r="G274" s="255">
        <v>52646978.700000003</v>
      </c>
      <c r="H274" s="255">
        <v>730778.28999999992</v>
      </c>
      <c r="I274" s="254">
        <v>19776595.120000001</v>
      </c>
      <c r="K274" s="250"/>
    </row>
    <row r="275" spans="1:11" ht="15" customHeight="1">
      <c r="A275" s="7" t="s">
        <v>216</v>
      </c>
      <c r="B275" s="7" t="s">
        <v>562</v>
      </c>
      <c r="C275" s="7" t="s">
        <v>722</v>
      </c>
      <c r="D275" s="295" t="s">
        <v>882</v>
      </c>
      <c r="E275" s="315">
        <v>62188984.600000001</v>
      </c>
      <c r="F275" s="256">
        <v>29772634.41</v>
      </c>
      <c r="G275" s="255">
        <v>22606862.73</v>
      </c>
      <c r="H275" s="255">
        <v>272823.82</v>
      </c>
      <c r="I275" s="254">
        <v>9536663.6399999987</v>
      </c>
      <c r="K275" s="250"/>
    </row>
    <row r="276" spans="1:11" ht="15" customHeight="1">
      <c r="A276" s="7" t="s">
        <v>215</v>
      </c>
      <c r="B276" s="7" t="s">
        <v>812</v>
      </c>
      <c r="C276" s="7" t="s">
        <v>722</v>
      </c>
      <c r="D276" s="295" t="s">
        <v>874</v>
      </c>
      <c r="E276" s="315">
        <v>76912378.50999999</v>
      </c>
      <c r="F276" s="256">
        <v>35278229.670000002</v>
      </c>
      <c r="G276" s="255">
        <v>30219110.52</v>
      </c>
      <c r="H276" s="255">
        <v>258660.01</v>
      </c>
      <c r="I276" s="254">
        <v>11156378.309999999</v>
      </c>
      <c r="K276" s="250"/>
    </row>
    <row r="277" spans="1:11" ht="15" customHeight="1">
      <c r="A277" s="7" t="s">
        <v>219</v>
      </c>
      <c r="B277" s="7" t="s">
        <v>563</v>
      </c>
      <c r="C277" s="7" t="s">
        <v>722</v>
      </c>
      <c r="D277" s="295" t="s">
        <v>876</v>
      </c>
      <c r="E277" s="315">
        <v>43554156.369999997</v>
      </c>
      <c r="F277" s="256">
        <v>21831089.109999996</v>
      </c>
      <c r="G277" s="255">
        <v>14472654.689999998</v>
      </c>
      <c r="H277" s="255">
        <v>239452.59999999998</v>
      </c>
      <c r="I277" s="254">
        <v>7010959.9700000007</v>
      </c>
      <c r="K277" s="250"/>
    </row>
    <row r="278" spans="1:11" ht="15" customHeight="1">
      <c r="A278" s="7" t="s">
        <v>220</v>
      </c>
      <c r="B278" s="7" t="s">
        <v>564</v>
      </c>
      <c r="C278" s="7" t="s">
        <v>722</v>
      </c>
      <c r="D278" s="295" t="s">
        <v>876</v>
      </c>
      <c r="E278" s="315">
        <v>61895210.140000001</v>
      </c>
      <c r="F278" s="256">
        <v>31218941.430000003</v>
      </c>
      <c r="G278" s="255">
        <v>20620136.309999999</v>
      </c>
      <c r="H278" s="255">
        <v>206892.67</v>
      </c>
      <c r="I278" s="254">
        <v>9849239.7299999967</v>
      </c>
      <c r="K278" s="250"/>
    </row>
    <row r="279" spans="1:11" ht="15" customHeight="1">
      <c r="A279" s="7" t="s">
        <v>224</v>
      </c>
      <c r="B279" s="7" t="s">
        <v>565</v>
      </c>
      <c r="C279" s="7" t="s">
        <v>722</v>
      </c>
      <c r="D279" s="295" t="s">
        <v>874</v>
      </c>
      <c r="E279" s="315">
        <v>47788639.930000007</v>
      </c>
      <c r="F279" s="256">
        <v>22466758.930000003</v>
      </c>
      <c r="G279" s="255">
        <v>17720596.200000003</v>
      </c>
      <c r="H279" s="255">
        <v>150156.15</v>
      </c>
      <c r="I279" s="254">
        <v>7451128.6500000004</v>
      </c>
      <c r="K279" s="250"/>
    </row>
    <row r="280" spans="1:11" ht="15" customHeight="1">
      <c r="A280" s="7" t="s">
        <v>225</v>
      </c>
      <c r="B280" s="7" t="s">
        <v>566</v>
      </c>
      <c r="C280" s="7" t="s">
        <v>722</v>
      </c>
      <c r="D280" s="295" t="s">
        <v>874</v>
      </c>
      <c r="E280" s="315">
        <v>69056675.969999999</v>
      </c>
      <c r="F280" s="256">
        <v>32280578.029999994</v>
      </c>
      <c r="G280" s="255">
        <v>26184311.640000004</v>
      </c>
      <c r="H280" s="255">
        <v>249751.37</v>
      </c>
      <c r="I280" s="254">
        <v>10342034.93</v>
      </c>
      <c r="K280" s="250"/>
    </row>
    <row r="281" spans="1:11" ht="15" customHeight="1">
      <c r="A281" s="7" t="s">
        <v>212</v>
      </c>
      <c r="B281" s="7" t="s">
        <v>813</v>
      </c>
      <c r="C281" s="7" t="s">
        <v>722</v>
      </c>
      <c r="D281" s="295" t="s">
        <v>876</v>
      </c>
      <c r="E281" s="315">
        <v>73436554.469999999</v>
      </c>
      <c r="F281" s="256">
        <v>35551764.510000005</v>
      </c>
      <c r="G281" s="255">
        <v>26145219.079999998</v>
      </c>
      <c r="H281" s="255">
        <v>240947.24000000002</v>
      </c>
      <c r="I281" s="254">
        <v>11498623.640000001</v>
      </c>
      <c r="K281" s="250"/>
    </row>
    <row r="282" spans="1:11" ht="15" customHeight="1">
      <c r="A282" s="7" t="s">
        <v>226</v>
      </c>
      <c r="B282" s="7" t="s">
        <v>567</v>
      </c>
      <c r="C282" s="7" t="s">
        <v>722</v>
      </c>
      <c r="D282" s="295" t="s">
        <v>876</v>
      </c>
      <c r="E282" s="315">
        <v>57878458.450000003</v>
      </c>
      <c r="F282" s="256">
        <v>29599135.860000003</v>
      </c>
      <c r="G282" s="255">
        <v>18904653.09</v>
      </c>
      <c r="H282" s="255">
        <v>321363.92000000004</v>
      </c>
      <c r="I282" s="254">
        <v>9053305.5800000019</v>
      </c>
      <c r="K282" s="250"/>
    </row>
    <row r="283" spans="1:11" ht="15" customHeight="1">
      <c r="A283" s="7" t="s">
        <v>227</v>
      </c>
      <c r="B283" s="7" t="s">
        <v>568</v>
      </c>
      <c r="C283" s="7" t="s">
        <v>722</v>
      </c>
      <c r="D283" s="295" t="s">
        <v>879</v>
      </c>
      <c r="E283" s="315">
        <v>83401842.390000001</v>
      </c>
      <c r="F283" s="256">
        <v>41010595.299999997</v>
      </c>
      <c r="G283" s="255">
        <v>28788134.760000002</v>
      </c>
      <c r="H283" s="255">
        <v>297215.48</v>
      </c>
      <c r="I283" s="254">
        <v>13305896.85</v>
      </c>
      <c r="K283" s="250"/>
    </row>
    <row r="284" spans="1:11" ht="15" customHeight="1">
      <c r="A284" s="7" t="s">
        <v>887</v>
      </c>
      <c r="B284" s="7" t="s">
        <v>569</v>
      </c>
      <c r="C284" s="7" t="s">
        <v>725</v>
      </c>
      <c r="D284" s="295" t="s">
        <v>882</v>
      </c>
      <c r="E284" s="315">
        <v>344457679.24000001</v>
      </c>
      <c r="F284" s="256">
        <v>161283737</v>
      </c>
      <c r="G284" s="255">
        <v>129905182.15000001</v>
      </c>
      <c r="H284" s="255">
        <v>1731783.3000000003</v>
      </c>
      <c r="I284" s="254">
        <v>51536976.790000007</v>
      </c>
      <c r="K284" s="250"/>
    </row>
    <row r="285" spans="1:11" ht="15" customHeight="1">
      <c r="A285" s="7" t="s">
        <v>221</v>
      </c>
      <c r="B285" s="7" t="s">
        <v>850</v>
      </c>
      <c r="C285" s="7" t="s">
        <v>725</v>
      </c>
      <c r="D285" s="295" t="s">
        <v>879</v>
      </c>
      <c r="E285" s="315">
        <v>101114398.02000001</v>
      </c>
      <c r="F285" s="256">
        <v>48073588.339999996</v>
      </c>
      <c r="G285" s="255">
        <v>36880815.160000004</v>
      </c>
      <c r="H285" s="255">
        <v>756928.67999999993</v>
      </c>
      <c r="I285" s="254">
        <v>15403065.840000002</v>
      </c>
      <c r="K285" s="250"/>
    </row>
    <row r="286" spans="1:11" ht="15" customHeight="1">
      <c r="A286" s="7" t="s">
        <v>222</v>
      </c>
      <c r="B286" s="7" t="s">
        <v>851</v>
      </c>
      <c r="C286" s="7" t="s">
        <v>725</v>
      </c>
      <c r="D286" s="295" t="s">
        <v>876</v>
      </c>
      <c r="E286" s="315">
        <v>32405404.800000001</v>
      </c>
      <c r="F286" s="256">
        <v>16405918.65</v>
      </c>
      <c r="G286" s="255">
        <v>10787979.57</v>
      </c>
      <c r="H286" s="255">
        <v>74568.17</v>
      </c>
      <c r="I286" s="254">
        <v>5136938.41</v>
      </c>
      <c r="K286" s="250"/>
    </row>
    <row r="287" spans="1:11" ht="15" customHeight="1">
      <c r="A287" s="7" t="s">
        <v>223</v>
      </c>
      <c r="B287" s="7" t="s">
        <v>852</v>
      </c>
      <c r="C287" s="7" t="s">
        <v>725</v>
      </c>
      <c r="D287" s="295" t="s">
        <v>879</v>
      </c>
      <c r="E287" s="315">
        <v>63711020.360000007</v>
      </c>
      <c r="F287" s="256">
        <v>31612646.900000002</v>
      </c>
      <c r="G287" s="255">
        <v>21618124.359999999</v>
      </c>
      <c r="H287" s="255">
        <v>280034.63999999996</v>
      </c>
      <c r="I287" s="254">
        <v>10200214.459999999</v>
      </c>
      <c r="K287" s="250"/>
    </row>
    <row r="288" spans="1:11" ht="15" customHeight="1">
      <c r="A288" s="7" t="s">
        <v>231</v>
      </c>
      <c r="B288" s="7" t="s">
        <v>853</v>
      </c>
      <c r="C288" s="7" t="s">
        <v>725</v>
      </c>
      <c r="D288" s="295" t="s">
        <v>876</v>
      </c>
      <c r="E288" s="315">
        <v>40548771.609999999</v>
      </c>
      <c r="F288" s="256">
        <v>19633509.91</v>
      </c>
      <c r="G288" s="255">
        <v>14416676.48</v>
      </c>
      <c r="H288" s="255">
        <v>239018.55000000002</v>
      </c>
      <c r="I288" s="254">
        <v>6259566.6699999999</v>
      </c>
      <c r="K288" s="250"/>
    </row>
    <row r="289" spans="1:11" ht="15" customHeight="1">
      <c r="A289" s="7" t="s">
        <v>232</v>
      </c>
      <c r="B289" s="7" t="s">
        <v>854</v>
      </c>
      <c r="C289" s="7" t="s">
        <v>725</v>
      </c>
      <c r="D289" s="295" t="s">
        <v>876</v>
      </c>
      <c r="E289" s="315">
        <v>103641677.34</v>
      </c>
      <c r="F289" s="256">
        <v>50189437.700000003</v>
      </c>
      <c r="G289" s="255">
        <v>36747255.43</v>
      </c>
      <c r="H289" s="255">
        <v>588453.23</v>
      </c>
      <c r="I289" s="254">
        <v>16116530.979999999</v>
      </c>
      <c r="K289" s="250"/>
    </row>
    <row r="290" spans="1:11" ht="15" customHeight="1">
      <c r="A290" s="7" t="s">
        <v>233</v>
      </c>
      <c r="B290" s="7" t="s">
        <v>570</v>
      </c>
      <c r="C290" s="7" t="s">
        <v>722</v>
      </c>
      <c r="D290" s="295" t="s">
        <v>872</v>
      </c>
      <c r="E290" s="315">
        <v>33304396.799999997</v>
      </c>
      <c r="F290" s="256">
        <v>16077257.719999999</v>
      </c>
      <c r="G290" s="255">
        <v>11778726.58</v>
      </c>
      <c r="H290" s="255">
        <v>121291.18</v>
      </c>
      <c r="I290" s="254">
        <v>5327121.32</v>
      </c>
      <c r="K290" s="250"/>
    </row>
    <row r="291" spans="1:11" ht="15" customHeight="1">
      <c r="A291" s="7" t="s">
        <v>234</v>
      </c>
      <c r="B291" s="7" t="s">
        <v>571</v>
      </c>
      <c r="C291" s="7" t="s">
        <v>722</v>
      </c>
      <c r="D291" s="295" t="s">
        <v>872</v>
      </c>
      <c r="E291" s="315">
        <v>25867008.930000003</v>
      </c>
      <c r="F291" s="256">
        <v>12572374.609999999</v>
      </c>
      <c r="G291" s="255">
        <v>9198030.660000002</v>
      </c>
      <c r="H291" s="255">
        <v>111756</v>
      </c>
      <c r="I291" s="254">
        <v>3984847.6599999997</v>
      </c>
      <c r="K291" s="250"/>
    </row>
    <row r="292" spans="1:11" ht="15" customHeight="1">
      <c r="A292" s="7" t="s">
        <v>235</v>
      </c>
      <c r="B292" s="7" t="s">
        <v>572</v>
      </c>
      <c r="C292" s="7" t="s">
        <v>722</v>
      </c>
      <c r="D292" s="295" t="s">
        <v>877</v>
      </c>
      <c r="E292" s="315">
        <v>79243860.780000016</v>
      </c>
      <c r="F292" s="256">
        <v>35264865.940000005</v>
      </c>
      <c r="G292" s="255">
        <v>31946401.220000003</v>
      </c>
      <c r="H292" s="255">
        <v>584864.59000000008</v>
      </c>
      <c r="I292" s="254">
        <v>11447729.029999999</v>
      </c>
      <c r="K292" s="250"/>
    </row>
    <row r="293" spans="1:11" ht="15" customHeight="1">
      <c r="A293" s="7" t="s">
        <v>236</v>
      </c>
      <c r="B293" s="7" t="s">
        <v>573</v>
      </c>
      <c r="C293" s="7" t="s">
        <v>722</v>
      </c>
      <c r="D293" s="295" t="s">
        <v>872</v>
      </c>
      <c r="E293" s="315">
        <v>31286123.310000002</v>
      </c>
      <c r="F293" s="256">
        <v>15126212.199999999</v>
      </c>
      <c r="G293" s="255">
        <v>11019189.780000001</v>
      </c>
      <c r="H293" s="255">
        <v>122740.01</v>
      </c>
      <c r="I293" s="254">
        <v>5017981.32</v>
      </c>
      <c r="K293" s="250"/>
    </row>
    <row r="294" spans="1:11" ht="15" customHeight="1">
      <c r="A294" s="7" t="s">
        <v>237</v>
      </c>
      <c r="B294" s="7" t="s">
        <v>574</v>
      </c>
      <c r="C294" s="7" t="s">
        <v>722</v>
      </c>
      <c r="D294" s="295" t="s">
        <v>875</v>
      </c>
      <c r="E294" s="315">
        <v>15946407.099999998</v>
      </c>
      <c r="F294" s="256">
        <v>7818856.0399999991</v>
      </c>
      <c r="G294" s="255">
        <v>5475472.6799999997</v>
      </c>
      <c r="H294" s="255">
        <v>82794.600000000006</v>
      </c>
      <c r="I294" s="254">
        <v>2569283.7800000003</v>
      </c>
      <c r="K294" s="250"/>
    </row>
    <row r="295" spans="1:11" ht="15" customHeight="1">
      <c r="A295" s="7" t="s">
        <v>239</v>
      </c>
      <c r="B295" s="7" t="s">
        <v>575</v>
      </c>
      <c r="C295" s="7" t="s">
        <v>723</v>
      </c>
      <c r="D295" s="295" t="s">
        <v>874</v>
      </c>
      <c r="E295" s="315">
        <v>49337169.609999999</v>
      </c>
      <c r="F295" s="256">
        <v>23386346.379999999</v>
      </c>
      <c r="G295" s="255">
        <v>18019093.010000002</v>
      </c>
      <c r="H295" s="255">
        <v>340436.67</v>
      </c>
      <c r="I295" s="254">
        <v>7591293.5499999989</v>
      </c>
      <c r="K295" s="250"/>
    </row>
    <row r="296" spans="1:11" ht="15" customHeight="1">
      <c r="A296" s="7" t="s">
        <v>238</v>
      </c>
      <c r="B296" s="7" t="s">
        <v>814</v>
      </c>
      <c r="C296" s="7" t="s">
        <v>723</v>
      </c>
      <c r="D296" s="295" t="s">
        <v>874</v>
      </c>
      <c r="E296" s="315">
        <v>99331306.079999998</v>
      </c>
      <c r="F296" s="256">
        <v>46240722.200000003</v>
      </c>
      <c r="G296" s="255">
        <v>37300931.899999991</v>
      </c>
      <c r="H296" s="255">
        <v>966709.28</v>
      </c>
      <c r="I296" s="254">
        <v>14822942.700000001</v>
      </c>
      <c r="K296" s="250"/>
    </row>
    <row r="297" spans="1:11" ht="15" customHeight="1">
      <c r="A297" s="7" t="s">
        <v>240</v>
      </c>
      <c r="B297" s="7" t="s">
        <v>576</v>
      </c>
      <c r="C297" s="7" t="s">
        <v>723</v>
      </c>
      <c r="D297" s="295" t="s">
        <v>873</v>
      </c>
      <c r="E297" s="315">
        <v>57406051.019999996</v>
      </c>
      <c r="F297" s="256">
        <v>28609867.339999996</v>
      </c>
      <c r="G297" s="255">
        <v>19586034.450000003</v>
      </c>
      <c r="H297" s="255">
        <v>359424.19</v>
      </c>
      <c r="I297" s="254">
        <v>8850725.0399999991</v>
      </c>
      <c r="K297" s="250"/>
    </row>
    <row r="298" spans="1:11" ht="15" customHeight="1">
      <c r="A298" s="7" t="s">
        <v>241</v>
      </c>
      <c r="B298" s="7" t="s">
        <v>577</v>
      </c>
      <c r="C298" s="7" t="s">
        <v>723</v>
      </c>
      <c r="D298" s="295" t="s">
        <v>873</v>
      </c>
      <c r="E298" s="315">
        <v>31437693.409999996</v>
      </c>
      <c r="F298" s="256">
        <v>15607864.789999999</v>
      </c>
      <c r="G298" s="255">
        <v>10750049.609999999</v>
      </c>
      <c r="H298" s="255">
        <v>144456.09</v>
      </c>
      <c r="I298" s="254">
        <v>4935322.92</v>
      </c>
      <c r="K298" s="250"/>
    </row>
    <row r="299" spans="1:11" ht="15" customHeight="1">
      <c r="A299" s="7" t="s">
        <v>242</v>
      </c>
      <c r="B299" s="7" t="s">
        <v>578</v>
      </c>
      <c r="C299" s="7" t="s">
        <v>723</v>
      </c>
      <c r="D299" s="295" t="s">
        <v>874</v>
      </c>
      <c r="E299" s="315">
        <v>82214024.019999996</v>
      </c>
      <c r="F299" s="256">
        <v>35989448.729999997</v>
      </c>
      <c r="G299" s="255">
        <v>33413255.510000002</v>
      </c>
      <c r="H299" s="255">
        <v>440075.62</v>
      </c>
      <c r="I299" s="254">
        <v>12371244.16</v>
      </c>
      <c r="K299" s="250"/>
    </row>
    <row r="300" spans="1:11" ht="15" customHeight="1">
      <c r="A300" s="7" t="s">
        <v>243</v>
      </c>
      <c r="B300" s="7" t="s">
        <v>579</v>
      </c>
      <c r="C300" s="7" t="s">
        <v>723</v>
      </c>
      <c r="D300" s="295" t="s">
        <v>872</v>
      </c>
      <c r="E300" s="315">
        <v>44575152.780000001</v>
      </c>
      <c r="F300" s="256">
        <v>20846011.129999999</v>
      </c>
      <c r="G300" s="255">
        <v>16768290.760000002</v>
      </c>
      <c r="H300" s="255">
        <v>144342.71</v>
      </c>
      <c r="I300" s="254">
        <v>6816508.1799999997</v>
      </c>
      <c r="K300" s="250"/>
    </row>
    <row r="301" spans="1:11" ht="15" customHeight="1">
      <c r="A301" s="7" t="s">
        <v>244</v>
      </c>
      <c r="B301" s="7" t="s">
        <v>580</v>
      </c>
      <c r="C301" s="7" t="s">
        <v>723</v>
      </c>
      <c r="D301" s="295" t="s">
        <v>877</v>
      </c>
      <c r="E301" s="315">
        <v>126223878.42999999</v>
      </c>
      <c r="F301" s="256">
        <v>54771891.909999996</v>
      </c>
      <c r="G301" s="255">
        <v>52590718.630000003</v>
      </c>
      <c r="H301" s="255">
        <v>441512.3</v>
      </c>
      <c r="I301" s="254">
        <v>18419755.590000004</v>
      </c>
      <c r="K301" s="250"/>
    </row>
    <row r="302" spans="1:11" ht="15" customHeight="1">
      <c r="A302" s="7" t="s">
        <v>245</v>
      </c>
      <c r="B302" s="7" t="s">
        <v>581</v>
      </c>
      <c r="C302" s="7" t="s">
        <v>723</v>
      </c>
      <c r="D302" s="295" t="s">
        <v>874</v>
      </c>
      <c r="E302" s="315">
        <v>218099381.01999998</v>
      </c>
      <c r="F302" s="256">
        <v>96480906.399999991</v>
      </c>
      <c r="G302" s="255">
        <v>89552047.629999995</v>
      </c>
      <c r="H302" s="255">
        <v>1042070.5</v>
      </c>
      <c r="I302" s="254">
        <v>31024356.490000002</v>
      </c>
      <c r="K302" s="250"/>
    </row>
    <row r="303" spans="1:11" ht="15" customHeight="1">
      <c r="A303" s="7" t="s">
        <v>246</v>
      </c>
      <c r="B303" s="7" t="s">
        <v>582</v>
      </c>
      <c r="C303" s="7" t="s">
        <v>723</v>
      </c>
      <c r="D303" s="295" t="s">
        <v>874</v>
      </c>
      <c r="E303" s="315">
        <v>108362551.61000001</v>
      </c>
      <c r="F303" s="256">
        <v>50550069.410000011</v>
      </c>
      <c r="G303" s="255">
        <v>41491926.759999998</v>
      </c>
      <c r="H303" s="255">
        <v>84738.96</v>
      </c>
      <c r="I303" s="254">
        <v>16235816.48</v>
      </c>
      <c r="K303" s="250"/>
    </row>
    <row r="304" spans="1:11" ht="15" customHeight="1">
      <c r="A304" s="7" t="s">
        <v>247</v>
      </c>
      <c r="B304" s="7" t="s">
        <v>583</v>
      </c>
      <c r="C304" s="7" t="s">
        <v>723</v>
      </c>
      <c r="D304" s="295" t="s">
        <v>877</v>
      </c>
      <c r="E304" s="315">
        <v>57552066</v>
      </c>
      <c r="F304" s="256">
        <v>26387359.300000001</v>
      </c>
      <c r="G304" s="255">
        <v>22442885.73</v>
      </c>
      <c r="H304" s="255">
        <v>126670.67</v>
      </c>
      <c r="I304" s="254">
        <v>8595150.3000000007</v>
      </c>
      <c r="K304" s="250"/>
    </row>
    <row r="305" spans="1:11" ht="15" customHeight="1">
      <c r="A305" s="7" t="s">
        <v>248</v>
      </c>
      <c r="B305" s="7" t="s">
        <v>584</v>
      </c>
      <c r="C305" s="7" t="s">
        <v>723</v>
      </c>
      <c r="D305" s="295" t="s">
        <v>874</v>
      </c>
      <c r="E305" s="315">
        <v>210436073.22000003</v>
      </c>
      <c r="F305" s="256">
        <v>98170587.560000002</v>
      </c>
      <c r="G305" s="255">
        <v>79778225.360000014</v>
      </c>
      <c r="H305" s="255">
        <v>720780.18</v>
      </c>
      <c r="I305" s="254">
        <v>31766480.120000005</v>
      </c>
      <c r="K305" s="250"/>
    </row>
    <row r="306" spans="1:11" ht="15" customHeight="1">
      <c r="A306" s="7" t="s">
        <v>249</v>
      </c>
      <c r="B306" s="7" t="s">
        <v>585</v>
      </c>
      <c r="C306" s="7" t="s">
        <v>723</v>
      </c>
      <c r="D306" s="295" t="s">
        <v>877</v>
      </c>
      <c r="E306" s="315">
        <v>77391553.660000011</v>
      </c>
      <c r="F306" s="256">
        <v>35225267.600000001</v>
      </c>
      <c r="G306" s="255">
        <v>30195845.100000005</v>
      </c>
      <c r="H306" s="255">
        <v>311048.51999999996</v>
      </c>
      <c r="I306" s="254">
        <v>11659392.439999999</v>
      </c>
      <c r="K306" s="250"/>
    </row>
    <row r="307" spans="1:11" ht="15" customHeight="1">
      <c r="A307" s="7" t="s">
        <v>250</v>
      </c>
      <c r="B307" s="7" t="s">
        <v>586</v>
      </c>
      <c r="C307" s="7" t="s">
        <v>723</v>
      </c>
      <c r="D307" s="295" t="s">
        <v>874</v>
      </c>
      <c r="E307" s="315">
        <v>111703002.7</v>
      </c>
      <c r="F307" s="256">
        <v>52539156.600000001</v>
      </c>
      <c r="G307" s="255">
        <v>42000422.369999997</v>
      </c>
      <c r="H307" s="255">
        <v>603480.44000000006</v>
      </c>
      <c r="I307" s="254">
        <v>16559943.290000001</v>
      </c>
      <c r="K307" s="250"/>
    </row>
    <row r="308" spans="1:11" ht="15" customHeight="1">
      <c r="A308" s="7" t="s">
        <v>251</v>
      </c>
      <c r="B308" s="7" t="s">
        <v>587</v>
      </c>
      <c r="C308" s="7" t="s">
        <v>723</v>
      </c>
      <c r="D308" s="295" t="s">
        <v>877</v>
      </c>
      <c r="E308" s="315">
        <v>145915167.75999999</v>
      </c>
      <c r="F308" s="256">
        <v>65010089.810000002</v>
      </c>
      <c r="G308" s="255">
        <v>59162760.879999995</v>
      </c>
      <c r="H308" s="255">
        <v>656462.7300000001</v>
      </c>
      <c r="I308" s="254">
        <v>21085854.34</v>
      </c>
      <c r="K308" s="250"/>
    </row>
    <row r="309" spans="1:11" ht="15" customHeight="1">
      <c r="A309" s="7" t="s">
        <v>252</v>
      </c>
      <c r="B309" s="7" t="s">
        <v>588</v>
      </c>
      <c r="C309" s="7" t="s">
        <v>723</v>
      </c>
      <c r="D309" s="295" t="s">
        <v>874</v>
      </c>
      <c r="E309" s="315">
        <v>141704683.17000002</v>
      </c>
      <c r="F309" s="256">
        <v>64683227.480000004</v>
      </c>
      <c r="G309" s="255">
        <v>54957583.129999995</v>
      </c>
      <c r="H309" s="255">
        <v>1103346.0099999998</v>
      </c>
      <c r="I309" s="254">
        <v>20960526.550000004</v>
      </c>
      <c r="K309" s="250"/>
    </row>
    <row r="310" spans="1:11" ht="15" customHeight="1">
      <c r="A310" s="7" t="s">
        <v>263</v>
      </c>
      <c r="B310" s="7" t="s">
        <v>815</v>
      </c>
      <c r="C310" s="7" t="s">
        <v>723</v>
      </c>
      <c r="D310" s="295" t="s">
        <v>877</v>
      </c>
      <c r="E310" s="315">
        <v>34443053.810000002</v>
      </c>
      <c r="F310" s="256">
        <v>15788622.519999998</v>
      </c>
      <c r="G310" s="255">
        <v>13381732.419999998</v>
      </c>
      <c r="H310" s="255">
        <v>252081.37</v>
      </c>
      <c r="I310" s="254">
        <v>5020617.5</v>
      </c>
      <c r="K310" s="250"/>
    </row>
    <row r="311" spans="1:11" ht="15" customHeight="1">
      <c r="A311" s="7" t="s">
        <v>264</v>
      </c>
      <c r="B311" s="7" t="s">
        <v>816</v>
      </c>
      <c r="C311" s="7" t="s">
        <v>723</v>
      </c>
      <c r="D311" s="295" t="s">
        <v>874</v>
      </c>
      <c r="E311" s="315">
        <v>81176803.549999997</v>
      </c>
      <c r="F311" s="256">
        <v>38690671.659999996</v>
      </c>
      <c r="G311" s="255">
        <v>30070357.48</v>
      </c>
      <c r="H311" s="255">
        <v>302516.89</v>
      </c>
      <c r="I311" s="254">
        <v>12113257.52</v>
      </c>
      <c r="K311" s="250"/>
    </row>
    <row r="312" spans="1:11" ht="15" customHeight="1">
      <c r="A312" s="7" t="s">
        <v>253</v>
      </c>
      <c r="B312" s="7" t="s">
        <v>589</v>
      </c>
      <c r="C312" s="7" t="s">
        <v>723</v>
      </c>
      <c r="D312" s="295" t="s">
        <v>874</v>
      </c>
      <c r="E312" s="315">
        <v>109410302.10000001</v>
      </c>
      <c r="F312" s="256">
        <v>48832465.210000001</v>
      </c>
      <c r="G312" s="255">
        <v>43970480.07</v>
      </c>
      <c r="H312" s="255">
        <v>464272.87</v>
      </c>
      <c r="I312" s="254">
        <v>16143083.949999999</v>
      </c>
      <c r="K312" s="250"/>
    </row>
    <row r="313" spans="1:11" ht="15" customHeight="1">
      <c r="A313" s="7" t="s">
        <v>267</v>
      </c>
      <c r="B313" s="7" t="s">
        <v>817</v>
      </c>
      <c r="C313" s="7" t="s">
        <v>723</v>
      </c>
      <c r="D313" s="295" t="s">
        <v>871</v>
      </c>
      <c r="E313" s="315">
        <v>65523989.159999996</v>
      </c>
      <c r="F313" s="256">
        <v>29241536.109999999</v>
      </c>
      <c r="G313" s="255">
        <v>26462597.989999998</v>
      </c>
      <c r="H313" s="255">
        <v>354511.33</v>
      </c>
      <c r="I313" s="254">
        <v>9465343.7300000004</v>
      </c>
      <c r="K313" s="250"/>
    </row>
    <row r="314" spans="1:11" ht="15" customHeight="1">
      <c r="A314" s="7" t="s">
        <v>265</v>
      </c>
      <c r="B314" s="7" t="s">
        <v>818</v>
      </c>
      <c r="C314" s="7" t="s">
        <v>723</v>
      </c>
      <c r="D314" s="295" t="s">
        <v>873</v>
      </c>
      <c r="E314" s="315">
        <v>82877555.159999996</v>
      </c>
      <c r="F314" s="256">
        <v>38708018.93</v>
      </c>
      <c r="G314" s="255">
        <v>31940694.270000003</v>
      </c>
      <c r="H314" s="255">
        <v>419973.58</v>
      </c>
      <c r="I314" s="254">
        <v>11808868.379999999</v>
      </c>
      <c r="K314" s="250"/>
    </row>
    <row r="315" spans="1:11" ht="15" customHeight="1">
      <c r="A315" s="7" t="s">
        <v>254</v>
      </c>
      <c r="B315" s="7" t="s">
        <v>590</v>
      </c>
      <c r="C315" s="7" t="s">
        <v>723</v>
      </c>
      <c r="D315" s="295" t="s">
        <v>874</v>
      </c>
      <c r="E315" s="315">
        <v>99731253.890000001</v>
      </c>
      <c r="F315" s="256">
        <v>44562160.829999998</v>
      </c>
      <c r="G315" s="255">
        <v>40406634.909999996</v>
      </c>
      <c r="H315" s="255">
        <v>570706.25</v>
      </c>
      <c r="I315" s="254">
        <v>14191751.9</v>
      </c>
      <c r="K315" s="250"/>
    </row>
    <row r="316" spans="1:11" ht="15" customHeight="1">
      <c r="A316" s="7" t="s">
        <v>255</v>
      </c>
      <c r="B316" s="7" t="s">
        <v>591</v>
      </c>
      <c r="C316" s="7" t="s">
        <v>723</v>
      </c>
      <c r="D316" s="295" t="s">
        <v>874</v>
      </c>
      <c r="E316" s="315">
        <v>54078089.359999999</v>
      </c>
      <c r="F316" s="256">
        <v>25493909.940000001</v>
      </c>
      <c r="G316" s="255">
        <v>20354706.510000002</v>
      </c>
      <c r="H316" s="255">
        <v>166059.66</v>
      </c>
      <c r="I316" s="254">
        <v>8063413.2500000009</v>
      </c>
      <c r="K316" s="250"/>
    </row>
    <row r="317" spans="1:11" ht="15" customHeight="1">
      <c r="A317" s="7" t="s">
        <v>256</v>
      </c>
      <c r="B317" s="7" t="s">
        <v>819</v>
      </c>
      <c r="C317" s="7" t="s">
        <v>723</v>
      </c>
      <c r="D317" s="295" t="s">
        <v>874</v>
      </c>
      <c r="E317" s="315">
        <v>193736817.14999998</v>
      </c>
      <c r="F317" s="256">
        <v>83781332.849999994</v>
      </c>
      <c r="G317" s="255">
        <v>81845129.169999987</v>
      </c>
      <c r="H317" s="255">
        <v>766372.91999999993</v>
      </c>
      <c r="I317" s="254">
        <v>27343982.210000001</v>
      </c>
      <c r="K317" s="250"/>
    </row>
    <row r="318" spans="1:11" ht="15" customHeight="1">
      <c r="A318" s="7" t="s">
        <v>257</v>
      </c>
      <c r="B318" s="7" t="s">
        <v>592</v>
      </c>
      <c r="C318" s="7" t="s">
        <v>723</v>
      </c>
      <c r="D318" s="295" t="s">
        <v>882</v>
      </c>
      <c r="E318" s="315">
        <v>257366241.38999999</v>
      </c>
      <c r="F318" s="256">
        <v>115444913.79999998</v>
      </c>
      <c r="G318" s="255">
        <v>103531957.67000002</v>
      </c>
      <c r="H318" s="255">
        <v>1236627.9500000002</v>
      </c>
      <c r="I318" s="254">
        <v>37152741.969999991</v>
      </c>
      <c r="K318" s="250"/>
    </row>
    <row r="319" spans="1:11" ht="15" customHeight="1">
      <c r="A319" s="7" t="s">
        <v>258</v>
      </c>
      <c r="B319" s="7" t="s">
        <v>593</v>
      </c>
      <c r="C319" s="7" t="s">
        <v>723</v>
      </c>
      <c r="D319" s="295" t="s">
        <v>873</v>
      </c>
      <c r="E319" s="315">
        <v>49820029.290000007</v>
      </c>
      <c r="F319" s="256">
        <v>24289338.960000001</v>
      </c>
      <c r="G319" s="255">
        <v>17716727.220000003</v>
      </c>
      <c r="H319" s="255">
        <v>186525.25</v>
      </c>
      <c r="I319" s="254">
        <v>7627437.8600000003</v>
      </c>
      <c r="K319" s="250"/>
    </row>
    <row r="320" spans="1:11" ht="15" customHeight="1">
      <c r="A320" s="7" t="s">
        <v>259</v>
      </c>
      <c r="B320" s="7" t="s">
        <v>594</v>
      </c>
      <c r="C320" s="7" t="s">
        <v>723</v>
      </c>
      <c r="D320" s="295" t="s">
        <v>873</v>
      </c>
      <c r="E320" s="315">
        <v>35730865.320000008</v>
      </c>
      <c r="F320" s="256">
        <v>17230076.290000003</v>
      </c>
      <c r="G320" s="255">
        <v>12942529.400000002</v>
      </c>
      <c r="H320" s="255">
        <v>238765.32</v>
      </c>
      <c r="I320" s="254">
        <v>5319494.3099999996</v>
      </c>
      <c r="K320" s="250"/>
    </row>
    <row r="321" spans="1:11" ht="15" customHeight="1">
      <c r="A321" s="7" t="s">
        <v>261</v>
      </c>
      <c r="B321" s="7" t="s">
        <v>820</v>
      </c>
      <c r="C321" s="7" t="s">
        <v>723</v>
      </c>
      <c r="D321" s="295" t="s">
        <v>877</v>
      </c>
      <c r="E321" s="315">
        <v>96406441.229999989</v>
      </c>
      <c r="F321" s="256">
        <v>46228014.100000001</v>
      </c>
      <c r="G321" s="255">
        <v>35400193.939999998</v>
      </c>
      <c r="H321" s="255">
        <v>447779.55</v>
      </c>
      <c r="I321" s="254">
        <v>14330453.639999999</v>
      </c>
      <c r="K321" s="250"/>
    </row>
    <row r="322" spans="1:11" ht="15" customHeight="1">
      <c r="A322" s="7" t="s">
        <v>262</v>
      </c>
      <c r="B322" s="7" t="s">
        <v>821</v>
      </c>
      <c r="C322" s="7" t="s">
        <v>723</v>
      </c>
      <c r="D322" s="295" t="s">
        <v>872</v>
      </c>
      <c r="E322" s="315">
        <v>52775945.5</v>
      </c>
      <c r="F322" s="256">
        <v>26463492.079999998</v>
      </c>
      <c r="G322" s="255">
        <v>18154686.139999997</v>
      </c>
      <c r="H322" s="255">
        <v>178142.1</v>
      </c>
      <c r="I322" s="254">
        <v>7979625.1799999997</v>
      </c>
      <c r="K322" s="250"/>
    </row>
    <row r="323" spans="1:11" ht="15" customHeight="1">
      <c r="A323" s="7" t="s">
        <v>260</v>
      </c>
      <c r="B323" s="7" t="s">
        <v>595</v>
      </c>
      <c r="C323" s="7" t="s">
        <v>723</v>
      </c>
      <c r="D323" s="295" t="s">
        <v>874</v>
      </c>
      <c r="E323" s="315">
        <v>142042922.91999999</v>
      </c>
      <c r="F323" s="256">
        <v>66468034.200000003</v>
      </c>
      <c r="G323" s="255">
        <v>52857409.149999999</v>
      </c>
      <c r="H323" s="255">
        <v>666350.48</v>
      </c>
      <c r="I323" s="254">
        <v>22051129.09</v>
      </c>
      <c r="K323" s="250"/>
    </row>
    <row r="324" spans="1:11" ht="15" customHeight="1">
      <c r="A324" s="7" t="s">
        <v>268</v>
      </c>
      <c r="B324" s="7" t="s">
        <v>596</v>
      </c>
      <c r="C324" s="7" t="s">
        <v>723</v>
      </c>
      <c r="D324" s="295" t="s">
        <v>874</v>
      </c>
      <c r="E324" s="315">
        <v>107553791.08</v>
      </c>
      <c r="F324" s="256">
        <v>49141195.159999996</v>
      </c>
      <c r="G324" s="255">
        <v>42220482.549999997</v>
      </c>
      <c r="H324" s="255">
        <v>569332.61</v>
      </c>
      <c r="I324" s="254">
        <v>15622780.760000002</v>
      </c>
      <c r="K324" s="250"/>
    </row>
    <row r="325" spans="1:11" ht="15" customHeight="1">
      <c r="A325" s="7" t="s">
        <v>269</v>
      </c>
      <c r="B325" s="7" t="s">
        <v>597</v>
      </c>
      <c r="C325" s="7" t="s">
        <v>723</v>
      </c>
      <c r="D325" s="295" t="s">
        <v>874</v>
      </c>
      <c r="E325" s="315">
        <v>72554605.069999993</v>
      </c>
      <c r="F325" s="256">
        <v>32182224.349999998</v>
      </c>
      <c r="G325" s="255">
        <v>29541734.800000001</v>
      </c>
      <c r="H325" s="255">
        <v>377729.01</v>
      </c>
      <c r="I325" s="254">
        <v>10452916.909999998</v>
      </c>
      <c r="K325" s="250"/>
    </row>
    <row r="326" spans="1:11" ht="15" customHeight="1">
      <c r="A326" s="7" t="s">
        <v>272</v>
      </c>
      <c r="B326" s="7" t="s">
        <v>598</v>
      </c>
      <c r="C326" s="7" t="s">
        <v>723</v>
      </c>
      <c r="D326" s="295" t="s">
        <v>874</v>
      </c>
      <c r="E326" s="315">
        <v>184014940.25999999</v>
      </c>
      <c r="F326" s="256">
        <v>80709962.459999993</v>
      </c>
      <c r="G326" s="255">
        <v>75694385.209999993</v>
      </c>
      <c r="H326" s="255">
        <v>1222802.54</v>
      </c>
      <c r="I326" s="254">
        <v>26387790.050000001</v>
      </c>
      <c r="K326" s="250"/>
    </row>
    <row r="327" spans="1:11" ht="15" customHeight="1">
      <c r="A327" s="7" t="s">
        <v>273</v>
      </c>
      <c r="B327" s="7" t="s">
        <v>599</v>
      </c>
      <c r="C327" s="7" t="s">
        <v>723</v>
      </c>
      <c r="D327" s="295" t="s">
        <v>873</v>
      </c>
      <c r="E327" s="315">
        <v>26639460.809999999</v>
      </c>
      <c r="F327" s="256">
        <v>12903464.470000001</v>
      </c>
      <c r="G327" s="255">
        <v>9458844.9399999995</v>
      </c>
      <c r="H327" s="255">
        <v>250734.5</v>
      </c>
      <c r="I327" s="254">
        <v>4026416.9</v>
      </c>
      <c r="K327" s="250"/>
    </row>
    <row r="328" spans="1:11" ht="15" customHeight="1">
      <c r="A328" s="7" t="s">
        <v>274</v>
      </c>
      <c r="B328" s="7" t="s">
        <v>600</v>
      </c>
      <c r="C328" s="7" t="s">
        <v>723</v>
      </c>
      <c r="D328" s="295" t="s">
        <v>873</v>
      </c>
      <c r="E328" s="315">
        <v>60973752.43</v>
      </c>
      <c r="F328" s="256">
        <v>28746628.050000001</v>
      </c>
      <c r="G328" s="255">
        <v>22642428.039999999</v>
      </c>
      <c r="H328" s="255">
        <v>399080.86999999994</v>
      </c>
      <c r="I328" s="254">
        <v>9185615.4700000007</v>
      </c>
      <c r="K328" s="250"/>
    </row>
    <row r="329" spans="1:11" ht="15" customHeight="1">
      <c r="A329" s="7" t="s">
        <v>278</v>
      </c>
      <c r="B329" s="7" t="s">
        <v>822</v>
      </c>
      <c r="C329" s="7" t="s">
        <v>723</v>
      </c>
      <c r="D329" s="295" t="s">
        <v>873</v>
      </c>
      <c r="E329" s="315">
        <v>39908509.219999999</v>
      </c>
      <c r="F329" s="256">
        <v>20003264.75</v>
      </c>
      <c r="G329" s="255">
        <v>13321562.1</v>
      </c>
      <c r="H329" s="255">
        <v>404692.16000000003</v>
      </c>
      <c r="I329" s="254">
        <v>6178990.21</v>
      </c>
      <c r="K329" s="250"/>
    </row>
    <row r="330" spans="1:11" ht="15" customHeight="1">
      <c r="A330" s="7" t="s">
        <v>277</v>
      </c>
      <c r="B330" s="7" t="s">
        <v>823</v>
      </c>
      <c r="C330" s="7" t="s">
        <v>723</v>
      </c>
      <c r="D330" s="295" t="s">
        <v>873</v>
      </c>
      <c r="E330" s="315">
        <v>36773490.450000003</v>
      </c>
      <c r="F330" s="256">
        <v>17513410.740000002</v>
      </c>
      <c r="G330" s="255">
        <v>13499529.75</v>
      </c>
      <c r="H330" s="255">
        <v>139719</v>
      </c>
      <c r="I330" s="254">
        <v>5620830.9600000009</v>
      </c>
      <c r="K330" s="250"/>
    </row>
    <row r="331" spans="1:11" ht="15" customHeight="1">
      <c r="A331" s="7" t="s">
        <v>276</v>
      </c>
      <c r="B331" s="7" t="s">
        <v>601</v>
      </c>
      <c r="C331" s="7" t="s">
        <v>723</v>
      </c>
      <c r="D331" s="295" t="s">
        <v>874</v>
      </c>
      <c r="E331" s="315">
        <v>136443403.38</v>
      </c>
      <c r="F331" s="256">
        <v>60590112.920000002</v>
      </c>
      <c r="G331" s="255">
        <v>55527391.019999996</v>
      </c>
      <c r="H331" s="255">
        <v>549123.41</v>
      </c>
      <c r="I331" s="254">
        <v>19776776.029999994</v>
      </c>
      <c r="K331" s="250"/>
    </row>
    <row r="332" spans="1:11" ht="15" customHeight="1">
      <c r="A332" s="7" t="s">
        <v>275</v>
      </c>
      <c r="B332" s="7" t="s">
        <v>824</v>
      </c>
      <c r="C332" s="7" t="s">
        <v>723</v>
      </c>
      <c r="D332" s="295" t="s">
        <v>877</v>
      </c>
      <c r="E332" s="315">
        <v>388599258.57999998</v>
      </c>
      <c r="F332" s="256">
        <v>160839647.61999997</v>
      </c>
      <c r="G332" s="255">
        <v>172276582.21000001</v>
      </c>
      <c r="H332" s="255">
        <v>1911297.7900000003</v>
      </c>
      <c r="I332" s="254">
        <v>53571730.959999993</v>
      </c>
      <c r="K332" s="250"/>
    </row>
    <row r="333" spans="1:11" ht="15" customHeight="1">
      <c r="A333" s="7" t="s">
        <v>279</v>
      </c>
      <c r="B333" s="7" t="s">
        <v>602</v>
      </c>
      <c r="C333" s="7" t="s">
        <v>723</v>
      </c>
      <c r="D333" s="295" t="s">
        <v>877</v>
      </c>
      <c r="E333" s="315">
        <v>51669603.919999994</v>
      </c>
      <c r="F333" s="256">
        <v>23740314.199999999</v>
      </c>
      <c r="G333" s="255">
        <v>19932616.130000003</v>
      </c>
      <c r="H333" s="255">
        <v>245274.76</v>
      </c>
      <c r="I333" s="254">
        <v>7751398.830000001</v>
      </c>
      <c r="K333" s="250"/>
    </row>
    <row r="334" spans="1:11" ht="15" customHeight="1">
      <c r="A334" s="7" t="s">
        <v>280</v>
      </c>
      <c r="B334" s="7" t="s">
        <v>603</v>
      </c>
      <c r="C334" s="7" t="s">
        <v>723</v>
      </c>
      <c r="D334" s="295" t="s">
        <v>873</v>
      </c>
      <c r="E334" s="315">
        <v>43921319.770000003</v>
      </c>
      <c r="F334" s="256">
        <v>21622500.270000003</v>
      </c>
      <c r="G334" s="255">
        <v>15519099.73</v>
      </c>
      <c r="H334" s="255">
        <v>250242.45</v>
      </c>
      <c r="I334" s="254">
        <v>6529477.3200000003</v>
      </c>
      <c r="K334" s="250"/>
    </row>
    <row r="335" spans="1:11" ht="15" customHeight="1">
      <c r="A335" s="7" t="s">
        <v>266</v>
      </c>
      <c r="B335" s="7" t="s">
        <v>825</v>
      </c>
      <c r="C335" s="7" t="s">
        <v>723</v>
      </c>
      <c r="D335" s="295" t="s">
        <v>873</v>
      </c>
      <c r="E335" s="315">
        <v>44475545.280000001</v>
      </c>
      <c r="F335" s="256">
        <v>21831678.619999997</v>
      </c>
      <c r="G335" s="255">
        <v>15690292.42</v>
      </c>
      <c r="H335" s="255">
        <v>245153.84</v>
      </c>
      <c r="I335" s="254">
        <v>6708420.4000000004</v>
      </c>
      <c r="K335" s="250"/>
    </row>
    <row r="336" spans="1:11" ht="15" customHeight="1">
      <c r="A336" s="7" t="s">
        <v>281</v>
      </c>
      <c r="B336" s="7" t="s">
        <v>604</v>
      </c>
      <c r="C336" s="7" t="s">
        <v>723</v>
      </c>
      <c r="D336" s="295" t="s">
        <v>874</v>
      </c>
      <c r="E336" s="315">
        <v>72983299.140000001</v>
      </c>
      <c r="F336" s="256">
        <v>34529611.050000004</v>
      </c>
      <c r="G336" s="255">
        <v>26781618.340000004</v>
      </c>
      <c r="H336" s="255">
        <v>558420.66</v>
      </c>
      <c r="I336" s="254">
        <v>11113649.09</v>
      </c>
      <c r="K336" s="250"/>
    </row>
    <row r="337" spans="1:11" ht="15" customHeight="1">
      <c r="A337" s="7" t="s">
        <v>271</v>
      </c>
      <c r="B337" s="7" t="s">
        <v>826</v>
      </c>
      <c r="C337" s="7" t="s">
        <v>723</v>
      </c>
      <c r="D337" s="295" t="s">
        <v>873</v>
      </c>
      <c r="E337" s="315">
        <v>44827524.599999994</v>
      </c>
      <c r="F337" s="256">
        <v>22077310.879999995</v>
      </c>
      <c r="G337" s="255">
        <v>15946265.43</v>
      </c>
      <c r="H337" s="255">
        <v>187868.41</v>
      </c>
      <c r="I337" s="254">
        <v>6616079.8799999999</v>
      </c>
      <c r="K337" s="250"/>
    </row>
    <row r="338" spans="1:11" ht="15" customHeight="1">
      <c r="A338" s="7" t="s">
        <v>270</v>
      </c>
      <c r="B338" s="7" t="s">
        <v>827</v>
      </c>
      <c r="C338" s="7" t="s">
        <v>723</v>
      </c>
      <c r="D338" s="295" t="s">
        <v>873</v>
      </c>
      <c r="E338" s="315">
        <v>33890997.700000003</v>
      </c>
      <c r="F338" s="256">
        <v>17184482.629999999</v>
      </c>
      <c r="G338" s="255">
        <v>11385768.48</v>
      </c>
      <c r="H338" s="255">
        <v>150639.66999999998</v>
      </c>
      <c r="I338" s="254">
        <v>5170106.92</v>
      </c>
      <c r="K338" s="250"/>
    </row>
    <row r="339" spans="1:11" ht="15" customHeight="1">
      <c r="A339" s="7" t="s">
        <v>282</v>
      </c>
      <c r="B339" s="7" t="s">
        <v>605</v>
      </c>
      <c r="C339" s="7" t="s">
        <v>724</v>
      </c>
      <c r="D339" s="295" t="s">
        <v>877</v>
      </c>
      <c r="E339" s="315">
        <v>19800195.869999997</v>
      </c>
      <c r="F339" s="256">
        <v>8932314.5700000003</v>
      </c>
      <c r="G339" s="255">
        <v>7649452.6199999992</v>
      </c>
      <c r="H339" s="255">
        <v>152980</v>
      </c>
      <c r="I339" s="254">
        <v>3065448.6799999997</v>
      </c>
      <c r="K339" s="250"/>
    </row>
    <row r="340" spans="1:11" ht="15" customHeight="1">
      <c r="A340" s="7" t="s">
        <v>322</v>
      </c>
      <c r="B340" s="7" t="s">
        <v>896</v>
      </c>
      <c r="C340" s="7" t="s">
        <v>724</v>
      </c>
      <c r="D340" s="295" t="s">
        <v>873</v>
      </c>
      <c r="E340" s="315">
        <v>22789733.27</v>
      </c>
      <c r="F340" s="256">
        <v>11720980.270000001</v>
      </c>
      <c r="G340" s="255">
        <v>7056256.7999999989</v>
      </c>
      <c r="H340" s="255">
        <v>129795.5</v>
      </c>
      <c r="I340" s="254">
        <v>3882700.6999999997</v>
      </c>
      <c r="K340" s="250"/>
    </row>
    <row r="341" spans="1:11" ht="15" customHeight="1">
      <c r="A341" s="7" t="s">
        <v>323</v>
      </c>
      <c r="B341" s="7" t="s">
        <v>897</v>
      </c>
      <c r="C341" s="7" t="s">
        <v>724</v>
      </c>
      <c r="D341" s="295" t="s">
        <v>872</v>
      </c>
      <c r="E341" s="315">
        <v>18062454.620000001</v>
      </c>
      <c r="F341" s="256">
        <v>8894302.9299999997</v>
      </c>
      <c r="G341" s="255">
        <v>6131493.3600000003</v>
      </c>
      <c r="H341" s="255">
        <v>64067.239999999991</v>
      </c>
      <c r="I341" s="254">
        <v>2972591.0900000008</v>
      </c>
      <c r="K341" s="250"/>
    </row>
    <row r="342" spans="1:11" ht="15" customHeight="1">
      <c r="A342" s="7" t="s">
        <v>283</v>
      </c>
      <c r="B342" s="7" t="s">
        <v>828</v>
      </c>
      <c r="C342" s="7" t="s">
        <v>724</v>
      </c>
      <c r="D342" s="295" t="s">
        <v>872</v>
      </c>
      <c r="E342" s="315">
        <v>21567652.599999998</v>
      </c>
      <c r="F342" s="256">
        <v>11569243.559999999</v>
      </c>
      <c r="G342" s="255">
        <v>6208736.9899999993</v>
      </c>
      <c r="H342" s="255">
        <v>79752.929999999993</v>
      </c>
      <c r="I342" s="254">
        <v>3709919.12</v>
      </c>
      <c r="K342" s="250"/>
    </row>
    <row r="343" spans="1:11" ht="15" customHeight="1">
      <c r="A343" s="7" t="s">
        <v>285</v>
      </c>
      <c r="B343" s="7" t="s">
        <v>606</v>
      </c>
      <c r="C343" s="7" t="s">
        <v>724</v>
      </c>
      <c r="D343" s="295" t="s">
        <v>877</v>
      </c>
      <c r="E343" s="315">
        <v>46364939.519999996</v>
      </c>
      <c r="F343" s="256">
        <v>20299262.009999998</v>
      </c>
      <c r="G343" s="255">
        <v>18753290.329999998</v>
      </c>
      <c r="H343" s="255">
        <v>400396.86</v>
      </c>
      <c r="I343" s="254">
        <v>6911990.3200000012</v>
      </c>
      <c r="K343" s="250"/>
    </row>
    <row r="344" spans="1:11" ht="15" customHeight="1">
      <c r="A344" s="7" t="s">
        <v>286</v>
      </c>
      <c r="B344" s="7" t="s">
        <v>607</v>
      </c>
      <c r="C344" s="7" t="s">
        <v>724</v>
      </c>
      <c r="D344" s="295" t="s">
        <v>872</v>
      </c>
      <c r="E344" s="315">
        <v>45897841.299999997</v>
      </c>
      <c r="F344" s="256">
        <v>22084951.439999998</v>
      </c>
      <c r="G344" s="255">
        <v>16302812.259999998</v>
      </c>
      <c r="H344" s="255">
        <v>269137.86</v>
      </c>
      <c r="I344" s="254">
        <v>7240939.7400000002</v>
      </c>
      <c r="K344" s="250"/>
    </row>
    <row r="345" spans="1:11" ht="15" customHeight="1">
      <c r="A345" s="7" t="s">
        <v>287</v>
      </c>
      <c r="B345" s="7" t="s">
        <v>608</v>
      </c>
      <c r="C345" s="7" t="s">
        <v>724</v>
      </c>
      <c r="D345" s="295" t="s">
        <v>872</v>
      </c>
      <c r="E345" s="315">
        <v>37874417.089999996</v>
      </c>
      <c r="F345" s="256">
        <v>18998138.269999996</v>
      </c>
      <c r="G345" s="255">
        <v>12655708.860000001</v>
      </c>
      <c r="H345" s="255">
        <v>300476.45</v>
      </c>
      <c r="I345" s="254">
        <v>5920093.5099999998</v>
      </c>
      <c r="K345" s="250"/>
    </row>
    <row r="346" spans="1:11" ht="15" customHeight="1">
      <c r="A346" s="7" t="s">
        <v>291</v>
      </c>
      <c r="B346" s="7" t="s">
        <v>609</v>
      </c>
      <c r="C346" s="7" t="s">
        <v>724</v>
      </c>
      <c r="D346" s="295" t="s">
        <v>877</v>
      </c>
      <c r="E346" s="315">
        <v>30365255.829999998</v>
      </c>
      <c r="F346" s="256">
        <v>14472279.259999998</v>
      </c>
      <c r="G346" s="255">
        <v>10715823.780000001</v>
      </c>
      <c r="H346" s="255">
        <v>240341</v>
      </c>
      <c r="I346" s="254">
        <v>4936811.79</v>
      </c>
      <c r="K346" s="250"/>
    </row>
    <row r="347" spans="1:11" ht="15" customHeight="1">
      <c r="A347" s="7" t="s">
        <v>292</v>
      </c>
      <c r="B347" s="7" t="s">
        <v>610</v>
      </c>
      <c r="C347" s="7" t="s">
        <v>724</v>
      </c>
      <c r="D347" s="295" t="s">
        <v>872</v>
      </c>
      <c r="E347" s="315">
        <v>18866267.949999999</v>
      </c>
      <c r="F347" s="256">
        <v>9546270.3699999992</v>
      </c>
      <c r="G347" s="255">
        <v>6097005.5499999989</v>
      </c>
      <c r="H347" s="255">
        <v>141718.88</v>
      </c>
      <c r="I347" s="254">
        <v>3081273.15</v>
      </c>
      <c r="K347" s="250"/>
    </row>
    <row r="348" spans="1:11" ht="15" customHeight="1">
      <c r="A348" s="7" t="s">
        <v>293</v>
      </c>
      <c r="B348" s="7" t="s">
        <v>611</v>
      </c>
      <c r="C348" s="7" t="s">
        <v>724</v>
      </c>
      <c r="D348" s="295" t="s">
        <v>875</v>
      </c>
      <c r="E348" s="315">
        <v>17573791.329999998</v>
      </c>
      <c r="F348" s="256">
        <v>8930764.6699999999</v>
      </c>
      <c r="G348" s="255">
        <v>5575612.3200000003</v>
      </c>
      <c r="H348" s="255">
        <v>115030.07</v>
      </c>
      <c r="I348" s="254">
        <v>2952384.2699999996</v>
      </c>
      <c r="K348" s="250"/>
    </row>
    <row r="349" spans="1:11" ht="15" customHeight="1">
      <c r="A349" s="7" t="s">
        <v>298</v>
      </c>
      <c r="B349" s="7" t="s">
        <v>829</v>
      </c>
      <c r="C349" s="7" t="s">
        <v>724</v>
      </c>
      <c r="D349" s="295" t="s">
        <v>876</v>
      </c>
      <c r="E349" s="315">
        <v>33370055.089999996</v>
      </c>
      <c r="F349" s="256">
        <v>16854777.359999999</v>
      </c>
      <c r="G349" s="255">
        <v>11077033.109999999</v>
      </c>
      <c r="H349" s="255">
        <v>148811.31</v>
      </c>
      <c r="I349" s="254">
        <v>5289433.3100000005</v>
      </c>
      <c r="K349" s="250"/>
    </row>
    <row r="350" spans="1:11" ht="15" customHeight="1">
      <c r="A350" s="7" t="s">
        <v>299</v>
      </c>
      <c r="B350" s="7" t="s">
        <v>830</v>
      </c>
      <c r="C350" s="7" t="s">
        <v>724</v>
      </c>
      <c r="D350" s="295" t="s">
        <v>875</v>
      </c>
      <c r="E350" s="315">
        <v>25700329.070000004</v>
      </c>
      <c r="F350" s="256">
        <v>13517360.960000001</v>
      </c>
      <c r="G350" s="255">
        <v>7824269.5600000005</v>
      </c>
      <c r="H350" s="255">
        <v>137262</v>
      </c>
      <c r="I350" s="254">
        <v>4221436.5500000007</v>
      </c>
      <c r="K350" s="250"/>
    </row>
    <row r="351" spans="1:11" ht="15" customHeight="1">
      <c r="A351" s="7" t="s">
        <v>300</v>
      </c>
      <c r="B351" s="7" t="s">
        <v>831</v>
      </c>
      <c r="C351" s="7" t="s">
        <v>724</v>
      </c>
      <c r="D351" s="295" t="s">
        <v>876</v>
      </c>
      <c r="E351" s="315">
        <v>27778667.300000001</v>
      </c>
      <c r="F351" s="256">
        <v>14313206.41</v>
      </c>
      <c r="G351" s="255">
        <v>8766000.6799999997</v>
      </c>
      <c r="H351" s="255">
        <v>149117.66</v>
      </c>
      <c r="I351" s="254">
        <v>4550342.55</v>
      </c>
      <c r="K351" s="250"/>
    </row>
    <row r="352" spans="1:11" ht="15" customHeight="1">
      <c r="A352" s="7" t="s">
        <v>294</v>
      </c>
      <c r="B352" s="7" t="s">
        <v>612</v>
      </c>
      <c r="C352" s="7" t="s">
        <v>724</v>
      </c>
      <c r="D352" s="295" t="s">
        <v>877</v>
      </c>
      <c r="E352" s="315">
        <v>24701919.550000001</v>
      </c>
      <c r="F352" s="256">
        <v>11831954.460000001</v>
      </c>
      <c r="G352" s="255">
        <v>8701699.3000000007</v>
      </c>
      <c r="H352" s="255">
        <v>201516</v>
      </c>
      <c r="I352" s="254">
        <v>3966749.7900000005</v>
      </c>
      <c r="K352" s="250"/>
    </row>
    <row r="353" spans="1:11" ht="15" customHeight="1">
      <c r="A353" s="7" t="s">
        <v>295</v>
      </c>
      <c r="B353" s="7" t="s">
        <v>613</v>
      </c>
      <c r="C353" s="7" t="s">
        <v>724</v>
      </c>
      <c r="D353" s="295" t="s">
        <v>875</v>
      </c>
      <c r="E353" s="315">
        <v>20347471.940000005</v>
      </c>
      <c r="F353" s="256">
        <v>10495346.690000001</v>
      </c>
      <c r="G353" s="255">
        <v>6317440.2200000016</v>
      </c>
      <c r="H353" s="255">
        <v>119550.63999999998</v>
      </c>
      <c r="I353" s="254">
        <v>3415134.39</v>
      </c>
      <c r="K353" s="250"/>
    </row>
    <row r="354" spans="1:11" ht="15" customHeight="1">
      <c r="A354" s="7" t="s">
        <v>296</v>
      </c>
      <c r="B354" s="7" t="s">
        <v>614</v>
      </c>
      <c r="C354" s="7" t="s">
        <v>724</v>
      </c>
      <c r="D354" s="295" t="s">
        <v>875</v>
      </c>
      <c r="E354" s="315">
        <v>12244418.999999998</v>
      </c>
      <c r="F354" s="256">
        <v>6610504.7799999993</v>
      </c>
      <c r="G354" s="255">
        <v>3507928.28</v>
      </c>
      <c r="H354" s="255">
        <v>42481.329999999994</v>
      </c>
      <c r="I354" s="254">
        <v>2083504.6099999999</v>
      </c>
      <c r="K354" s="250"/>
    </row>
    <row r="355" spans="1:11" ht="15" customHeight="1">
      <c r="A355" s="7" t="s">
        <v>297</v>
      </c>
      <c r="B355" s="7" t="s">
        <v>615</v>
      </c>
      <c r="C355" s="7" t="s">
        <v>724</v>
      </c>
      <c r="D355" s="295" t="s">
        <v>875</v>
      </c>
      <c r="E355" s="315">
        <v>16059601.030000001</v>
      </c>
      <c r="F355" s="256">
        <v>8449800.0300000012</v>
      </c>
      <c r="G355" s="255">
        <v>4882680.2200000007</v>
      </c>
      <c r="H355" s="255">
        <v>63156.68</v>
      </c>
      <c r="I355" s="254">
        <v>2663964.0999999996</v>
      </c>
      <c r="K355" s="250"/>
    </row>
    <row r="356" spans="1:11" ht="15" customHeight="1">
      <c r="A356" s="7" t="s">
        <v>288</v>
      </c>
      <c r="B356" s="7" t="s">
        <v>832</v>
      </c>
      <c r="C356" s="7" t="s">
        <v>724</v>
      </c>
      <c r="D356" s="295" t="s">
        <v>877</v>
      </c>
      <c r="E356" s="315">
        <v>28467148.649999999</v>
      </c>
      <c r="F356" s="256">
        <v>13557241.810000002</v>
      </c>
      <c r="G356" s="255">
        <v>10260465.83</v>
      </c>
      <c r="H356" s="255">
        <v>112636.23</v>
      </c>
      <c r="I356" s="254">
        <v>4536804.7799999993</v>
      </c>
      <c r="K356" s="250"/>
    </row>
    <row r="357" spans="1:11" ht="15" customHeight="1">
      <c r="A357" s="7" t="s">
        <v>289</v>
      </c>
      <c r="B357" s="7" t="s">
        <v>833</v>
      </c>
      <c r="C357" s="7" t="s">
        <v>724</v>
      </c>
      <c r="D357" s="295" t="s">
        <v>872</v>
      </c>
      <c r="E357" s="315">
        <v>23453843.119999997</v>
      </c>
      <c r="F357" s="256">
        <v>12226123.080000002</v>
      </c>
      <c r="G357" s="255">
        <v>7137877.1699999999</v>
      </c>
      <c r="H357" s="255">
        <v>72388.58</v>
      </c>
      <c r="I357" s="254">
        <v>4017454.2900000005</v>
      </c>
      <c r="K357" s="250"/>
    </row>
    <row r="358" spans="1:11" ht="15" customHeight="1">
      <c r="A358" s="7" t="s">
        <v>290</v>
      </c>
      <c r="B358" s="7" t="s">
        <v>834</v>
      </c>
      <c r="C358" s="7" t="s">
        <v>724</v>
      </c>
      <c r="D358" s="295" t="s">
        <v>872</v>
      </c>
      <c r="E358" s="315">
        <v>25710771.270000003</v>
      </c>
      <c r="F358" s="256">
        <v>13620079.950000001</v>
      </c>
      <c r="G358" s="255">
        <v>7573057.9600000009</v>
      </c>
      <c r="H358" s="255">
        <v>130301.3</v>
      </c>
      <c r="I358" s="254">
        <v>4387332.0599999996</v>
      </c>
      <c r="K358" s="250"/>
    </row>
    <row r="359" spans="1:11" ht="15" customHeight="1">
      <c r="A359" s="7" t="s">
        <v>303</v>
      </c>
      <c r="B359" s="7" t="s">
        <v>898</v>
      </c>
      <c r="C359" s="7" t="s">
        <v>724</v>
      </c>
      <c r="D359" s="295" t="s">
        <v>879</v>
      </c>
      <c r="E359" s="315">
        <v>68406079.569999993</v>
      </c>
      <c r="F359" s="256">
        <v>32953148.919999998</v>
      </c>
      <c r="G359" s="255">
        <v>24682526.300000004</v>
      </c>
      <c r="H359" s="255">
        <v>175834.63999999998</v>
      </c>
      <c r="I359" s="254">
        <v>10594569.709999999</v>
      </c>
      <c r="K359" s="250"/>
    </row>
    <row r="360" spans="1:11" ht="15" customHeight="1">
      <c r="A360" s="7" t="s">
        <v>304</v>
      </c>
      <c r="B360" s="7" t="s">
        <v>899</v>
      </c>
      <c r="C360" s="7" t="s">
        <v>724</v>
      </c>
      <c r="D360" s="295" t="s">
        <v>872</v>
      </c>
      <c r="E360" s="315">
        <v>22137784.219999995</v>
      </c>
      <c r="F360" s="256">
        <v>10365364.909999996</v>
      </c>
      <c r="G360" s="255">
        <v>8334040.7699999996</v>
      </c>
      <c r="H360" s="255">
        <v>37969.65</v>
      </c>
      <c r="I360" s="254">
        <v>3400408.8899999997</v>
      </c>
      <c r="K360" s="250"/>
    </row>
    <row r="361" spans="1:11" ht="15" customHeight="1">
      <c r="A361" s="7" t="s">
        <v>301</v>
      </c>
      <c r="B361" s="7" t="s">
        <v>900</v>
      </c>
      <c r="C361" s="7" t="s">
        <v>724</v>
      </c>
      <c r="D361" s="295" t="s">
        <v>874</v>
      </c>
      <c r="E361" s="315">
        <v>40971869.770000003</v>
      </c>
      <c r="F361" s="256">
        <v>19540492.650000002</v>
      </c>
      <c r="G361" s="255">
        <v>14907733.719999999</v>
      </c>
      <c r="H361" s="255">
        <v>291664.46999999997</v>
      </c>
      <c r="I361" s="254">
        <v>6231978.9299999997</v>
      </c>
      <c r="K361" s="250"/>
    </row>
    <row r="362" spans="1:11" ht="15" customHeight="1">
      <c r="A362" s="7" t="s">
        <v>302</v>
      </c>
      <c r="B362" s="7" t="s">
        <v>901</v>
      </c>
      <c r="C362" s="7" t="s">
        <v>724</v>
      </c>
      <c r="D362" s="295" t="s">
        <v>872</v>
      </c>
      <c r="E362" s="315">
        <v>23624588.700000003</v>
      </c>
      <c r="F362" s="256">
        <v>11624606.82</v>
      </c>
      <c r="G362" s="255">
        <v>8114142.459999999</v>
      </c>
      <c r="H362" s="255">
        <v>34928.1</v>
      </c>
      <c r="I362" s="254">
        <v>3850911.3200000003</v>
      </c>
      <c r="K362" s="250"/>
    </row>
    <row r="363" spans="1:11" ht="15" customHeight="1">
      <c r="A363" s="7" t="s">
        <v>284</v>
      </c>
      <c r="B363" s="7" t="s">
        <v>902</v>
      </c>
      <c r="C363" s="7" t="s">
        <v>724</v>
      </c>
      <c r="D363" s="295" t="s">
        <v>872</v>
      </c>
      <c r="E363" s="315">
        <v>19731759.690000001</v>
      </c>
      <c r="F363" s="256">
        <v>9697492.8199999984</v>
      </c>
      <c r="G363" s="255">
        <v>6667940.7000000011</v>
      </c>
      <c r="H363" s="255">
        <v>143527.9</v>
      </c>
      <c r="I363" s="254">
        <v>3222798.2700000005</v>
      </c>
      <c r="K363" s="250"/>
    </row>
    <row r="364" spans="1:11" ht="15" customHeight="1">
      <c r="A364" s="7" t="s">
        <v>305</v>
      </c>
      <c r="B364" s="7" t="s">
        <v>616</v>
      </c>
      <c r="C364" s="7" t="s">
        <v>724</v>
      </c>
      <c r="D364" s="295" t="s">
        <v>877</v>
      </c>
      <c r="E364" s="315">
        <v>372652256.15000004</v>
      </c>
      <c r="F364" s="256">
        <v>170352571.42000002</v>
      </c>
      <c r="G364" s="255">
        <v>143693807.68000001</v>
      </c>
      <c r="H364" s="255">
        <v>2982181.0599999996</v>
      </c>
      <c r="I364" s="254">
        <v>55623695.99000001</v>
      </c>
      <c r="K364" s="250"/>
    </row>
    <row r="365" spans="1:11" ht="15" customHeight="1">
      <c r="A365" s="7" t="s">
        <v>306</v>
      </c>
      <c r="B365" s="7" t="s">
        <v>617</v>
      </c>
      <c r="C365" s="7" t="s">
        <v>724</v>
      </c>
      <c r="D365" s="295" t="s">
        <v>872</v>
      </c>
      <c r="E365" s="315">
        <v>33538879.209999997</v>
      </c>
      <c r="F365" s="256">
        <v>16237905.449999999</v>
      </c>
      <c r="G365" s="255">
        <v>11701733.609999999</v>
      </c>
      <c r="H365" s="255">
        <v>84369.83</v>
      </c>
      <c r="I365" s="254">
        <v>5514870.3200000003</v>
      </c>
      <c r="K365" s="250"/>
    </row>
    <row r="366" spans="1:11" ht="15" customHeight="1">
      <c r="A366" s="7" t="s">
        <v>307</v>
      </c>
      <c r="B366" s="7" t="s">
        <v>618</v>
      </c>
      <c r="C366" s="7" t="s">
        <v>724</v>
      </c>
      <c r="D366" s="295" t="s">
        <v>874</v>
      </c>
      <c r="E366" s="315">
        <v>14679185.939999999</v>
      </c>
      <c r="F366" s="256">
        <v>6816854.7100000009</v>
      </c>
      <c r="G366" s="255">
        <v>5483454.9699999997</v>
      </c>
      <c r="H366" s="255">
        <v>43753.939999999995</v>
      </c>
      <c r="I366" s="254">
        <v>2335122.3199999998</v>
      </c>
      <c r="K366" s="250"/>
    </row>
    <row r="367" spans="1:11" ht="15" customHeight="1">
      <c r="A367" s="7" t="s">
        <v>308</v>
      </c>
      <c r="B367" s="7" t="s">
        <v>619</v>
      </c>
      <c r="C367" s="7" t="s">
        <v>724</v>
      </c>
      <c r="D367" s="295" t="s">
        <v>873</v>
      </c>
      <c r="E367" s="315">
        <v>21400836.679999996</v>
      </c>
      <c r="F367" s="256">
        <v>11310298.1</v>
      </c>
      <c r="G367" s="255">
        <v>6546671.9499999993</v>
      </c>
      <c r="H367" s="255">
        <v>77963.33</v>
      </c>
      <c r="I367" s="254">
        <v>3465903.3000000003</v>
      </c>
      <c r="K367" s="250"/>
    </row>
    <row r="368" spans="1:11" ht="15" customHeight="1">
      <c r="A368" s="7" t="s">
        <v>309</v>
      </c>
      <c r="B368" s="7" t="s">
        <v>620</v>
      </c>
      <c r="C368" s="7" t="s">
        <v>724</v>
      </c>
      <c r="D368" s="295" t="s">
        <v>877</v>
      </c>
      <c r="E368" s="315">
        <v>70600345.549999997</v>
      </c>
      <c r="F368" s="256">
        <v>31325903.390000001</v>
      </c>
      <c r="G368" s="255">
        <v>28493306.689999998</v>
      </c>
      <c r="H368" s="255">
        <v>611516.31000000006</v>
      </c>
      <c r="I368" s="254">
        <v>10169619.16</v>
      </c>
      <c r="K368" s="250"/>
    </row>
    <row r="369" spans="1:11" ht="15" customHeight="1">
      <c r="A369" s="7" t="s">
        <v>310</v>
      </c>
      <c r="B369" s="7" t="s">
        <v>621</v>
      </c>
      <c r="C369" s="7" t="s">
        <v>724</v>
      </c>
      <c r="D369" s="295" t="s">
        <v>872</v>
      </c>
      <c r="E369" s="315">
        <v>41694946.879999995</v>
      </c>
      <c r="F369" s="256">
        <v>20285655.75</v>
      </c>
      <c r="G369" s="255">
        <v>14607399.690000001</v>
      </c>
      <c r="H369" s="255">
        <v>252241.20999999996</v>
      </c>
      <c r="I369" s="254">
        <v>6549650.2299999995</v>
      </c>
      <c r="K369" s="250"/>
    </row>
    <row r="370" spans="1:11" ht="15" customHeight="1">
      <c r="A370" s="7" t="s">
        <v>311</v>
      </c>
      <c r="B370" s="7" t="s">
        <v>622</v>
      </c>
      <c r="C370" s="7" t="s">
        <v>724</v>
      </c>
      <c r="D370" s="295" t="s">
        <v>873</v>
      </c>
      <c r="E370" s="315">
        <v>21190318.449999999</v>
      </c>
      <c r="F370" s="256">
        <v>11345626.219999999</v>
      </c>
      <c r="G370" s="255">
        <v>6263533.6299999999</v>
      </c>
      <c r="H370" s="255">
        <v>75518.600000000006</v>
      </c>
      <c r="I370" s="254">
        <v>3505639.9999999995</v>
      </c>
      <c r="K370" s="250"/>
    </row>
    <row r="371" spans="1:11" ht="15" customHeight="1">
      <c r="A371" s="7" t="s">
        <v>312</v>
      </c>
      <c r="B371" s="7" t="s">
        <v>623</v>
      </c>
      <c r="C371" s="7" t="s">
        <v>724</v>
      </c>
      <c r="D371" s="295" t="s">
        <v>873</v>
      </c>
      <c r="E371" s="315">
        <v>38212055.040000007</v>
      </c>
      <c r="F371" s="256">
        <v>20342547.859999999</v>
      </c>
      <c r="G371" s="255">
        <v>11273521.590000002</v>
      </c>
      <c r="H371" s="255">
        <v>328022.83999999991</v>
      </c>
      <c r="I371" s="254">
        <v>6267962.75</v>
      </c>
      <c r="K371" s="250"/>
    </row>
    <row r="372" spans="1:11" ht="15" customHeight="1">
      <c r="A372" s="7" t="s">
        <v>313</v>
      </c>
      <c r="B372" s="7" t="s">
        <v>624</v>
      </c>
      <c r="C372" s="7" t="s">
        <v>724</v>
      </c>
      <c r="D372" s="295" t="s">
        <v>873</v>
      </c>
      <c r="E372" s="315">
        <v>24472784.199999999</v>
      </c>
      <c r="F372" s="256">
        <v>12810278.879999999</v>
      </c>
      <c r="G372" s="255">
        <v>7516004.1900000004</v>
      </c>
      <c r="H372" s="255">
        <v>147055.57</v>
      </c>
      <c r="I372" s="254">
        <v>3999445.5599999996</v>
      </c>
      <c r="K372" s="250"/>
    </row>
    <row r="373" spans="1:11" ht="15" customHeight="1">
      <c r="A373" s="7" t="s">
        <v>314</v>
      </c>
      <c r="B373" s="7" t="s">
        <v>625</v>
      </c>
      <c r="C373" s="7" t="s">
        <v>724</v>
      </c>
      <c r="D373" s="295" t="s">
        <v>873</v>
      </c>
      <c r="E373" s="315">
        <v>33990637.269999996</v>
      </c>
      <c r="F373" s="256">
        <v>17392769.449999999</v>
      </c>
      <c r="G373" s="255">
        <v>10936289.969999999</v>
      </c>
      <c r="H373" s="255">
        <v>205800.61000000002</v>
      </c>
      <c r="I373" s="254">
        <v>5455777.2399999993</v>
      </c>
      <c r="K373" s="250"/>
    </row>
    <row r="374" spans="1:11" ht="15" customHeight="1">
      <c r="A374" s="7" t="s">
        <v>315</v>
      </c>
      <c r="B374" s="7" t="s">
        <v>626</v>
      </c>
      <c r="C374" s="7" t="s">
        <v>724</v>
      </c>
      <c r="D374" s="295" t="s">
        <v>875</v>
      </c>
      <c r="E374" s="315">
        <v>24388071.57</v>
      </c>
      <c r="F374" s="256">
        <v>12615470.120000003</v>
      </c>
      <c r="G374" s="255">
        <v>7685921.0999999996</v>
      </c>
      <c r="H374" s="255">
        <v>92790.95</v>
      </c>
      <c r="I374" s="254">
        <v>3993889.4000000004</v>
      </c>
      <c r="K374" s="250"/>
    </row>
    <row r="375" spans="1:11" ht="15" customHeight="1">
      <c r="A375" s="7" t="s">
        <v>316</v>
      </c>
      <c r="B375" s="7" t="s">
        <v>627</v>
      </c>
      <c r="C375" s="7" t="s">
        <v>724</v>
      </c>
      <c r="D375" s="295" t="s">
        <v>872</v>
      </c>
      <c r="E375" s="315">
        <v>15075853.33</v>
      </c>
      <c r="F375" s="256">
        <v>7963835.1999999993</v>
      </c>
      <c r="G375" s="255">
        <v>4455600.5600000005</v>
      </c>
      <c r="H375" s="255">
        <v>53427.989999999991</v>
      </c>
      <c r="I375" s="254">
        <v>2602989.58</v>
      </c>
      <c r="K375" s="250"/>
    </row>
    <row r="376" spans="1:11" ht="15" customHeight="1">
      <c r="A376" s="7" t="s">
        <v>317</v>
      </c>
      <c r="B376" s="7" t="s">
        <v>628</v>
      </c>
      <c r="C376" s="7" t="s">
        <v>724</v>
      </c>
      <c r="D376" s="295" t="s">
        <v>875</v>
      </c>
      <c r="E376" s="315">
        <v>16480462.960000001</v>
      </c>
      <c r="F376" s="256">
        <v>8544258.1500000004</v>
      </c>
      <c r="G376" s="255">
        <v>5080394.7699999996</v>
      </c>
      <c r="H376" s="255">
        <v>89614.76</v>
      </c>
      <c r="I376" s="254">
        <v>2766195.2800000003</v>
      </c>
      <c r="K376" s="250"/>
    </row>
    <row r="377" spans="1:11" ht="15" customHeight="1">
      <c r="A377" s="7" t="s">
        <v>318</v>
      </c>
      <c r="B377" s="7" t="s">
        <v>629</v>
      </c>
      <c r="C377" s="7" t="s">
        <v>724</v>
      </c>
      <c r="D377" s="295" t="s">
        <v>877</v>
      </c>
      <c r="E377" s="315">
        <v>37166564.969999999</v>
      </c>
      <c r="F377" s="256">
        <v>18305797.219999999</v>
      </c>
      <c r="G377" s="255">
        <v>13313003.720000001</v>
      </c>
      <c r="H377" s="255">
        <v>291628.05</v>
      </c>
      <c r="I377" s="254">
        <v>5256135.9800000004</v>
      </c>
      <c r="K377" s="250"/>
    </row>
    <row r="378" spans="1:11" ht="15" customHeight="1">
      <c r="A378" s="7" t="s">
        <v>319</v>
      </c>
      <c r="B378" s="7" t="s">
        <v>630</v>
      </c>
      <c r="C378" s="7" t="s">
        <v>724</v>
      </c>
      <c r="D378" s="295" t="s">
        <v>872</v>
      </c>
      <c r="E378" s="315">
        <v>17171407.82</v>
      </c>
      <c r="F378" s="256">
        <v>8720356.2599999998</v>
      </c>
      <c r="G378" s="255">
        <v>5469544.1399999997</v>
      </c>
      <c r="H378" s="255">
        <v>115123.92</v>
      </c>
      <c r="I378" s="254">
        <v>2866383.5</v>
      </c>
      <c r="K378" s="250"/>
    </row>
    <row r="379" spans="1:11" ht="15" customHeight="1">
      <c r="A379" s="7" t="s">
        <v>320</v>
      </c>
      <c r="B379" s="7" t="s">
        <v>631</v>
      </c>
      <c r="C379" s="7" t="s">
        <v>724</v>
      </c>
      <c r="D379" s="295" t="s">
        <v>876</v>
      </c>
      <c r="E379" s="315">
        <v>40766691.350000001</v>
      </c>
      <c r="F379" s="256">
        <v>21151601.539999999</v>
      </c>
      <c r="G379" s="255">
        <v>12717500.41</v>
      </c>
      <c r="H379" s="255">
        <v>161474.99</v>
      </c>
      <c r="I379" s="254">
        <v>6736114.4099999992</v>
      </c>
      <c r="K379" s="250"/>
    </row>
    <row r="380" spans="1:11" ht="15" customHeight="1">
      <c r="A380" s="7" t="s">
        <v>321</v>
      </c>
      <c r="B380" s="7" t="s">
        <v>632</v>
      </c>
      <c r="C380" s="7" t="s">
        <v>724</v>
      </c>
      <c r="D380" s="295" t="s">
        <v>875</v>
      </c>
      <c r="E380" s="315">
        <v>15260384.949999999</v>
      </c>
      <c r="F380" s="256">
        <v>8338439.5499999989</v>
      </c>
      <c r="G380" s="255">
        <v>4256948.22</v>
      </c>
      <c r="H380" s="255">
        <v>54610.62999999999</v>
      </c>
      <c r="I380" s="254">
        <v>2610386.5499999998</v>
      </c>
      <c r="K380" s="250"/>
    </row>
    <row r="381" spans="1:11" ht="15" customHeight="1">
      <c r="A381" s="7" t="s">
        <v>324</v>
      </c>
      <c r="B381" s="7" t="s">
        <v>633</v>
      </c>
      <c r="C381" s="7" t="s">
        <v>724</v>
      </c>
      <c r="D381" s="295" t="s">
        <v>872</v>
      </c>
      <c r="E381" s="315">
        <v>15567295.960000001</v>
      </c>
      <c r="F381" s="256">
        <v>7852068.7599999998</v>
      </c>
      <c r="G381" s="255">
        <v>5007688.7399999993</v>
      </c>
      <c r="H381" s="255">
        <v>47536.59</v>
      </c>
      <c r="I381" s="254">
        <v>2660001.87</v>
      </c>
      <c r="K381" s="250"/>
    </row>
    <row r="382" spans="1:11" ht="15" customHeight="1">
      <c r="A382" s="7" t="s">
        <v>325</v>
      </c>
      <c r="B382" s="7" t="s">
        <v>634</v>
      </c>
      <c r="C382" s="7" t="s">
        <v>724</v>
      </c>
      <c r="D382" s="295" t="s">
        <v>877</v>
      </c>
      <c r="E382" s="315">
        <v>48978753.090000004</v>
      </c>
      <c r="F382" s="256">
        <v>22451518.170000002</v>
      </c>
      <c r="G382" s="255">
        <v>18665296.210000001</v>
      </c>
      <c r="H382" s="255">
        <v>302173.87</v>
      </c>
      <c r="I382" s="254">
        <v>7559764.8399999999</v>
      </c>
      <c r="K382" s="250"/>
    </row>
    <row r="383" spans="1:11" ht="15" customHeight="1">
      <c r="A383" s="7" t="s">
        <v>326</v>
      </c>
      <c r="B383" s="7" t="s">
        <v>635</v>
      </c>
      <c r="C383" s="7" t="s">
        <v>724</v>
      </c>
      <c r="D383" s="295" t="s">
        <v>872</v>
      </c>
      <c r="E383" s="315">
        <v>27758608.469999999</v>
      </c>
      <c r="F383" s="256">
        <v>13989640.059999999</v>
      </c>
      <c r="G383" s="255">
        <v>9068916.4299999997</v>
      </c>
      <c r="H383" s="255">
        <v>203980.69</v>
      </c>
      <c r="I383" s="254">
        <v>4496071.29</v>
      </c>
      <c r="K383" s="250"/>
    </row>
    <row r="384" spans="1:11" ht="15" customHeight="1">
      <c r="A384" s="7" t="s">
        <v>327</v>
      </c>
      <c r="B384" s="7" t="s">
        <v>636</v>
      </c>
      <c r="C384" s="7" t="s">
        <v>724</v>
      </c>
      <c r="D384" s="295" t="s">
        <v>872</v>
      </c>
      <c r="E384" s="315">
        <v>20770824.990000002</v>
      </c>
      <c r="F384" s="256">
        <v>10796493.920000002</v>
      </c>
      <c r="G384" s="255">
        <v>6311152.4800000014</v>
      </c>
      <c r="H384" s="255">
        <v>183559.94</v>
      </c>
      <c r="I384" s="254">
        <v>3479618.65</v>
      </c>
      <c r="K384" s="250"/>
    </row>
    <row r="385" spans="1:11" ht="15" customHeight="1">
      <c r="A385" s="7" t="s">
        <v>328</v>
      </c>
      <c r="B385" s="7" t="s">
        <v>637</v>
      </c>
      <c r="C385" s="7" t="s">
        <v>724</v>
      </c>
      <c r="D385" s="295" t="s">
        <v>872</v>
      </c>
      <c r="E385" s="315">
        <v>24585012.529999994</v>
      </c>
      <c r="F385" s="256">
        <v>12659050.689999998</v>
      </c>
      <c r="G385" s="255">
        <v>7856668.3599999994</v>
      </c>
      <c r="H385" s="255">
        <v>101217.72</v>
      </c>
      <c r="I385" s="254">
        <v>3968075.76</v>
      </c>
      <c r="K385" s="250"/>
    </row>
    <row r="386" spans="1:11" ht="15" customHeight="1">
      <c r="A386" s="7" t="s">
        <v>329</v>
      </c>
      <c r="B386" s="7" t="s">
        <v>638</v>
      </c>
      <c r="C386" s="7" t="s">
        <v>724</v>
      </c>
      <c r="D386" s="295" t="s">
        <v>877</v>
      </c>
      <c r="E386" s="315">
        <v>159044318.03000003</v>
      </c>
      <c r="F386" s="256">
        <v>72216714.600000009</v>
      </c>
      <c r="G386" s="255">
        <v>62137823.910000004</v>
      </c>
      <c r="H386" s="255">
        <v>877408.06000000017</v>
      </c>
      <c r="I386" s="254">
        <v>23812371.459999997</v>
      </c>
      <c r="K386" s="250"/>
    </row>
    <row r="387" spans="1:11" ht="15" customHeight="1">
      <c r="A387" s="7" t="s">
        <v>330</v>
      </c>
      <c r="B387" s="7" t="s">
        <v>639</v>
      </c>
      <c r="C387" s="7" t="s">
        <v>724</v>
      </c>
      <c r="D387" s="295" t="s">
        <v>872</v>
      </c>
      <c r="E387" s="315">
        <v>59761237.990000002</v>
      </c>
      <c r="F387" s="256">
        <v>28363709.629999999</v>
      </c>
      <c r="G387" s="255">
        <v>21896124.59</v>
      </c>
      <c r="H387" s="255">
        <v>373958.17</v>
      </c>
      <c r="I387" s="254">
        <v>9127445.5999999996</v>
      </c>
      <c r="K387" s="250"/>
    </row>
    <row r="388" spans="1:11" ht="15" customHeight="1">
      <c r="A388" s="7" t="s">
        <v>331</v>
      </c>
      <c r="B388" s="7" t="s">
        <v>640</v>
      </c>
      <c r="C388" s="7" t="s">
        <v>724</v>
      </c>
      <c r="D388" s="295" t="s">
        <v>873</v>
      </c>
      <c r="E388" s="315">
        <v>24410524.250000004</v>
      </c>
      <c r="F388" s="256">
        <v>12007849.310000001</v>
      </c>
      <c r="G388" s="255">
        <v>8441526.25</v>
      </c>
      <c r="H388" s="255">
        <v>65684.340000000011</v>
      </c>
      <c r="I388" s="254">
        <v>3895464.3500000006</v>
      </c>
      <c r="K388" s="250"/>
    </row>
    <row r="389" spans="1:11" ht="15" customHeight="1">
      <c r="A389" s="7" t="s">
        <v>332</v>
      </c>
      <c r="B389" s="7" t="s">
        <v>641</v>
      </c>
      <c r="C389" s="7" t="s">
        <v>724</v>
      </c>
      <c r="D389" s="295" t="s">
        <v>873</v>
      </c>
      <c r="E389" s="315">
        <v>19369020.689999998</v>
      </c>
      <c r="F389" s="256">
        <v>9758627.7800000012</v>
      </c>
      <c r="G389" s="255">
        <v>6394963.459999999</v>
      </c>
      <c r="H389" s="255">
        <v>246829.45</v>
      </c>
      <c r="I389" s="254">
        <v>2968600</v>
      </c>
      <c r="K389" s="250"/>
    </row>
    <row r="390" spans="1:11" ht="15" customHeight="1">
      <c r="A390" s="7" t="s">
        <v>333</v>
      </c>
      <c r="B390" s="7" t="s">
        <v>642</v>
      </c>
      <c r="C390" s="7" t="s">
        <v>724</v>
      </c>
      <c r="D390" s="295" t="s">
        <v>873</v>
      </c>
      <c r="E390" s="315">
        <v>40204795.68</v>
      </c>
      <c r="F390" s="256">
        <v>20118669.75</v>
      </c>
      <c r="G390" s="255">
        <v>13530196.960000003</v>
      </c>
      <c r="H390" s="255">
        <v>275982.68</v>
      </c>
      <c r="I390" s="254">
        <v>6279946.2899999991</v>
      </c>
      <c r="K390" s="250"/>
    </row>
    <row r="391" spans="1:11" ht="15" customHeight="1">
      <c r="A391" s="7" t="s">
        <v>334</v>
      </c>
      <c r="B391" s="7" t="s">
        <v>643</v>
      </c>
      <c r="C391" s="7" t="s">
        <v>724</v>
      </c>
      <c r="D391" s="295" t="s">
        <v>873</v>
      </c>
      <c r="E391" s="315">
        <v>24214737.860000003</v>
      </c>
      <c r="F391" s="256">
        <v>12301985.359999999</v>
      </c>
      <c r="G391" s="255">
        <v>7839086.7700000014</v>
      </c>
      <c r="H391" s="255">
        <v>222736</v>
      </c>
      <c r="I391" s="254">
        <v>3850929.7299999995</v>
      </c>
      <c r="K391" s="250"/>
    </row>
    <row r="392" spans="1:11" ht="15" customHeight="1">
      <c r="A392" s="7" t="s">
        <v>335</v>
      </c>
      <c r="B392" s="7" t="s">
        <v>644</v>
      </c>
      <c r="C392" s="7" t="s">
        <v>724</v>
      </c>
      <c r="D392" s="295" t="s">
        <v>873</v>
      </c>
      <c r="E392" s="315">
        <v>22728548.629999995</v>
      </c>
      <c r="F392" s="256">
        <v>12259439.399999999</v>
      </c>
      <c r="G392" s="255">
        <v>6668397.7599999998</v>
      </c>
      <c r="H392" s="255">
        <v>71564.62999999999</v>
      </c>
      <c r="I392" s="254">
        <v>3729146.8400000003</v>
      </c>
      <c r="K392" s="250"/>
    </row>
    <row r="393" spans="1:11" ht="15" customHeight="1">
      <c r="A393" s="7" t="s">
        <v>350</v>
      </c>
      <c r="B393" s="7" t="s">
        <v>835</v>
      </c>
      <c r="C393" s="7" t="s">
        <v>724</v>
      </c>
      <c r="D393" s="295" t="s">
        <v>873</v>
      </c>
      <c r="E393" s="315">
        <v>21093680.84</v>
      </c>
      <c r="F393" s="256">
        <v>10650151.469999999</v>
      </c>
      <c r="G393" s="255">
        <v>6927226.7699999996</v>
      </c>
      <c r="H393" s="255">
        <v>106948.35</v>
      </c>
      <c r="I393" s="254">
        <v>3409354.2500000005</v>
      </c>
      <c r="K393" s="250"/>
    </row>
    <row r="394" spans="1:11" ht="15" customHeight="1">
      <c r="A394" s="7" t="s">
        <v>352</v>
      </c>
      <c r="B394" s="7" t="s">
        <v>836</v>
      </c>
      <c r="C394" s="7" t="s">
        <v>724</v>
      </c>
      <c r="D394" s="295" t="s">
        <v>874</v>
      </c>
      <c r="E394" s="315">
        <v>40181228.040000007</v>
      </c>
      <c r="F394" s="256">
        <v>20274328.260000002</v>
      </c>
      <c r="G394" s="255">
        <v>13391498.969999999</v>
      </c>
      <c r="H394" s="255">
        <v>105988.95999999999</v>
      </c>
      <c r="I394" s="254">
        <v>6409411.8499999996</v>
      </c>
      <c r="K394" s="250"/>
    </row>
    <row r="395" spans="1:11" ht="15" customHeight="1">
      <c r="A395" s="7" t="s">
        <v>336</v>
      </c>
      <c r="B395" s="7" t="s">
        <v>645</v>
      </c>
      <c r="C395" s="7" t="s">
        <v>724</v>
      </c>
      <c r="D395" s="295" t="s">
        <v>871</v>
      </c>
      <c r="E395" s="315">
        <v>23007842.620000001</v>
      </c>
      <c r="F395" s="256">
        <v>10402972.450000001</v>
      </c>
      <c r="G395" s="255">
        <v>8910501.2699999996</v>
      </c>
      <c r="H395" s="255">
        <v>97228.670000000013</v>
      </c>
      <c r="I395" s="254">
        <v>3597140.23</v>
      </c>
      <c r="K395" s="250"/>
    </row>
    <row r="396" spans="1:11" ht="15" customHeight="1">
      <c r="A396" s="7" t="s">
        <v>337</v>
      </c>
      <c r="B396" s="7" t="s">
        <v>646</v>
      </c>
      <c r="C396" s="7" t="s">
        <v>724</v>
      </c>
      <c r="D396" s="295" t="s">
        <v>871</v>
      </c>
      <c r="E396" s="315">
        <v>38518165.060000002</v>
      </c>
      <c r="F396" s="256">
        <v>18302530.350000001</v>
      </c>
      <c r="G396" s="255">
        <v>14329323.770000001</v>
      </c>
      <c r="H396" s="255">
        <v>109165.84</v>
      </c>
      <c r="I396" s="254">
        <v>5777145.0999999996</v>
      </c>
      <c r="K396" s="250"/>
    </row>
    <row r="397" spans="1:11" ht="15" customHeight="1">
      <c r="A397" s="7" t="s">
        <v>354</v>
      </c>
      <c r="B397" s="7" t="s">
        <v>837</v>
      </c>
      <c r="C397" s="7" t="s">
        <v>724</v>
      </c>
      <c r="D397" s="295" t="s">
        <v>871</v>
      </c>
      <c r="E397" s="315">
        <v>30178363.700000003</v>
      </c>
      <c r="F397" s="256">
        <v>12937643.710000001</v>
      </c>
      <c r="G397" s="255">
        <v>12636781.740000002</v>
      </c>
      <c r="H397" s="255">
        <v>198073</v>
      </c>
      <c r="I397" s="254">
        <v>4405865.25</v>
      </c>
      <c r="K397" s="250"/>
    </row>
    <row r="398" spans="1:11" ht="15" customHeight="1">
      <c r="A398" s="7" t="s">
        <v>355</v>
      </c>
      <c r="B398" s="7" t="s">
        <v>838</v>
      </c>
      <c r="C398" s="7" t="s">
        <v>724</v>
      </c>
      <c r="D398" s="295" t="s">
        <v>871</v>
      </c>
      <c r="E398" s="315">
        <v>26044065.930000003</v>
      </c>
      <c r="F398" s="256">
        <v>11258405.370000001</v>
      </c>
      <c r="G398" s="255">
        <v>10920688.23</v>
      </c>
      <c r="H398" s="255">
        <v>82140.100000000006</v>
      </c>
      <c r="I398" s="254">
        <v>3782832.2300000004</v>
      </c>
      <c r="K398" s="250"/>
    </row>
    <row r="399" spans="1:11" ht="15" customHeight="1">
      <c r="A399" s="7" t="s">
        <v>338</v>
      </c>
      <c r="B399" s="7" t="s">
        <v>647</v>
      </c>
      <c r="C399" s="7" t="s">
        <v>724</v>
      </c>
      <c r="D399" s="295" t="s">
        <v>872</v>
      </c>
      <c r="E399" s="315">
        <v>21931812.550000004</v>
      </c>
      <c r="F399" s="256">
        <v>11963442.640000001</v>
      </c>
      <c r="G399" s="255">
        <v>6317483.4199999999</v>
      </c>
      <c r="H399" s="255">
        <v>95728.89</v>
      </c>
      <c r="I399" s="254">
        <v>3555157.5999999996</v>
      </c>
      <c r="K399" s="250"/>
    </row>
    <row r="400" spans="1:11" ht="15" customHeight="1">
      <c r="A400" s="7" t="s">
        <v>340</v>
      </c>
      <c r="B400" s="7" t="s">
        <v>648</v>
      </c>
      <c r="C400" s="7" t="s">
        <v>724</v>
      </c>
      <c r="D400" s="295" t="s">
        <v>873</v>
      </c>
      <c r="E400" s="315">
        <v>22016125.579999998</v>
      </c>
      <c r="F400" s="256">
        <v>10961677.550000001</v>
      </c>
      <c r="G400" s="255">
        <v>7566971.0200000005</v>
      </c>
      <c r="H400" s="255">
        <v>141159</v>
      </c>
      <c r="I400" s="254">
        <v>3346318.01</v>
      </c>
      <c r="K400" s="250"/>
    </row>
    <row r="401" spans="1:11" ht="15" customHeight="1">
      <c r="A401" s="7" t="s">
        <v>341</v>
      </c>
      <c r="B401" s="7" t="s">
        <v>649</v>
      </c>
      <c r="C401" s="7" t="s">
        <v>724</v>
      </c>
      <c r="D401" s="295" t="s">
        <v>871</v>
      </c>
      <c r="E401" s="315">
        <v>16914604.050000001</v>
      </c>
      <c r="F401" s="256">
        <v>8308137.0500000007</v>
      </c>
      <c r="G401" s="255">
        <v>5783764.3699999992</v>
      </c>
      <c r="H401" s="255">
        <v>54846.229999999996</v>
      </c>
      <c r="I401" s="254">
        <v>2767856.4</v>
      </c>
      <c r="K401" s="250"/>
    </row>
    <row r="402" spans="1:11" ht="15" customHeight="1">
      <c r="A402" s="7" t="s">
        <v>339</v>
      </c>
      <c r="B402" s="7" t="s">
        <v>839</v>
      </c>
      <c r="C402" s="7" t="s">
        <v>724</v>
      </c>
      <c r="D402" s="295" t="s">
        <v>877</v>
      </c>
      <c r="E402" s="315">
        <v>60392057.510000005</v>
      </c>
      <c r="F402" s="256">
        <v>26701092.390000004</v>
      </c>
      <c r="G402" s="255">
        <v>24658262.420000002</v>
      </c>
      <c r="H402" s="255">
        <v>319384.28999999998</v>
      </c>
      <c r="I402" s="254">
        <v>8713318.4100000001</v>
      </c>
      <c r="K402" s="250"/>
    </row>
    <row r="403" spans="1:11" ht="15" customHeight="1">
      <c r="A403" s="7" t="s">
        <v>343</v>
      </c>
      <c r="B403" s="7" t="s">
        <v>650</v>
      </c>
      <c r="C403" s="7" t="s">
        <v>724</v>
      </c>
      <c r="D403" s="295" t="s">
        <v>877</v>
      </c>
      <c r="E403" s="315">
        <v>19536049.18</v>
      </c>
      <c r="F403" s="256">
        <v>9461768.660000002</v>
      </c>
      <c r="G403" s="255">
        <v>6909383.71</v>
      </c>
      <c r="H403" s="255">
        <v>78502.22</v>
      </c>
      <c r="I403" s="254">
        <v>3086394.59</v>
      </c>
      <c r="K403" s="250"/>
    </row>
    <row r="404" spans="1:11" ht="15" customHeight="1">
      <c r="A404" s="7" t="s">
        <v>344</v>
      </c>
      <c r="B404" s="7" t="s">
        <v>651</v>
      </c>
      <c r="C404" s="7" t="s">
        <v>724</v>
      </c>
      <c r="D404" s="295" t="s">
        <v>871</v>
      </c>
      <c r="E404" s="315">
        <v>17365549.789999999</v>
      </c>
      <c r="F404" s="256">
        <v>7836860.0199999996</v>
      </c>
      <c r="G404" s="255">
        <v>6819784.3200000003</v>
      </c>
      <c r="H404" s="255">
        <v>77660.86</v>
      </c>
      <c r="I404" s="254">
        <v>2631244.5900000003</v>
      </c>
      <c r="K404" s="250"/>
    </row>
    <row r="405" spans="1:11" ht="15" customHeight="1">
      <c r="A405" s="7" t="s">
        <v>346</v>
      </c>
      <c r="B405" s="7" t="s">
        <v>652</v>
      </c>
      <c r="C405" s="7" t="s">
        <v>724</v>
      </c>
      <c r="D405" s="295" t="s">
        <v>873</v>
      </c>
      <c r="E405" s="315">
        <v>23521356.980000004</v>
      </c>
      <c r="F405" s="256">
        <v>11151096.02</v>
      </c>
      <c r="G405" s="255">
        <v>8613963.6100000013</v>
      </c>
      <c r="H405" s="255">
        <v>97035.95</v>
      </c>
      <c r="I405" s="254">
        <v>3659261.4000000004</v>
      </c>
      <c r="K405" s="250"/>
    </row>
    <row r="406" spans="1:11" ht="15" customHeight="1">
      <c r="A406" s="7" t="s">
        <v>351</v>
      </c>
      <c r="B406" s="7" t="s">
        <v>840</v>
      </c>
      <c r="C406" s="7" t="s">
        <v>724</v>
      </c>
      <c r="D406" s="295" t="s">
        <v>873</v>
      </c>
      <c r="E406" s="315">
        <v>12681161.010000002</v>
      </c>
      <c r="F406" s="256">
        <v>6342728.2800000003</v>
      </c>
      <c r="G406" s="255">
        <v>4219380.07</v>
      </c>
      <c r="H406" s="255">
        <v>55665.58</v>
      </c>
      <c r="I406" s="254">
        <v>2063387.08</v>
      </c>
      <c r="K406" s="250"/>
    </row>
    <row r="407" spans="1:11" ht="15" customHeight="1">
      <c r="A407" s="7" t="s">
        <v>353</v>
      </c>
      <c r="B407" s="7" t="s">
        <v>841</v>
      </c>
      <c r="C407" s="7" t="s">
        <v>724</v>
      </c>
      <c r="D407" s="295" t="s">
        <v>873</v>
      </c>
      <c r="E407" s="315">
        <v>21312864.840000004</v>
      </c>
      <c r="F407" s="256">
        <v>11431389.530000001</v>
      </c>
      <c r="G407" s="255">
        <v>6331751.620000001</v>
      </c>
      <c r="H407" s="255">
        <v>53743.89</v>
      </c>
      <c r="I407" s="254">
        <v>3495979.8</v>
      </c>
      <c r="K407" s="250"/>
    </row>
    <row r="408" spans="1:11" ht="15" customHeight="1">
      <c r="A408" s="7" t="s">
        <v>345</v>
      </c>
      <c r="B408" s="7" t="s">
        <v>842</v>
      </c>
      <c r="C408" s="7" t="s">
        <v>724</v>
      </c>
      <c r="D408" s="295" t="s">
        <v>871</v>
      </c>
      <c r="E408" s="315">
        <v>22201606.039999999</v>
      </c>
      <c r="F408" s="256">
        <v>11166849.320000002</v>
      </c>
      <c r="G408" s="255">
        <v>7372722.1899999995</v>
      </c>
      <c r="H408" s="255">
        <v>39720.15</v>
      </c>
      <c r="I408" s="254">
        <v>3622314.3799999994</v>
      </c>
      <c r="K408" s="250"/>
    </row>
    <row r="409" spans="1:11" ht="15" customHeight="1">
      <c r="A409" s="7" t="s">
        <v>342</v>
      </c>
      <c r="B409" s="7" t="s">
        <v>843</v>
      </c>
      <c r="C409" s="7" t="s">
        <v>724</v>
      </c>
      <c r="D409" s="295" t="s">
        <v>877</v>
      </c>
      <c r="E409" s="315">
        <v>15019345.58</v>
      </c>
      <c r="F409" s="256">
        <v>7389428.6100000003</v>
      </c>
      <c r="G409" s="255">
        <v>5133659.59</v>
      </c>
      <c r="H409" s="255">
        <v>60046</v>
      </c>
      <c r="I409" s="254">
        <v>2436211.3800000004</v>
      </c>
      <c r="K409" s="250"/>
    </row>
    <row r="410" spans="1:11" ht="15" customHeight="1">
      <c r="A410" s="7" t="s">
        <v>347</v>
      </c>
      <c r="B410" s="7" t="s">
        <v>653</v>
      </c>
      <c r="C410" s="7" t="s">
        <v>724</v>
      </c>
      <c r="D410" s="295" t="s">
        <v>873</v>
      </c>
      <c r="E410" s="315">
        <v>18555286.549999997</v>
      </c>
      <c r="F410" s="256">
        <v>10034628.759999998</v>
      </c>
      <c r="G410" s="255">
        <v>5462088.1399999997</v>
      </c>
      <c r="H410" s="255">
        <v>47227.439999999995</v>
      </c>
      <c r="I410" s="254">
        <v>3011342.21</v>
      </c>
      <c r="K410" s="250"/>
    </row>
    <row r="411" spans="1:11" ht="15" customHeight="1">
      <c r="A411" s="7" t="s">
        <v>348</v>
      </c>
      <c r="B411" s="7" t="s">
        <v>654</v>
      </c>
      <c r="C411" s="7" t="s">
        <v>724</v>
      </c>
      <c r="D411" s="295" t="s">
        <v>877</v>
      </c>
      <c r="E411" s="315">
        <v>34258961.720000006</v>
      </c>
      <c r="F411" s="256">
        <v>15932697.640000001</v>
      </c>
      <c r="G411" s="255">
        <v>12908183.340000002</v>
      </c>
      <c r="H411" s="255">
        <v>247324.51</v>
      </c>
      <c r="I411" s="254">
        <v>5170756.2300000004</v>
      </c>
      <c r="K411" s="250"/>
    </row>
    <row r="412" spans="1:11" ht="15" customHeight="1">
      <c r="A412" s="7" t="s">
        <v>349</v>
      </c>
      <c r="B412" s="7" t="s">
        <v>655</v>
      </c>
      <c r="C412" s="7" t="s">
        <v>724</v>
      </c>
      <c r="D412" s="295" t="s">
        <v>872</v>
      </c>
      <c r="E412" s="315">
        <v>28843830.929999996</v>
      </c>
      <c r="F412" s="256">
        <v>14482458.119999999</v>
      </c>
      <c r="G412" s="255">
        <v>9538222.7699999977</v>
      </c>
      <c r="H412" s="255">
        <v>128750</v>
      </c>
      <c r="I412" s="254">
        <v>4694400.04</v>
      </c>
      <c r="K412" s="250"/>
    </row>
    <row r="413" spans="1:11" ht="15" customHeight="1">
      <c r="A413" s="7" t="s">
        <v>365</v>
      </c>
      <c r="B413" s="7" t="s">
        <v>844</v>
      </c>
      <c r="C413" s="7" t="s">
        <v>724</v>
      </c>
      <c r="D413" s="295" t="s">
        <v>873</v>
      </c>
      <c r="E413" s="315">
        <v>30222439.719999999</v>
      </c>
      <c r="F413" s="256">
        <v>15493619.869999997</v>
      </c>
      <c r="G413" s="255">
        <v>9744158.6300000027</v>
      </c>
      <c r="H413" s="255">
        <v>228115.49000000002</v>
      </c>
      <c r="I413" s="254">
        <v>4756545.7300000004</v>
      </c>
      <c r="K413" s="250"/>
    </row>
    <row r="414" spans="1:11" ht="15" customHeight="1">
      <c r="A414" s="7" t="s">
        <v>357</v>
      </c>
      <c r="B414" s="7" t="s">
        <v>656</v>
      </c>
      <c r="C414" s="7" t="s">
        <v>724</v>
      </c>
      <c r="D414" s="295" t="s">
        <v>877</v>
      </c>
      <c r="E414" s="315">
        <v>687182458.09000015</v>
      </c>
      <c r="F414" s="256">
        <v>269699969.69000006</v>
      </c>
      <c r="G414" s="255">
        <v>317458158.96000004</v>
      </c>
      <c r="H414" s="255">
        <v>6252684.4500000002</v>
      </c>
      <c r="I414" s="254">
        <v>93771644.99000001</v>
      </c>
      <c r="K414" s="250"/>
    </row>
    <row r="415" spans="1:11" ht="15" customHeight="1">
      <c r="A415" s="7" t="s">
        <v>358</v>
      </c>
      <c r="B415" s="7" t="s">
        <v>845</v>
      </c>
      <c r="C415" s="7" t="s">
        <v>724</v>
      </c>
      <c r="D415" s="295" t="s">
        <v>871</v>
      </c>
      <c r="E415" s="315">
        <v>88784572.200000003</v>
      </c>
      <c r="F415" s="256">
        <v>38495788.789999999</v>
      </c>
      <c r="G415" s="255">
        <v>37622930.489999995</v>
      </c>
      <c r="H415" s="255">
        <v>448158.3</v>
      </c>
      <c r="I415" s="254">
        <v>12217694.619999999</v>
      </c>
      <c r="K415" s="250"/>
    </row>
    <row r="416" spans="1:11" ht="15" customHeight="1">
      <c r="A416" s="7" t="s">
        <v>360</v>
      </c>
      <c r="B416" s="7" t="s">
        <v>657</v>
      </c>
      <c r="C416" s="7" t="s">
        <v>724</v>
      </c>
      <c r="D416" s="295" t="s">
        <v>873</v>
      </c>
      <c r="E416" s="315">
        <v>14570030.240000002</v>
      </c>
      <c r="F416" s="256">
        <v>8240655.9100000011</v>
      </c>
      <c r="G416" s="255">
        <v>3858504.5300000003</v>
      </c>
      <c r="H416" s="255">
        <v>69693</v>
      </c>
      <c r="I416" s="254">
        <v>2401176.7999999998</v>
      </c>
      <c r="K416" s="250"/>
    </row>
    <row r="417" spans="1:11" ht="15" customHeight="1">
      <c r="A417" s="7" t="s">
        <v>361</v>
      </c>
      <c r="B417" s="7" t="s">
        <v>658</v>
      </c>
      <c r="C417" s="7" t="s">
        <v>724</v>
      </c>
      <c r="D417" s="295" t="s">
        <v>877</v>
      </c>
      <c r="E417" s="315">
        <v>30283571.669999998</v>
      </c>
      <c r="F417" s="256">
        <v>13809362.619999999</v>
      </c>
      <c r="G417" s="255">
        <v>11625872.07</v>
      </c>
      <c r="H417" s="255">
        <v>241013.91</v>
      </c>
      <c r="I417" s="254">
        <v>4607323.07</v>
      </c>
      <c r="K417" s="250"/>
    </row>
    <row r="418" spans="1:11" ht="15" customHeight="1">
      <c r="A418" s="7" t="s">
        <v>362</v>
      </c>
      <c r="B418" s="7" t="s">
        <v>659</v>
      </c>
      <c r="C418" s="7" t="s">
        <v>724</v>
      </c>
      <c r="D418" s="295" t="s">
        <v>872</v>
      </c>
      <c r="E418" s="315">
        <v>45963093.959999993</v>
      </c>
      <c r="F418" s="256">
        <v>23457981.709999997</v>
      </c>
      <c r="G418" s="255">
        <v>14655190.83</v>
      </c>
      <c r="H418" s="255">
        <v>478195.97</v>
      </c>
      <c r="I418" s="254">
        <v>7371725.4499999993</v>
      </c>
      <c r="K418" s="250"/>
    </row>
    <row r="419" spans="1:11" ht="15" customHeight="1">
      <c r="A419" s="7" t="s">
        <v>366</v>
      </c>
      <c r="B419" s="7" t="s">
        <v>660</v>
      </c>
      <c r="C419" s="7" t="s">
        <v>724</v>
      </c>
      <c r="D419" s="295" t="s">
        <v>871</v>
      </c>
      <c r="E419" s="315">
        <v>25999686.02</v>
      </c>
      <c r="F419" s="256">
        <v>12476377.889999999</v>
      </c>
      <c r="G419" s="255">
        <v>9218815.7199999988</v>
      </c>
      <c r="H419" s="255">
        <v>127708.78</v>
      </c>
      <c r="I419" s="254">
        <v>4176783.6299999994</v>
      </c>
      <c r="K419" s="250"/>
    </row>
    <row r="420" spans="1:11" ht="15" customHeight="1">
      <c r="A420" s="7" t="s">
        <v>367</v>
      </c>
      <c r="B420" s="7" t="s">
        <v>661</v>
      </c>
      <c r="C420" s="7" t="s">
        <v>724</v>
      </c>
      <c r="D420" s="295" t="s">
        <v>871</v>
      </c>
      <c r="E420" s="315">
        <v>15813929.740000002</v>
      </c>
      <c r="F420" s="256">
        <v>7066794.4800000004</v>
      </c>
      <c r="G420" s="255">
        <v>6208689.2999999998</v>
      </c>
      <c r="H420" s="255">
        <v>53457.979999999996</v>
      </c>
      <c r="I420" s="254">
        <v>2484987.9800000004</v>
      </c>
      <c r="K420" s="250"/>
    </row>
    <row r="421" spans="1:11" ht="15" customHeight="1">
      <c r="A421" s="7" t="s">
        <v>368</v>
      </c>
      <c r="B421" s="7" t="s">
        <v>662</v>
      </c>
      <c r="C421" s="7" t="s">
        <v>724</v>
      </c>
      <c r="D421" s="295" t="s">
        <v>877</v>
      </c>
      <c r="E421" s="315">
        <v>26913318.189999998</v>
      </c>
      <c r="F421" s="256">
        <v>11758331.420000002</v>
      </c>
      <c r="G421" s="255">
        <v>11027804.809999999</v>
      </c>
      <c r="H421" s="255">
        <v>106049.15</v>
      </c>
      <c r="I421" s="254">
        <v>4021132.81</v>
      </c>
      <c r="K421" s="250"/>
    </row>
    <row r="422" spans="1:11" ht="15" customHeight="1">
      <c r="A422" s="7" t="s">
        <v>369</v>
      </c>
      <c r="B422" s="7" t="s">
        <v>663</v>
      </c>
      <c r="C422" s="7" t="s">
        <v>724</v>
      </c>
      <c r="D422" s="295" t="s">
        <v>871</v>
      </c>
      <c r="E422" s="315">
        <v>43388734.850000001</v>
      </c>
      <c r="F422" s="256">
        <v>21176318.289999999</v>
      </c>
      <c r="G422" s="255">
        <v>15201885.52</v>
      </c>
      <c r="H422" s="255">
        <v>115166.35</v>
      </c>
      <c r="I422" s="254">
        <v>6895364.6900000004</v>
      </c>
      <c r="K422" s="250"/>
    </row>
    <row r="423" spans="1:11" ht="15" customHeight="1">
      <c r="A423" s="7" t="s">
        <v>370</v>
      </c>
      <c r="B423" s="7" t="s">
        <v>664</v>
      </c>
      <c r="C423" s="7" t="s">
        <v>724</v>
      </c>
      <c r="D423" s="295" t="s">
        <v>871</v>
      </c>
      <c r="E423" s="315">
        <v>26228028.029999997</v>
      </c>
      <c r="F423" s="256">
        <v>12566525.809999999</v>
      </c>
      <c r="G423" s="255">
        <v>9449604.1199999992</v>
      </c>
      <c r="H423" s="255">
        <v>118699.58</v>
      </c>
      <c r="I423" s="254">
        <v>4093198.52</v>
      </c>
      <c r="K423" s="250"/>
    </row>
    <row r="424" spans="1:11" ht="15" customHeight="1">
      <c r="A424" s="7" t="s">
        <v>371</v>
      </c>
      <c r="B424" s="7" t="s">
        <v>665</v>
      </c>
      <c r="C424" s="7" t="s">
        <v>724</v>
      </c>
      <c r="D424" s="295" t="s">
        <v>871</v>
      </c>
      <c r="E424" s="315">
        <v>34287744.950000003</v>
      </c>
      <c r="F424" s="256">
        <v>16995833.670000002</v>
      </c>
      <c r="G424" s="255">
        <v>11589078.9</v>
      </c>
      <c r="H424" s="255">
        <v>191224.68</v>
      </c>
      <c r="I424" s="254">
        <v>5511607.7000000002</v>
      </c>
      <c r="K424" s="250"/>
    </row>
    <row r="425" spans="1:11" ht="15" customHeight="1">
      <c r="A425" s="7" t="s">
        <v>363</v>
      </c>
      <c r="B425" s="7" t="s">
        <v>846</v>
      </c>
      <c r="C425" s="7" t="s">
        <v>724</v>
      </c>
      <c r="D425" s="295" t="s">
        <v>873</v>
      </c>
      <c r="E425" s="315">
        <v>27169054.839999996</v>
      </c>
      <c r="F425" s="256">
        <v>13537817.429999998</v>
      </c>
      <c r="G425" s="255">
        <v>9173071.7999999989</v>
      </c>
      <c r="H425" s="255">
        <v>116499.95999999999</v>
      </c>
      <c r="I425" s="254">
        <v>4341665.6500000004</v>
      </c>
      <c r="K425" s="250"/>
    </row>
    <row r="426" spans="1:11" ht="15" customHeight="1">
      <c r="A426" s="7" t="s">
        <v>364</v>
      </c>
      <c r="B426" s="7" t="s">
        <v>847</v>
      </c>
      <c r="C426" s="7" t="s">
        <v>724</v>
      </c>
      <c r="D426" s="295" t="s">
        <v>874</v>
      </c>
      <c r="E426" s="315">
        <v>28828519.190000005</v>
      </c>
      <c r="F426" s="256">
        <v>14379782.780000003</v>
      </c>
      <c r="G426" s="255">
        <v>9777915.959999999</v>
      </c>
      <c r="H426" s="255">
        <v>72495.17</v>
      </c>
      <c r="I426" s="254">
        <v>4598325.28</v>
      </c>
      <c r="K426" s="250"/>
    </row>
    <row r="427" spans="1:11" ht="15" customHeight="1">
      <c r="A427" s="7" t="s">
        <v>372</v>
      </c>
      <c r="B427" s="7" t="s">
        <v>666</v>
      </c>
      <c r="C427" s="7" t="s">
        <v>724</v>
      </c>
      <c r="D427" s="295" t="s">
        <v>871</v>
      </c>
      <c r="E427" s="315">
        <v>18921090.82</v>
      </c>
      <c r="F427" s="256">
        <v>9155943.290000001</v>
      </c>
      <c r="G427" s="255">
        <v>6569872.8300000001</v>
      </c>
      <c r="H427" s="255">
        <v>23404.84</v>
      </c>
      <c r="I427" s="254">
        <v>3171869.8599999994</v>
      </c>
      <c r="K427" s="250"/>
    </row>
    <row r="428" spans="1:11" ht="15" customHeight="1">
      <c r="A428" s="7" t="s">
        <v>373</v>
      </c>
      <c r="B428" s="7" t="s">
        <v>667</v>
      </c>
      <c r="C428" s="7" t="s">
        <v>724</v>
      </c>
      <c r="D428" s="295" t="s">
        <v>871</v>
      </c>
      <c r="E428" s="315">
        <v>21551572.579999998</v>
      </c>
      <c r="F428" s="256">
        <v>10805093.340000002</v>
      </c>
      <c r="G428" s="255">
        <v>7098248.0500000007</v>
      </c>
      <c r="H428" s="255">
        <v>66939.97</v>
      </c>
      <c r="I428" s="254">
        <v>3581291.22</v>
      </c>
      <c r="K428" s="250"/>
    </row>
    <row r="429" spans="1:11" ht="15" customHeight="1">
      <c r="A429" s="7" t="s">
        <v>374</v>
      </c>
      <c r="B429" s="7" t="s">
        <v>668</v>
      </c>
      <c r="C429" s="7" t="s">
        <v>724</v>
      </c>
      <c r="D429" s="295" t="s">
        <v>871</v>
      </c>
      <c r="E429" s="315">
        <v>31682607.920000006</v>
      </c>
      <c r="F429" s="256">
        <v>15653746.99</v>
      </c>
      <c r="G429" s="255">
        <v>10742601.240000002</v>
      </c>
      <c r="H429" s="255">
        <v>212551.18</v>
      </c>
      <c r="I429" s="254">
        <v>5073708.5100000007</v>
      </c>
      <c r="K429" s="250"/>
    </row>
    <row r="430" spans="1:11" ht="15" customHeight="1">
      <c r="A430" s="7" t="s">
        <v>356</v>
      </c>
      <c r="B430" s="7" t="s">
        <v>848</v>
      </c>
      <c r="C430" s="7" t="s">
        <v>724</v>
      </c>
      <c r="D430" s="295" t="s">
        <v>871</v>
      </c>
      <c r="E430" s="315">
        <v>59219616.239999995</v>
      </c>
      <c r="F430" s="256">
        <v>24385062.539999999</v>
      </c>
      <c r="G430" s="255">
        <v>26026312.350000001</v>
      </c>
      <c r="H430" s="255">
        <v>227815.9</v>
      </c>
      <c r="I430" s="254">
        <v>8580425.4499999993</v>
      </c>
      <c r="K430" s="250"/>
    </row>
    <row r="431" spans="1:11" ht="15" customHeight="1">
      <c r="A431" s="7" t="s">
        <v>359</v>
      </c>
      <c r="B431" s="7" t="s">
        <v>849</v>
      </c>
      <c r="C431" s="7" t="s">
        <v>724</v>
      </c>
      <c r="D431" s="295" t="s">
        <v>871</v>
      </c>
      <c r="E431" s="315">
        <v>26259952.700000003</v>
      </c>
      <c r="F431" s="256">
        <v>11495789.15</v>
      </c>
      <c r="G431" s="255">
        <v>10651878.629999999</v>
      </c>
      <c r="H431" s="255">
        <v>157742.79999999999</v>
      </c>
      <c r="I431" s="254">
        <v>3954542.12</v>
      </c>
      <c r="K431" s="250"/>
    </row>
    <row r="432" spans="1:11" ht="15" customHeight="1">
      <c r="A432" s="7" t="s">
        <v>375</v>
      </c>
      <c r="B432" s="7" t="s">
        <v>669</v>
      </c>
      <c r="C432" s="7" t="s">
        <v>726</v>
      </c>
      <c r="D432" s="295" t="s">
        <v>882</v>
      </c>
      <c r="E432" s="315">
        <v>501453084.17000002</v>
      </c>
      <c r="F432" s="256">
        <v>219385609.70999998</v>
      </c>
      <c r="G432" s="255">
        <v>206756339.23000002</v>
      </c>
      <c r="H432" s="255">
        <v>2214865.1599999997</v>
      </c>
      <c r="I432" s="254">
        <v>73096270.069999993</v>
      </c>
      <c r="K432" s="250"/>
    </row>
    <row r="433" spans="1:11" ht="15" customHeight="1">
      <c r="A433" s="7" t="s">
        <v>376</v>
      </c>
      <c r="B433" s="7" t="s">
        <v>670</v>
      </c>
      <c r="C433" s="7" t="s">
        <v>726</v>
      </c>
      <c r="D433" s="295" t="s">
        <v>882</v>
      </c>
      <c r="E433" s="315">
        <v>257872102.72</v>
      </c>
      <c r="F433" s="256">
        <v>113574087.06</v>
      </c>
      <c r="G433" s="255">
        <v>106849174.41</v>
      </c>
      <c r="H433" s="255">
        <v>1660925.23</v>
      </c>
      <c r="I433" s="254">
        <v>35787916.020000003</v>
      </c>
      <c r="K433" s="250"/>
    </row>
    <row r="434" spans="1:11" ht="15" customHeight="1">
      <c r="A434" s="7" t="s">
        <v>377</v>
      </c>
      <c r="B434" s="7" t="s">
        <v>855</v>
      </c>
      <c r="C434" s="7" t="s">
        <v>726</v>
      </c>
      <c r="D434" s="295" t="s">
        <v>882</v>
      </c>
      <c r="E434" s="315">
        <v>175631273.71999997</v>
      </c>
      <c r="F434" s="256">
        <v>75505567.449999988</v>
      </c>
      <c r="G434" s="255">
        <v>74766366.659999996</v>
      </c>
      <c r="H434" s="255">
        <v>905647.47999999986</v>
      </c>
      <c r="I434" s="254">
        <v>24453692.129999999</v>
      </c>
      <c r="K434" s="250"/>
    </row>
    <row r="435" spans="1:11" ht="15" customHeight="1">
      <c r="A435" s="7" t="s">
        <v>378</v>
      </c>
      <c r="B435" s="7" t="s">
        <v>856</v>
      </c>
      <c r="C435" s="7" t="s">
        <v>726</v>
      </c>
      <c r="D435" s="295" t="s">
        <v>882</v>
      </c>
      <c r="E435" s="315">
        <v>364669244.89000005</v>
      </c>
      <c r="F435" s="256">
        <v>157818241.18000001</v>
      </c>
      <c r="G435" s="255">
        <v>153007924.90000001</v>
      </c>
      <c r="H435" s="255">
        <v>1767593.8900000001</v>
      </c>
      <c r="I435" s="254">
        <v>52075484.920000002</v>
      </c>
      <c r="K435" s="250"/>
    </row>
    <row r="436" spans="1:11" ht="15" customHeight="1">
      <c r="A436" s="7" t="s">
        <v>379</v>
      </c>
      <c r="B436" s="7" t="s">
        <v>671</v>
      </c>
      <c r="C436" s="7" t="s">
        <v>726</v>
      </c>
      <c r="D436" s="295" t="s">
        <v>882</v>
      </c>
      <c r="E436" s="315">
        <v>288832826.82999998</v>
      </c>
      <c r="F436" s="256">
        <v>117301181.55000001</v>
      </c>
      <c r="G436" s="255">
        <v>132508350.81</v>
      </c>
      <c r="H436" s="255">
        <v>1249873.4500000002</v>
      </c>
      <c r="I436" s="254">
        <v>37773421.019999996</v>
      </c>
      <c r="K436" s="250"/>
    </row>
    <row r="437" spans="1:11" ht="15" customHeight="1">
      <c r="A437" s="7" t="s">
        <v>380</v>
      </c>
      <c r="B437" s="7" t="s">
        <v>672</v>
      </c>
      <c r="C437" s="7" t="s">
        <v>726</v>
      </c>
      <c r="D437" s="295" t="s">
        <v>882</v>
      </c>
      <c r="E437" s="315">
        <v>309339321.25</v>
      </c>
      <c r="F437" s="256">
        <v>132666724.48999999</v>
      </c>
      <c r="G437" s="255">
        <v>133710316.38999999</v>
      </c>
      <c r="H437" s="255">
        <v>1519944.9500000002</v>
      </c>
      <c r="I437" s="254">
        <v>41442335.420000002</v>
      </c>
      <c r="K437" s="250"/>
    </row>
    <row r="438" spans="1:11" ht="15" customHeight="1">
      <c r="A438" s="7" t="s">
        <v>381</v>
      </c>
      <c r="B438" s="7" t="s">
        <v>673</v>
      </c>
      <c r="C438" s="7" t="s">
        <v>726</v>
      </c>
      <c r="D438" s="295" t="s">
        <v>882</v>
      </c>
      <c r="E438" s="315">
        <v>321823370.69000006</v>
      </c>
      <c r="F438" s="256">
        <v>139278630.45000002</v>
      </c>
      <c r="G438" s="255">
        <v>134742932.76999998</v>
      </c>
      <c r="H438" s="255">
        <v>1642161.8699999999</v>
      </c>
      <c r="I438" s="254">
        <v>46159645.600000001</v>
      </c>
      <c r="K438" s="250"/>
    </row>
    <row r="439" spans="1:11" ht="15" customHeight="1">
      <c r="A439" s="7" t="s">
        <v>382</v>
      </c>
      <c r="B439" s="7" t="s">
        <v>674</v>
      </c>
      <c r="C439" s="7" t="s">
        <v>726</v>
      </c>
      <c r="D439" s="295" t="s">
        <v>882</v>
      </c>
      <c r="E439" s="315">
        <v>354821150.08000004</v>
      </c>
      <c r="F439" s="256">
        <v>156070706.84000003</v>
      </c>
      <c r="G439" s="255">
        <v>145188867.99000001</v>
      </c>
      <c r="H439" s="255">
        <v>2068399.75</v>
      </c>
      <c r="I439" s="254">
        <v>51493175.500000007</v>
      </c>
      <c r="K439" s="250"/>
    </row>
    <row r="440" spans="1:11" ht="15" customHeight="1">
      <c r="A440" s="7" t="s">
        <v>383</v>
      </c>
      <c r="B440" s="7" t="s">
        <v>675</v>
      </c>
      <c r="C440" s="7" t="s">
        <v>726</v>
      </c>
      <c r="D440" s="295" t="s">
        <v>882</v>
      </c>
      <c r="E440" s="315">
        <v>350573955.26999998</v>
      </c>
      <c r="F440" s="256">
        <v>147744503.26000002</v>
      </c>
      <c r="G440" s="255">
        <v>151628811.28999999</v>
      </c>
      <c r="H440" s="255">
        <v>1331085.96</v>
      </c>
      <c r="I440" s="254">
        <v>49869554.759999998</v>
      </c>
      <c r="K440" s="250"/>
    </row>
    <row r="441" spans="1:11" ht="15" customHeight="1">
      <c r="A441" s="7" t="s">
        <v>384</v>
      </c>
      <c r="B441" s="7" t="s">
        <v>676</v>
      </c>
      <c r="C441" s="7" t="s">
        <v>726</v>
      </c>
      <c r="D441" s="295" t="s">
        <v>882</v>
      </c>
      <c r="E441" s="315">
        <v>563781699.63999987</v>
      </c>
      <c r="F441" s="256">
        <v>245619776.03999996</v>
      </c>
      <c r="G441" s="255">
        <v>234545842.68999994</v>
      </c>
      <c r="H441" s="255">
        <v>2277817.1</v>
      </c>
      <c r="I441" s="254">
        <v>81338263.809999987</v>
      </c>
      <c r="K441" s="250"/>
    </row>
    <row r="442" spans="1:11" ht="15" customHeight="1">
      <c r="A442" s="7" t="s">
        <v>385</v>
      </c>
      <c r="B442" s="7" t="s">
        <v>857</v>
      </c>
      <c r="C442" s="7" t="s">
        <v>726</v>
      </c>
      <c r="D442" s="295" t="s">
        <v>882</v>
      </c>
      <c r="E442" s="315">
        <v>312060176.13999999</v>
      </c>
      <c r="F442" s="256">
        <v>142478919.41</v>
      </c>
      <c r="G442" s="255">
        <v>121643149.56</v>
      </c>
      <c r="H442" s="255">
        <v>2079958.98</v>
      </c>
      <c r="I442" s="254">
        <v>45858148.189999998</v>
      </c>
      <c r="K442" s="250"/>
    </row>
    <row r="443" spans="1:11" ht="15" customHeight="1">
      <c r="A443" s="224" t="s">
        <v>386</v>
      </c>
      <c r="B443" s="224" t="s">
        <v>858</v>
      </c>
      <c r="C443" s="224" t="s">
        <v>726</v>
      </c>
      <c r="D443" s="296" t="s">
        <v>882</v>
      </c>
      <c r="E443" s="317">
        <v>332246025.58999997</v>
      </c>
      <c r="F443" s="253">
        <v>148797790.10000002</v>
      </c>
      <c r="G443" s="252">
        <v>133657964.28</v>
      </c>
      <c r="H443" s="252">
        <v>1957341.8199999998</v>
      </c>
      <c r="I443" s="251">
        <v>47832929.390000008</v>
      </c>
      <c r="K443" s="250"/>
    </row>
    <row r="444" spans="1:11" s="243" customFormat="1" ht="11.25" customHeight="1">
      <c r="A444" s="247"/>
      <c r="B444" s="247"/>
      <c r="C444" s="247"/>
      <c r="D444" s="249"/>
      <c r="E444" s="248"/>
      <c r="F444" s="247"/>
      <c r="G444" s="247"/>
      <c r="H444" s="247"/>
      <c r="I444" s="246" t="s">
        <v>0</v>
      </c>
      <c r="J444" s="245"/>
    </row>
    <row r="445" spans="1:11" s="243" customFormat="1" ht="11.25" customHeight="1">
      <c r="E445" s="244"/>
    </row>
    <row r="446" spans="1:11" ht="22.5" customHeight="1">
      <c r="A446" s="424" t="s">
        <v>1054</v>
      </c>
      <c r="B446" s="424"/>
      <c r="C446" s="424"/>
      <c r="D446" s="424"/>
      <c r="E446" s="424"/>
      <c r="F446" s="424"/>
      <c r="G446" s="424"/>
      <c r="H446" s="424"/>
      <c r="I446" s="424"/>
    </row>
    <row r="447" spans="1:11" ht="35.25" customHeight="1">
      <c r="A447" s="425" t="s">
        <v>1053</v>
      </c>
      <c r="B447" s="425"/>
      <c r="C447" s="425"/>
      <c r="D447" s="425"/>
      <c r="E447" s="425"/>
      <c r="F447" s="425"/>
      <c r="G447" s="425"/>
      <c r="H447" s="425"/>
      <c r="I447" s="425"/>
    </row>
  </sheetData>
  <autoFilter ref="B36:D36" xr:uid="{67DFBF22-CD0B-4BD6-A8EC-739E3A8F34C2}"/>
  <mergeCells count="10">
    <mergeCell ref="E34:E35"/>
    <mergeCell ref="F34:I34"/>
    <mergeCell ref="A446:I446"/>
    <mergeCell ref="A447:I447"/>
    <mergeCell ref="H3:I3"/>
    <mergeCell ref="A6:I11"/>
    <mergeCell ref="A12:I15"/>
    <mergeCell ref="A16:I20"/>
    <mergeCell ref="A21:I23"/>
    <mergeCell ref="A24:I28"/>
  </mergeCells>
  <hyperlinks>
    <hyperlink ref="H3:I3" location="Inhaltsverzeichnis!A1" tooltip="zurück zum Inhalt" display="zurück zum Inhalt" xr:uid="{97EE9E4A-805B-47EC-8087-D67BD22EC98D}"/>
  </hyperlinks>
  <printOptions horizontalCentered="1"/>
  <pageMargins left="0.51181102362204722" right="0.31496062992125984" top="0.39370078740157483" bottom="0.78740157480314965" header="0.31496062992125984" footer="0.31496062992125984"/>
  <pageSetup paperSize="9" scale="58" orientation="portrait" r:id="rId1"/>
  <ignoredErrors>
    <ignoredError sqref="B40:C443"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552A3-5BD2-474F-A4DF-DBF82458E745}">
  <sheetPr codeName="Tabelle3"/>
  <dimension ref="A1:P448"/>
  <sheetViews>
    <sheetView showGridLines="0" zoomScaleNormal="100" zoomScaleSheetLayoutView="100" workbookViewId="0"/>
  </sheetViews>
  <sheetFormatPr baseColWidth="10" defaultColWidth="12.85546875" defaultRowHeight="12.75"/>
  <cols>
    <col min="1" max="1" width="2.7109375" style="325" customWidth="1"/>
    <col min="2" max="7" width="12.28515625" style="325" customWidth="1"/>
    <col min="8" max="8" width="21.85546875" style="325" customWidth="1"/>
    <col min="9" max="255" width="12.85546875" style="325"/>
    <col min="256" max="263" width="12.28515625" style="325" customWidth="1"/>
    <col min="264" max="511" width="12.85546875" style="325"/>
    <col min="512" max="519" width="12.28515625" style="325" customWidth="1"/>
    <col min="520" max="767" width="12.85546875" style="325"/>
    <col min="768" max="775" width="12.28515625" style="325" customWidth="1"/>
    <col min="776" max="1023" width="12.85546875" style="325"/>
    <col min="1024" max="1031" width="12.28515625" style="325" customWidth="1"/>
    <col min="1032" max="1279" width="12.85546875" style="325"/>
    <col min="1280" max="1287" width="12.28515625" style="325" customWidth="1"/>
    <col min="1288" max="1535" width="12.85546875" style="325"/>
    <col min="1536" max="1543" width="12.28515625" style="325" customWidth="1"/>
    <col min="1544" max="1791" width="12.85546875" style="325"/>
    <col min="1792" max="1799" width="12.28515625" style="325" customWidth="1"/>
    <col min="1800" max="2047" width="12.85546875" style="325"/>
    <col min="2048" max="2055" width="12.28515625" style="325" customWidth="1"/>
    <col min="2056" max="2303" width="12.85546875" style="325"/>
    <col min="2304" max="2311" width="12.28515625" style="325" customWidth="1"/>
    <col min="2312" max="2559" width="12.85546875" style="325"/>
    <col min="2560" max="2567" width="12.28515625" style="325" customWidth="1"/>
    <col min="2568" max="2815" width="12.85546875" style="325"/>
    <col min="2816" max="2823" width="12.28515625" style="325" customWidth="1"/>
    <col min="2824" max="3071" width="12.85546875" style="325"/>
    <col min="3072" max="3079" width="12.28515625" style="325" customWidth="1"/>
    <col min="3080" max="3327" width="12.85546875" style="325"/>
    <col min="3328" max="3335" width="12.28515625" style="325" customWidth="1"/>
    <col min="3336" max="3583" width="12.85546875" style="325"/>
    <col min="3584" max="3591" width="12.28515625" style="325" customWidth="1"/>
    <col min="3592" max="3839" width="12.85546875" style="325"/>
    <col min="3840" max="3847" width="12.28515625" style="325" customWidth="1"/>
    <col min="3848" max="4095" width="12.85546875" style="325"/>
    <col min="4096" max="4103" width="12.28515625" style="325" customWidth="1"/>
    <col min="4104" max="4351" width="12.85546875" style="325"/>
    <col min="4352" max="4359" width="12.28515625" style="325" customWidth="1"/>
    <col min="4360" max="4607" width="12.85546875" style="325"/>
    <col min="4608" max="4615" width="12.28515625" style="325" customWidth="1"/>
    <col min="4616" max="4863" width="12.85546875" style="325"/>
    <col min="4864" max="4871" width="12.28515625" style="325" customWidth="1"/>
    <col min="4872" max="5119" width="12.85546875" style="325"/>
    <col min="5120" max="5127" width="12.28515625" style="325" customWidth="1"/>
    <col min="5128" max="5375" width="12.85546875" style="325"/>
    <col min="5376" max="5383" width="12.28515625" style="325" customWidth="1"/>
    <col min="5384" max="5631" width="12.85546875" style="325"/>
    <col min="5632" max="5639" width="12.28515625" style="325" customWidth="1"/>
    <col min="5640" max="5887" width="12.85546875" style="325"/>
    <col min="5888" max="5895" width="12.28515625" style="325" customWidth="1"/>
    <col min="5896" max="6143" width="12.85546875" style="325"/>
    <col min="6144" max="6151" width="12.28515625" style="325" customWidth="1"/>
    <col min="6152" max="6399" width="12.85546875" style="325"/>
    <col min="6400" max="6407" width="12.28515625" style="325" customWidth="1"/>
    <col min="6408" max="6655" width="12.85546875" style="325"/>
    <col min="6656" max="6663" width="12.28515625" style="325" customWidth="1"/>
    <col min="6664" max="6911" width="12.85546875" style="325"/>
    <col min="6912" max="6919" width="12.28515625" style="325" customWidth="1"/>
    <col min="6920" max="7167" width="12.85546875" style="325"/>
    <col min="7168" max="7175" width="12.28515625" style="325" customWidth="1"/>
    <col min="7176" max="7423" width="12.85546875" style="325"/>
    <col min="7424" max="7431" width="12.28515625" style="325" customWidth="1"/>
    <col min="7432" max="7679" width="12.85546875" style="325"/>
    <col min="7680" max="7687" width="12.28515625" style="325" customWidth="1"/>
    <col min="7688" max="7935" width="12.85546875" style="325"/>
    <col min="7936" max="7943" width="12.28515625" style="325" customWidth="1"/>
    <col min="7944" max="8191" width="12.85546875" style="325"/>
    <col min="8192" max="8199" width="12.28515625" style="325" customWidth="1"/>
    <col min="8200" max="8447" width="12.85546875" style="325"/>
    <col min="8448" max="8455" width="12.28515625" style="325" customWidth="1"/>
    <col min="8456" max="8703" width="12.85546875" style="325"/>
    <col min="8704" max="8711" width="12.28515625" style="325" customWidth="1"/>
    <col min="8712" max="8959" width="12.85546875" style="325"/>
    <col min="8960" max="8967" width="12.28515625" style="325" customWidth="1"/>
    <col min="8968" max="9215" width="12.85546875" style="325"/>
    <col min="9216" max="9223" width="12.28515625" style="325" customWidth="1"/>
    <col min="9224" max="9471" width="12.85546875" style="325"/>
    <col min="9472" max="9479" width="12.28515625" style="325" customWidth="1"/>
    <col min="9480" max="9727" width="12.85546875" style="325"/>
    <col min="9728" max="9735" width="12.28515625" style="325" customWidth="1"/>
    <col min="9736" max="9983" width="12.85546875" style="325"/>
    <col min="9984" max="9991" width="12.28515625" style="325" customWidth="1"/>
    <col min="9992" max="10239" width="12.85546875" style="325"/>
    <col min="10240" max="10247" width="12.28515625" style="325" customWidth="1"/>
    <col min="10248" max="10495" width="12.85546875" style="325"/>
    <col min="10496" max="10503" width="12.28515625" style="325" customWidth="1"/>
    <col min="10504" max="10751" width="12.85546875" style="325"/>
    <col min="10752" max="10759" width="12.28515625" style="325" customWidth="1"/>
    <col min="10760" max="11007" width="12.85546875" style="325"/>
    <col min="11008" max="11015" width="12.28515625" style="325" customWidth="1"/>
    <col min="11016" max="11263" width="12.85546875" style="325"/>
    <col min="11264" max="11271" width="12.28515625" style="325" customWidth="1"/>
    <col min="11272" max="11519" width="12.85546875" style="325"/>
    <col min="11520" max="11527" width="12.28515625" style="325" customWidth="1"/>
    <col min="11528" max="11775" width="12.85546875" style="325"/>
    <col min="11776" max="11783" width="12.28515625" style="325" customWidth="1"/>
    <col min="11784" max="12031" width="12.85546875" style="325"/>
    <col min="12032" max="12039" width="12.28515625" style="325" customWidth="1"/>
    <col min="12040" max="12287" width="12.85546875" style="325"/>
    <col min="12288" max="12295" width="12.28515625" style="325" customWidth="1"/>
    <col min="12296" max="12543" width="12.85546875" style="325"/>
    <col min="12544" max="12551" width="12.28515625" style="325" customWidth="1"/>
    <col min="12552" max="12799" width="12.85546875" style="325"/>
    <col min="12800" max="12807" width="12.28515625" style="325" customWidth="1"/>
    <col min="12808" max="13055" width="12.85546875" style="325"/>
    <col min="13056" max="13063" width="12.28515625" style="325" customWidth="1"/>
    <col min="13064" max="13311" width="12.85546875" style="325"/>
    <col min="13312" max="13319" width="12.28515625" style="325" customWidth="1"/>
    <col min="13320" max="13567" width="12.85546875" style="325"/>
    <col min="13568" max="13575" width="12.28515625" style="325" customWidth="1"/>
    <col min="13576" max="13823" width="12.85546875" style="325"/>
    <col min="13824" max="13831" width="12.28515625" style="325" customWidth="1"/>
    <col min="13832" max="14079" width="12.85546875" style="325"/>
    <col min="14080" max="14087" width="12.28515625" style="325" customWidth="1"/>
    <col min="14088" max="14335" width="12.85546875" style="325"/>
    <col min="14336" max="14343" width="12.28515625" style="325" customWidth="1"/>
    <col min="14344" max="14591" width="12.85546875" style="325"/>
    <col min="14592" max="14599" width="12.28515625" style="325" customWidth="1"/>
    <col min="14600" max="14847" width="12.85546875" style="325"/>
    <col min="14848" max="14855" width="12.28515625" style="325" customWidth="1"/>
    <col min="14856" max="15103" width="12.85546875" style="325"/>
    <col min="15104" max="15111" width="12.28515625" style="325" customWidth="1"/>
    <col min="15112" max="15359" width="12.85546875" style="325"/>
    <col min="15360" max="15367" width="12.28515625" style="325" customWidth="1"/>
    <col min="15368" max="15615" width="12.85546875" style="325"/>
    <col min="15616" max="15623" width="12.28515625" style="325" customWidth="1"/>
    <col min="15624" max="15871" width="12.85546875" style="325"/>
    <col min="15872" max="15879" width="12.28515625" style="325" customWidth="1"/>
    <col min="15880" max="16127" width="12.85546875" style="325"/>
    <col min="16128" max="16135" width="12.28515625" style="325" customWidth="1"/>
    <col min="16136" max="16384" width="12.85546875" style="325"/>
  </cols>
  <sheetData>
    <row r="1" spans="1:16" s="321" customFormat="1" ht="33.75" customHeight="1">
      <c r="A1" s="79"/>
      <c r="B1" s="318"/>
      <c r="C1" s="318"/>
      <c r="D1" s="318"/>
      <c r="E1" s="318"/>
      <c r="F1" s="319"/>
      <c r="G1" s="319"/>
      <c r="H1" s="319" t="s">
        <v>678</v>
      </c>
      <c r="I1" s="320"/>
      <c r="J1" s="320"/>
    </row>
    <row r="2" spans="1:16" s="322" customFormat="1" ht="13.5" customHeight="1">
      <c r="G2" s="323"/>
      <c r="H2" s="324" t="s">
        <v>1213</v>
      </c>
    </row>
    <row r="3" spans="1:16" ht="11.25" customHeight="1"/>
    <row r="4" spans="1:16" ht="15" customHeight="1">
      <c r="A4" s="326" t="s">
        <v>750</v>
      </c>
      <c r="B4" s="327"/>
      <c r="C4" s="327"/>
      <c r="D4" s="327"/>
      <c r="E4" s="327"/>
      <c r="F4" s="327"/>
      <c r="G4" s="446" t="s">
        <v>950</v>
      </c>
      <c r="H4" s="446"/>
    </row>
    <row r="5" spans="1:16">
      <c r="A5" s="328" t="s">
        <v>1204</v>
      </c>
      <c r="B5" s="329"/>
      <c r="C5" s="329"/>
      <c r="D5" s="329"/>
      <c r="E5" s="329"/>
      <c r="F5" s="329"/>
      <c r="G5" s="329"/>
      <c r="H5" s="329"/>
    </row>
    <row r="6" spans="1:16">
      <c r="A6" s="328"/>
      <c r="B6" s="329"/>
      <c r="C6" s="329"/>
      <c r="D6" s="329"/>
      <c r="E6" s="329"/>
      <c r="F6" s="329"/>
      <c r="G6" s="329"/>
      <c r="H6" s="329"/>
      <c r="I6" s="330"/>
    </row>
    <row r="7" spans="1:16">
      <c r="A7" s="434"/>
      <c r="B7" s="434"/>
      <c r="C7" s="434"/>
      <c r="D7" s="434"/>
      <c r="E7" s="434"/>
      <c r="F7" s="434"/>
      <c r="G7" s="434"/>
      <c r="H7" s="434"/>
      <c r="I7" s="330"/>
    </row>
    <row r="8" spans="1:16">
      <c r="A8" s="435" t="s">
        <v>938</v>
      </c>
      <c r="B8" s="435"/>
      <c r="C8" s="435"/>
      <c r="D8" s="435"/>
      <c r="E8" s="435"/>
      <c r="F8" s="435"/>
      <c r="G8" s="435"/>
      <c r="H8" s="435"/>
      <c r="I8" s="330"/>
      <c r="K8" s="71"/>
    </row>
    <row r="9" spans="1:16" ht="5.0999999999999996" customHeight="1">
      <c r="A9" s="331"/>
      <c r="B9" s="331"/>
      <c r="C9" s="331"/>
      <c r="D9" s="331"/>
      <c r="E9" s="331"/>
      <c r="F9" s="331"/>
      <c r="G9" s="331"/>
      <c r="H9" s="331"/>
      <c r="I9" s="330"/>
    </row>
    <row r="10" spans="1:16" ht="12.75" customHeight="1">
      <c r="A10" s="332" t="s">
        <v>987</v>
      </c>
      <c r="B10" s="332" t="s">
        <v>952</v>
      </c>
      <c r="C10" s="332"/>
      <c r="D10" s="332"/>
      <c r="E10" s="332"/>
      <c r="F10" s="332"/>
      <c r="G10" s="332"/>
      <c r="H10" s="332"/>
      <c r="I10" s="82"/>
      <c r="J10" s="445"/>
      <c r="K10" s="445"/>
      <c r="L10" s="445"/>
      <c r="M10" s="445"/>
      <c r="N10" s="445"/>
      <c r="O10" s="445"/>
      <c r="P10" s="445"/>
    </row>
    <row r="11" spans="1:16" ht="12.75" customHeight="1">
      <c r="A11" s="332" t="s">
        <v>985</v>
      </c>
      <c r="B11" s="332" t="s">
        <v>953</v>
      </c>
      <c r="C11" s="332"/>
      <c r="D11" s="332"/>
      <c r="E11" s="332"/>
      <c r="F11" s="332"/>
      <c r="G11" s="332"/>
      <c r="H11" s="332"/>
      <c r="I11" s="82"/>
      <c r="J11" s="445"/>
      <c r="K11" s="445"/>
      <c r="L11" s="445"/>
      <c r="M11" s="445"/>
      <c r="N11" s="445"/>
      <c r="O11" s="445"/>
      <c r="P11" s="445"/>
    </row>
    <row r="12" spans="1:16" ht="12.75" customHeight="1">
      <c r="A12" s="332" t="s">
        <v>951</v>
      </c>
      <c r="B12" s="332" t="s">
        <v>1002</v>
      </c>
      <c r="C12" s="332"/>
      <c r="D12" s="332"/>
      <c r="E12" s="332"/>
      <c r="F12" s="332"/>
      <c r="G12" s="332"/>
      <c r="H12" s="332"/>
      <c r="I12" s="82"/>
      <c r="J12" s="445"/>
      <c r="K12" s="445"/>
      <c r="L12" s="445"/>
      <c r="M12" s="445"/>
      <c r="N12" s="445"/>
      <c r="O12" s="445"/>
      <c r="P12" s="445"/>
    </row>
    <row r="13" spans="1:16">
      <c r="A13" s="439"/>
      <c r="B13" s="439"/>
      <c r="C13" s="439"/>
      <c r="D13" s="439"/>
      <c r="E13" s="439"/>
      <c r="F13" s="439"/>
      <c r="G13" s="439"/>
      <c r="H13" s="439"/>
      <c r="I13" s="330"/>
    </row>
    <row r="14" spans="1:16">
      <c r="A14" s="435" t="s">
        <v>939</v>
      </c>
      <c r="B14" s="435"/>
      <c r="C14" s="435"/>
      <c r="D14" s="435"/>
      <c r="E14" s="435"/>
      <c r="F14" s="435"/>
      <c r="G14" s="435"/>
      <c r="H14" s="435"/>
      <c r="I14" s="330"/>
    </row>
    <row r="15" spans="1:16" ht="5.0999999999999996" customHeight="1">
      <c r="A15" s="331"/>
      <c r="B15" s="331"/>
      <c r="C15" s="331"/>
      <c r="D15" s="331"/>
      <c r="E15" s="331"/>
      <c r="F15" s="331"/>
      <c r="G15" s="331"/>
      <c r="H15" s="331"/>
      <c r="I15" s="330"/>
    </row>
    <row r="16" spans="1:16" s="334" customFormat="1" ht="38.25" customHeight="1">
      <c r="A16" s="437" t="s">
        <v>940</v>
      </c>
      <c r="B16" s="437"/>
      <c r="C16" s="437"/>
      <c r="D16" s="437"/>
      <c r="E16" s="437"/>
      <c r="F16" s="437"/>
      <c r="G16" s="437"/>
      <c r="H16" s="437"/>
      <c r="I16" s="333"/>
    </row>
    <row r="17" spans="1:9">
      <c r="A17" s="439"/>
      <c r="B17" s="439"/>
      <c r="C17" s="439"/>
      <c r="D17" s="439"/>
      <c r="E17" s="439"/>
      <c r="F17" s="439"/>
      <c r="G17" s="439"/>
      <c r="H17" s="439"/>
      <c r="I17" s="330"/>
    </row>
    <row r="18" spans="1:9">
      <c r="A18" s="435" t="s">
        <v>941</v>
      </c>
      <c r="B18" s="435"/>
      <c r="C18" s="435"/>
      <c r="D18" s="435"/>
      <c r="E18" s="435"/>
      <c r="F18" s="435"/>
      <c r="G18" s="435"/>
      <c r="H18" s="435"/>
      <c r="I18" s="330"/>
    </row>
    <row r="19" spans="1:9" ht="5.0999999999999996" customHeight="1">
      <c r="A19" s="331"/>
      <c r="B19" s="331"/>
      <c r="C19" s="331"/>
      <c r="D19" s="331"/>
      <c r="E19" s="331"/>
      <c r="F19" s="331"/>
      <c r="G19" s="331"/>
      <c r="H19" s="331"/>
      <c r="I19" s="330"/>
    </row>
    <row r="20" spans="1:9" ht="13.5" customHeight="1">
      <c r="A20" s="444" t="s">
        <v>1205</v>
      </c>
      <c r="B20" s="444"/>
      <c r="C20" s="444"/>
      <c r="D20" s="444"/>
      <c r="E20" s="444"/>
      <c r="F20" s="444"/>
      <c r="G20" s="444"/>
      <c r="H20" s="444"/>
      <c r="I20" s="330"/>
    </row>
    <row r="21" spans="1:9">
      <c r="A21" s="439"/>
      <c r="B21" s="439"/>
      <c r="C21" s="439"/>
      <c r="D21" s="439"/>
      <c r="E21" s="439"/>
      <c r="F21" s="439"/>
      <c r="G21" s="439"/>
      <c r="H21" s="439"/>
      <c r="I21" s="330"/>
    </row>
    <row r="22" spans="1:9">
      <c r="A22" s="435" t="s">
        <v>942</v>
      </c>
      <c r="B22" s="435"/>
      <c r="C22" s="435"/>
      <c r="D22" s="435"/>
      <c r="E22" s="435"/>
      <c r="F22" s="435"/>
      <c r="G22" s="435"/>
      <c r="H22" s="435"/>
      <c r="I22" s="330"/>
    </row>
    <row r="23" spans="1:9" ht="5.0999999999999996" customHeight="1">
      <c r="A23" s="331"/>
      <c r="B23" s="331"/>
      <c r="C23" s="331"/>
      <c r="D23" s="331"/>
      <c r="E23" s="331"/>
      <c r="F23" s="331"/>
      <c r="G23" s="331"/>
      <c r="H23" s="331"/>
      <c r="I23" s="330"/>
    </row>
    <row r="24" spans="1:9">
      <c r="A24" s="440" t="s">
        <v>943</v>
      </c>
      <c r="B24" s="440"/>
      <c r="C24" s="440"/>
      <c r="D24" s="440"/>
      <c r="E24" s="440"/>
      <c r="F24" s="440"/>
      <c r="G24" s="440"/>
      <c r="H24" s="440"/>
      <c r="I24" s="330"/>
    </row>
    <row r="25" spans="1:9" ht="5.0999999999999996" customHeight="1">
      <c r="A25" s="331"/>
      <c r="B25" s="331"/>
      <c r="C25" s="331"/>
      <c r="D25" s="331"/>
      <c r="E25" s="331"/>
      <c r="F25" s="331"/>
      <c r="G25" s="331"/>
      <c r="H25" s="331"/>
      <c r="I25" s="330"/>
    </row>
    <row r="26" spans="1:9">
      <c r="A26" s="433" t="s">
        <v>944</v>
      </c>
      <c r="B26" s="433"/>
      <c r="C26" s="433"/>
      <c r="D26" s="433"/>
      <c r="E26" s="433"/>
      <c r="F26" s="433"/>
      <c r="G26" s="433"/>
      <c r="H26" s="433"/>
      <c r="I26" s="330"/>
    </row>
    <row r="27" spans="1:9" ht="5.0999999999999996" customHeight="1">
      <c r="A27" s="331"/>
      <c r="B27" s="331"/>
      <c r="C27" s="331"/>
      <c r="D27" s="331"/>
      <c r="E27" s="331"/>
      <c r="F27" s="331"/>
      <c r="G27" s="331"/>
      <c r="H27" s="331"/>
      <c r="I27" s="330"/>
    </row>
    <row r="28" spans="1:9" ht="25.5" customHeight="1">
      <c r="A28" s="437" t="s">
        <v>945</v>
      </c>
      <c r="B28" s="437"/>
      <c r="C28" s="437"/>
      <c r="D28" s="437"/>
      <c r="E28" s="437"/>
      <c r="F28" s="437"/>
      <c r="G28" s="437"/>
      <c r="H28" s="437"/>
      <c r="I28" s="330"/>
    </row>
    <row r="29" spans="1:9" ht="5.0999999999999996" customHeight="1">
      <c r="A29" s="331"/>
      <c r="B29" s="331"/>
      <c r="C29" s="331"/>
      <c r="D29" s="331"/>
      <c r="E29" s="331"/>
      <c r="F29" s="331"/>
      <c r="G29" s="331"/>
      <c r="H29" s="331"/>
      <c r="I29" s="330"/>
    </row>
    <row r="30" spans="1:9" ht="38.25" customHeight="1">
      <c r="A30" s="437" t="s">
        <v>909</v>
      </c>
      <c r="B30" s="437"/>
      <c r="C30" s="437"/>
      <c r="D30" s="437"/>
      <c r="E30" s="437"/>
      <c r="F30" s="437"/>
      <c r="G30" s="437"/>
      <c r="H30" s="437"/>
      <c r="I30" s="330"/>
    </row>
    <row r="31" spans="1:9" ht="7.5" customHeight="1">
      <c r="A31" s="439"/>
      <c r="B31" s="439"/>
      <c r="C31" s="439"/>
      <c r="D31" s="439"/>
      <c r="E31" s="439"/>
      <c r="F31" s="439"/>
      <c r="G31" s="439"/>
      <c r="H31" s="439"/>
      <c r="I31" s="330"/>
    </row>
    <row r="32" spans="1:9">
      <c r="A32" s="440" t="s">
        <v>946</v>
      </c>
      <c r="B32" s="440"/>
      <c r="C32" s="440"/>
      <c r="D32" s="440"/>
      <c r="E32" s="440"/>
      <c r="F32" s="440"/>
      <c r="G32" s="440"/>
      <c r="H32" s="440"/>
      <c r="I32" s="330"/>
    </row>
    <row r="33" spans="1:9" s="322" customFormat="1" ht="5.0999999999999996" customHeight="1">
      <c r="A33" s="441"/>
      <c r="B33" s="441"/>
      <c r="C33" s="441"/>
      <c r="D33" s="441"/>
      <c r="E33" s="441"/>
      <c r="F33" s="441"/>
      <c r="G33" s="441"/>
      <c r="H33" s="441"/>
      <c r="I33" s="83"/>
    </row>
    <row r="34" spans="1:9">
      <c r="A34" s="433" t="s">
        <v>1010</v>
      </c>
      <c r="B34" s="433"/>
      <c r="C34" s="433"/>
      <c r="D34" s="433"/>
      <c r="E34" s="433"/>
      <c r="F34" s="433"/>
      <c r="G34" s="433"/>
      <c r="H34" s="433"/>
      <c r="I34" s="330"/>
    </row>
    <row r="35" spans="1:9" ht="5.0999999999999996" customHeight="1">
      <c r="A35" s="331"/>
      <c r="B35" s="331"/>
      <c r="C35" s="331"/>
      <c r="D35" s="331"/>
      <c r="E35" s="331"/>
      <c r="F35" s="331"/>
      <c r="G35" s="331"/>
      <c r="H35" s="331"/>
      <c r="I35" s="330"/>
    </row>
    <row r="36" spans="1:9">
      <c r="A36" s="433" t="s">
        <v>947</v>
      </c>
      <c r="B36" s="433"/>
      <c r="C36" s="433"/>
      <c r="D36" s="433"/>
      <c r="E36" s="433"/>
      <c r="F36" s="433"/>
      <c r="G36" s="433"/>
      <c r="H36" s="433"/>
      <c r="I36" s="330"/>
    </row>
    <row r="37" spans="1:9" ht="5.0999999999999996" customHeight="1">
      <c r="A37" s="335"/>
      <c r="B37" s="335"/>
      <c r="C37" s="335"/>
      <c r="D37" s="335"/>
      <c r="E37" s="335"/>
      <c r="F37" s="335"/>
      <c r="G37" s="335"/>
      <c r="H37" s="335"/>
      <c r="I37" s="330"/>
    </row>
    <row r="38" spans="1:9" ht="25.5" customHeight="1">
      <c r="A38" s="442" t="s">
        <v>1009</v>
      </c>
      <c r="B38" s="442"/>
      <c r="C38" s="442"/>
      <c r="D38" s="442"/>
      <c r="E38" s="442"/>
      <c r="F38" s="442"/>
      <c r="G38" s="442"/>
      <c r="H38" s="442"/>
      <c r="I38" s="330"/>
    </row>
    <row r="39" spans="1:9" ht="7.5" customHeight="1">
      <c r="A39" s="443"/>
      <c r="B39" s="443"/>
      <c r="C39" s="443"/>
      <c r="D39" s="443"/>
      <c r="E39" s="443"/>
      <c r="F39" s="443"/>
      <c r="G39" s="443"/>
      <c r="H39" s="443"/>
      <c r="I39" s="330"/>
    </row>
    <row r="40" spans="1:9">
      <c r="A40" s="440" t="s">
        <v>948</v>
      </c>
      <c r="B40" s="440"/>
      <c r="C40" s="440"/>
      <c r="D40" s="440"/>
      <c r="E40" s="440"/>
      <c r="F40" s="440"/>
      <c r="G40" s="440"/>
      <c r="H40" s="440"/>
      <c r="I40" s="330"/>
    </row>
    <row r="41" spans="1:9" ht="5.0999999999999996" customHeight="1">
      <c r="A41" s="439"/>
      <c r="B41" s="439"/>
      <c r="C41" s="439"/>
      <c r="D41" s="439"/>
      <c r="E41" s="439"/>
      <c r="F41" s="439"/>
      <c r="G41" s="439"/>
      <c r="H41" s="439"/>
      <c r="I41" s="330"/>
    </row>
    <row r="42" spans="1:9" ht="25.5" customHeight="1">
      <c r="A42" s="437" t="s">
        <v>1011</v>
      </c>
      <c r="B42" s="437"/>
      <c r="C42" s="437"/>
      <c r="D42" s="437"/>
      <c r="E42" s="437"/>
      <c r="F42" s="437"/>
      <c r="G42" s="437"/>
      <c r="H42" s="437"/>
      <c r="I42" s="330"/>
    </row>
    <row r="43" spans="1:9">
      <c r="A43" s="439"/>
      <c r="B43" s="439"/>
      <c r="C43" s="439"/>
      <c r="D43" s="439"/>
      <c r="E43" s="439"/>
      <c r="F43" s="439"/>
      <c r="G43" s="439"/>
      <c r="H43" s="439"/>
      <c r="I43" s="330"/>
    </row>
    <row r="44" spans="1:9">
      <c r="A44" s="438" t="s">
        <v>949</v>
      </c>
      <c r="B44" s="438"/>
      <c r="C44" s="438"/>
      <c r="D44" s="438"/>
      <c r="E44" s="438"/>
      <c r="F44" s="438"/>
      <c r="G44" s="438"/>
      <c r="H44" s="438"/>
      <c r="I44" s="330"/>
    </row>
    <row r="45" spans="1:9" ht="5.0999999999999996" customHeight="1">
      <c r="A45" s="331"/>
      <c r="B45" s="331"/>
      <c r="C45" s="331"/>
      <c r="D45" s="331"/>
      <c r="E45" s="331"/>
      <c r="F45" s="331"/>
      <c r="G45" s="331"/>
      <c r="H45" s="331"/>
      <c r="I45" s="330"/>
    </row>
    <row r="46" spans="1:9" ht="75" customHeight="1">
      <c r="A46" s="432" t="s">
        <v>1064</v>
      </c>
      <c r="B46" s="432"/>
      <c r="C46" s="432"/>
      <c r="D46" s="432"/>
      <c r="E46" s="432"/>
      <c r="F46" s="432"/>
      <c r="G46" s="432"/>
      <c r="H46" s="432"/>
      <c r="I46" s="330"/>
    </row>
    <row r="47" spans="1:9" ht="5.0999999999999996" customHeight="1">
      <c r="A47" s="331"/>
      <c r="B47" s="331"/>
      <c r="C47" s="331"/>
      <c r="D47" s="331"/>
      <c r="E47" s="331"/>
      <c r="F47" s="331"/>
      <c r="G47" s="331"/>
      <c r="H47" s="331"/>
      <c r="I47" s="330"/>
    </row>
    <row r="48" spans="1:9">
      <c r="A48" s="433" t="s">
        <v>1001</v>
      </c>
      <c r="B48" s="433"/>
      <c r="C48" s="433"/>
      <c r="D48" s="433"/>
      <c r="E48" s="433"/>
      <c r="F48" s="433"/>
      <c r="G48" s="433"/>
      <c r="H48" s="433"/>
      <c r="I48" s="330"/>
    </row>
    <row r="49" spans="1:11">
      <c r="A49" s="434"/>
      <c r="B49" s="434"/>
      <c r="C49" s="434"/>
      <c r="D49" s="434"/>
      <c r="E49" s="434"/>
      <c r="F49" s="434"/>
      <c r="G49" s="434"/>
      <c r="H49" s="434"/>
      <c r="I49" s="330"/>
    </row>
    <row r="50" spans="1:11">
      <c r="A50" s="435" t="s">
        <v>964</v>
      </c>
      <c r="B50" s="435"/>
      <c r="C50" s="435"/>
      <c r="D50" s="435"/>
      <c r="E50" s="435"/>
      <c r="F50" s="435"/>
      <c r="G50" s="435"/>
      <c r="H50" s="435"/>
      <c r="I50" s="330"/>
    </row>
    <row r="51" spans="1:11" ht="5.0999999999999996" customHeight="1">
      <c r="A51" s="436"/>
      <c r="B51" s="436"/>
      <c r="C51" s="436"/>
      <c r="D51" s="436"/>
      <c r="E51" s="436"/>
      <c r="F51" s="436"/>
      <c r="G51" s="436"/>
      <c r="H51" s="436"/>
      <c r="I51" s="330"/>
    </row>
    <row r="52" spans="1:11" ht="25.5" customHeight="1">
      <c r="A52" s="437" t="s">
        <v>963</v>
      </c>
      <c r="B52" s="437"/>
      <c r="C52" s="437"/>
      <c r="D52" s="437"/>
      <c r="E52" s="437"/>
      <c r="F52" s="437"/>
      <c r="G52" s="437"/>
      <c r="H52" s="437"/>
      <c r="I52" s="330"/>
    </row>
    <row r="53" spans="1:11" ht="12.75" customHeight="1">
      <c r="A53" s="428" t="s">
        <v>931</v>
      </c>
      <c r="B53" s="428"/>
      <c r="C53" s="428"/>
      <c r="D53" s="428"/>
      <c r="E53" s="428"/>
      <c r="F53" s="428"/>
      <c r="G53" s="428"/>
      <c r="H53" s="428"/>
      <c r="I53" s="330"/>
    </row>
    <row r="54" spans="1:11" ht="15.75" customHeight="1">
      <c r="A54" s="429"/>
      <c r="B54" s="429"/>
      <c r="C54" s="429"/>
      <c r="D54" s="429"/>
      <c r="E54" s="429"/>
      <c r="F54" s="429"/>
      <c r="G54" s="429"/>
      <c r="H54" s="429"/>
      <c r="I54" s="330"/>
      <c r="K54" s="336"/>
    </row>
    <row r="55" spans="1:11" ht="12.75" customHeight="1">
      <c r="A55" s="337"/>
      <c r="B55" s="338"/>
      <c r="C55" s="338"/>
      <c r="D55" s="338"/>
      <c r="E55" s="338"/>
      <c r="F55" s="339"/>
      <c r="I55" s="330"/>
    </row>
    <row r="56" spans="1:11">
      <c r="I56" s="330"/>
    </row>
    <row r="57" spans="1:11" ht="13.5" customHeight="1">
      <c r="A57" s="430"/>
      <c r="B57" s="430"/>
      <c r="C57" s="430"/>
      <c r="D57" s="430"/>
      <c r="E57" s="430"/>
      <c r="F57" s="430"/>
      <c r="G57" s="430"/>
      <c r="H57" s="430"/>
      <c r="I57" s="330"/>
    </row>
    <row r="58" spans="1:11">
      <c r="I58" s="330"/>
    </row>
    <row r="59" spans="1:11">
      <c r="I59" s="330"/>
    </row>
    <row r="60" spans="1:11">
      <c r="I60" s="330"/>
    </row>
    <row r="61" spans="1:11">
      <c r="I61" s="330"/>
    </row>
    <row r="62" spans="1:11">
      <c r="I62" s="330"/>
    </row>
    <row r="63" spans="1:11">
      <c r="I63" s="330"/>
    </row>
    <row r="64" spans="1:11">
      <c r="I64" s="330"/>
    </row>
    <row r="65" spans="9:9">
      <c r="I65" s="330"/>
    </row>
    <row r="66" spans="9:9">
      <c r="I66" s="330"/>
    </row>
    <row r="67" spans="9:9">
      <c r="I67" s="330"/>
    </row>
    <row r="68" spans="9:9">
      <c r="I68" s="330"/>
    </row>
    <row r="69" spans="9:9">
      <c r="I69" s="330"/>
    </row>
    <row r="70" spans="9:9">
      <c r="I70" s="330"/>
    </row>
    <row r="71" spans="9:9">
      <c r="I71" s="330"/>
    </row>
    <row r="72" spans="9:9">
      <c r="I72" s="330"/>
    </row>
    <row r="73" spans="9:9">
      <c r="I73" s="330"/>
    </row>
    <row r="74" spans="9:9">
      <c r="I74" s="330"/>
    </row>
    <row r="75" spans="9:9">
      <c r="I75" s="330"/>
    </row>
    <row r="76" spans="9:9">
      <c r="I76" s="330"/>
    </row>
    <row r="77" spans="9:9">
      <c r="I77" s="330"/>
    </row>
    <row r="92" spans="1:8" ht="13.15" customHeight="1"/>
    <row r="93" spans="1:8" ht="13.15" customHeight="1"/>
    <row r="94" spans="1:8" s="340" customFormat="1" ht="23.45" customHeight="1">
      <c r="A94" s="431"/>
      <c r="B94" s="431"/>
      <c r="C94" s="431"/>
      <c r="D94" s="431"/>
      <c r="E94" s="431"/>
      <c r="F94" s="431"/>
      <c r="G94" s="431"/>
      <c r="H94" s="431"/>
    </row>
    <row r="448" spans="1:1">
      <c r="A448" s="325" t="s">
        <v>734</v>
      </c>
    </row>
  </sheetData>
  <mergeCells count="40">
    <mergeCell ref="J12:P12"/>
    <mergeCell ref="G4:H4"/>
    <mergeCell ref="A7:H7"/>
    <mergeCell ref="A8:H8"/>
    <mergeCell ref="J10:P10"/>
    <mergeCell ref="J11:P11"/>
    <mergeCell ref="A30:H30"/>
    <mergeCell ref="A13:H13"/>
    <mergeCell ref="A14:H14"/>
    <mergeCell ref="A16:H16"/>
    <mergeCell ref="A17:H17"/>
    <mergeCell ref="A18:H18"/>
    <mergeCell ref="A20:H20"/>
    <mergeCell ref="A21:H21"/>
    <mergeCell ref="A22:H22"/>
    <mergeCell ref="A24:H24"/>
    <mergeCell ref="A26:H26"/>
    <mergeCell ref="A28:H28"/>
    <mergeCell ref="A44:H44"/>
    <mergeCell ref="A31:H31"/>
    <mergeCell ref="A32:H32"/>
    <mergeCell ref="A33:H33"/>
    <mergeCell ref="A34:H34"/>
    <mergeCell ref="A36:H36"/>
    <mergeCell ref="A38:H38"/>
    <mergeCell ref="A39:H39"/>
    <mergeCell ref="A40:H40"/>
    <mergeCell ref="A41:H41"/>
    <mergeCell ref="A42:H42"/>
    <mergeCell ref="A43:H43"/>
    <mergeCell ref="A53:H53"/>
    <mergeCell ref="A54:H54"/>
    <mergeCell ref="A57:H57"/>
    <mergeCell ref="A94:H94"/>
    <mergeCell ref="A46:H46"/>
    <mergeCell ref="A48:H48"/>
    <mergeCell ref="A49:H49"/>
    <mergeCell ref="A50:H50"/>
    <mergeCell ref="A51:H51"/>
    <mergeCell ref="A52:H52"/>
  </mergeCells>
  <hyperlinks>
    <hyperlink ref="A53" r:id="rId1" xr:uid="{DA8FDA1C-EB28-47AE-A702-0F0F0299E7CD}"/>
    <hyperlink ref="G4:H4" location="Inhaltsverzeichnis!A1" tooltip="zurück zum Inhalt" display="zurück zum Inhalt" xr:uid="{552DE6A5-9D89-4E0E-9B13-1B5CD5A6DA8A}"/>
    <hyperlink ref="A38:H38" r:id="rId2" display="http://statistik.arbeitsagentur.de/Navigation/Statistik/Grundlagen/Datenstandard-XSozial/Tech-Dok-Datenuebermittlung/Tech-Dok-Datenuebermittlung-Nav.html" xr:uid="{10D85C5F-F845-4075-9DD1-57EBD5F26AF8}"/>
    <hyperlink ref="A38" r:id="rId3" xr:uid="{F0FECAA1-0B03-457B-A3BD-E40215E7538F}"/>
  </hyperlinks>
  <printOptions horizontalCentered="1"/>
  <pageMargins left="0.51181102362204722" right="0.39370078740157483" top="0.39370078740157483" bottom="0.11811023622047245" header="0.31496062992125984" footer="0.31496062992125984"/>
  <pageSetup paperSize="9" scale="84" orientation="portrait" r:id="rId4"/>
  <rowBreaks count="1" manualBreakCount="1">
    <brk id="55" max="7" man="1"/>
  </rowBreaks>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9128-0259-4E4A-A5D7-469A030183D3}">
  <sheetPr codeName="Tabelle6"/>
  <dimension ref="A1:K197"/>
  <sheetViews>
    <sheetView showGridLines="0" zoomScaleNormal="100" zoomScaleSheetLayoutView="90" workbookViewId="0"/>
  </sheetViews>
  <sheetFormatPr baseColWidth="10" defaultColWidth="12.85546875" defaultRowHeight="12.75"/>
  <cols>
    <col min="1" max="1" width="2.7109375" style="325" customWidth="1"/>
    <col min="2" max="7" width="17.42578125" style="325" customWidth="1"/>
    <col min="8" max="8" width="2.7109375" style="325" customWidth="1"/>
    <col min="9" max="206" width="12.85546875" style="325"/>
    <col min="207" max="214" width="12.28515625" style="325" customWidth="1"/>
    <col min="215" max="462" width="12.85546875" style="325"/>
    <col min="463" max="470" width="12.28515625" style="325" customWidth="1"/>
    <col min="471" max="718" width="12.85546875" style="325"/>
    <col min="719" max="726" width="12.28515625" style="325" customWidth="1"/>
    <col min="727" max="974" width="12.85546875" style="325"/>
    <col min="975" max="982" width="12.28515625" style="325" customWidth="1"/>
    <col min="983" max="1230" width="12.85546875" style="325"/>
    <col min="1231" max="1238" width="12.28515625" style="325" customWidth="1"/>
    <col min="1239" max="1486" width="12.85546875" style="325"/>
    <col min="1487" max="1494" width="12.28515625" style="325" customWidth="1"/>
    <col min="1495" max="1742" width="12.85546875" style="325"/>
    <col min="1743" max="1750" width="12.28515625" style="325" customWidth="1"/>
    <col min="1751" max="1998" width="12.85546875" style="325"/>
    <col min="1999" max="2006" width="12.28515625" style="325" customWidth="1"/>
    <col min="2007" max="2254" width="12.85546875" style="325"/>
    <col min="2255" max="2262" width="12.28515625" style="325" customWidth="1"/>
    <col min="2263" max="2510" width="12.85546875" style="325"/>
    <col min="2511" max="2518" width="12.28515625" style="325" customWidth="1"/>
    <col min="2519" max="2766" width="12.85546875" style="325"/>
    <col min="2767" max="2774" width="12.28515625" style="325" customWidth="1"/>
    <col min="2775" max="3022" width="12.85546875" style="325"/>
    <col min="3023" max="3030" width="12.28515625" style="325" customWidth="1"/>
    <col min="3031" max="3278" width="12.85546875" style="325"/>
    <col min="3279" max="3286" width="12.28515625" style="325" customWidth="1"/>
    <col min="3287" max="3534" width="12.85546875" style="325"/>
    <col min="3535" max="3542" width="12.28515625" style="325" customWidth="1"/>
    <col min="3543" max="3790" width="12.85546875" style="325"/>
    <col min="3791" max="3798" width="12.28515625" style="325" customWidth="1"/>
    <col min="3799" max="4046" width="12.85546875" style="325"/>
    <col min="4047" max="4054" width="12.28515625" style="325" customWidth="1"/>
    <col min="4055" max="4302" width="12.85546875" style="325"/>
    <col min="4303" max="4310" width="12.28515625" style="325" customWidth="1"/>
    <col min="4311" max="4558" width="12.85546875" style="325"/>
    <col min="4559" max="4566" width="12.28515625" style="325" customWidth="1"/>
    <col min="4567" max="4814" width="12.85546875" style="325"/>
    <col min="4815" max="4822" width="12.28515625" style="325" customWidth="1"/>
    <col min="4823" max="5070" width="12.85546875" style="325"/>
    <col min="5071" max="5078" width="12.28515625" style="325" customWidth="1"/>
    <col min="5079" max="5326" width="12.85546875" style="325"/>
    <col min="5327" max="5334" width="12.28515625" style="325" customWidth="1"/>
    <col min="5335" max="5582" width="12.85546875" style="325"/>
    <col min="5583" max="5590" width="12.28515625" style="325" customWidth="1"/>
    <col min="5591" max="5838" width="12.85546875" style="325"/>
    <col min="5839" max="5846" width="12.28515625" style="325" customWidth="1"/>
    <col min="5847" max="6094" width="12.85546875" style="325"/>
    <col min="6095" max="6102" width="12.28515625" style="325" customWidth="1"/>
    <col min="6103" max="6350" width="12.85546875" style="325"/>
    <col min="6351" max="6358" width="12.28515625" style="325" customWidth="1"/>
    <col min="6359" max="6606" width="12.85546875" style="325"/>
    <col min="6607" max="6614" width="12.28515625" style="325" customWidth="1"/>
    <col min="6615" max="6862" width="12.85546875" style="325"/>
    <col min="6863" max="6870" width="12.28515625" style="325" customWidth="1"/>
    <col min="6871" max="7118" width="12.85546875" style="325"/>
    <col min="7119" max="7126" width="12.28515625" style="325" customWidth="1"/>
    <col min="7127" max="7374" width="12.85546875" style="325"/>
    <col min="7375" max="7382" width="12.28515625" style="325" customWidth="1"/>
    <col min="7383" max="7630" width="12.85546875" style="325"/>
    <col min="7631" max="7638" width="12.28515625" style="325" customWidth="1"/>
    <col min="7639" max="7886" width="12.85546875" style="325"/>
    <col min="7887" max="7894" width="12.28515625" style="325" customWidth="1"/>
    <col min="7895" max="8142" width="12.85546875" style="325"/>
    <col min="8143" max="8150" width="12.28515625" style="325" customWidth="1"/>
    <col min="8151" max="8398" width="12.85546875" style="325"/>
    <col min="8399" max="8406" width="12.28515625" style="325" customWidth="1"/>
    <col min="8407" max="8654" width="12.85546875" style="325"/>
    <col min="8655" max="8662" width="12.28515625" style="325" customWidth="1"/>
    <col min="8663" max="8910" width="12.85546875" style="325"/>
    <col min="8911" max="8918" width="12.28515625" style="325" customWidth="1"/>
    <col min="8919" max="9166" width="12.85546875" style="325"/>
    <col min="9167" max="9174" width="12.28515625" style="325" customWidth="1"/>
    <col min="9175" max="9422" width="12.85546875" style="325"/>
    <col min="9423" max="9430" width="12.28515625" style="325" customWidth="1"/>
    <col min="9431" max="9678" width="12.85546875" style="325"/>
    <col min="9679" max="9686" width="12.28515625" style="325" customWidth="1"/>
    <col min="9687" max="9934" width="12.85546875" style="325"/>
    <col min="9935" max="9942" width="12.28515625" style="325" customWidth="1"/>
    <col min="9943" max="10190" width="12.85546875" style="325"/>
    <col min="10191" max="10198" width="12.28515625" style="325" customWidth="1"/>
    <col min="10199" max="10446" width="12.85546875" style="325"/>
    <col min="10447" max="10454" width="12.28515625" style="325" customWidth="1"/>
    <col min="10455" max="10702" width="12.85546875" style="325"/>
    <col min="10703" max="10710" width="12.28515625" style="325" customWidth="1"/>
    <col min="10711" max="10958" width="12.85546875" style="325"/>
    <col min="10959" max="10966" width="12.28515625" style="325" customWidth="1"/>
    <col min="10967" max="11214" width="12.85546875" style="325"/>
    <col min="11215" max="11222" width="12.28515625" style="325" customWidth="1"/>
    <col min="11223" max="11470" width="12.85546875" style="325"/>
    <col min="11471" max="11478" width="12.28515625" style="325" customWidth="1"/>
    <col min="11479" max="11726" width="12.85546875" style="325"/>
    <col min="11727" max="11734" width="12.28515625" style="325" customWidth="1"/>
    <col min="11735" max="11982" width="12.85546875" style="325"/>
    <col min="11983" max="11990" width="12.28515625" style="325" customWidth="1"/>
    <col min="11991" max="12238" width="12.85546875" style="325"/>
    <col min="12239" max="12246" width="12.28515625" style="325" customWidth="1"/>
    <col min="12247" max="12494" width="12.85546875" style="325"/>
    <col min="12495" max="12502" width="12.28515625" style="325" customWidth="1"/>
    <col min="12503" max="12750" width="12.85546875" style="325"/>
    <col min="12751" max="12758" width="12.28515625" style="325" customWidth="1"/>
    <col min="12759" max="13006" width="12.85546875" style="325"/>
    <col min="13007" max="13014" width="12.28515625" style="325" customWidth="1"/>
    <col min="13015" max="13262" width="12.85546875" style="325"/>
    <col min="13263" max="13270" width="12.28515625" style="325" customWidth="1"/>
    <col min="13271" max="13518" width="12.85546875" style="325"/>
    <col min="13519" max="13526" width="12.28515625" style="325" customWidth="1"/>
    <col min="13527" max="13774" width="12.85546875" style="325"/>
    <col min="13775" max="13782" width="12.28515625" style="325" customWidth="1"/>
    <col min="13783" max="14030" width="12.85546875" style="325"/>
    <col min="14031" max="14038" width="12.28515625" style="325" customWidth="1"/>
    <col min="14039" max="14286" width="12.85546875" style="325"/>
    <col min="14287" max="14294" width="12.28515625" style="325" customWidth="1"/>
    <col min="14295" max="14542" width="12.85546875" style="325"/>
    <col min="14543" max="14550" width="12.28515625" style="325" customWidth="1"/>
    <col min="14551" max="14798" width="12.85546875" style="325"/>
    <col min="14799" max="14806" width="12.28515625" style="325" customWidth="1"/>
    <col min="14807" max="15054" width="12.85546875" style="325"/>
    <col min="15055" max="15062" width="12.28515625" style="325" customWidth="1"/>
    <col min="15063" max="15310" width="12.85546875" style="325"/>
    <col min="15311" max="15318" width="12.28515625" style="325" customWidth="1"/>
    <col min="15319" max="15566" width="12.85546875" style="325"/>
    <col min="15567" max="15574" width="12.28515625" style="325" customWidth="1"/>
    <col min="15575" max="15822" width="12.85546875" style="325"/>
    <col min="15823" max="15830" width="12.28515625" style="325" customWidth="1"/>
    <col min="15831" max="16078" width="12.85546875" style="325"/>
    <col min="16079" max="16086" width="12.28515625" style="325" customWidth="1"/>
    <col min="16087" max="16384" width="12.85546875" style="325"/>
  </cols>
  <sheetData>
    <row r="1" spans="1:10" s="321" customFormat="1" ht="33.75" customHeight="1">
      <c r="A1" s="79"/>
      <c r="B1" s="318"/>
      <c r="C1" s="318"/>
      <c r="D1" s="318"/>
      <c r="E1" s="318"/>
      <c r="F1" s="319"/>
      <c r="G1" s="319"/>
      <c r="H1" s="341" t="s">
        <v>678</v>
      </c>
      <c r="I1" s="320"/>
      <c r="J1" s="320"/>
    </row>
    <row r="2" spans="1:10" s="322" customFormat="1" ht="13.5" customHeight="1">
      <c r="G2" s="323"/>
      <c r="H2" s="324" t="s">
        <v>1213</v>
      </c>
    </row>
    <row r="3" spans="1:10" ht="11.25" customHeight="1"/>
    <row r="4" spans="1:10" ht="15" customHeight="1">
      <c r="A4" s="342" t="s">
        <v>932</v>
      </c>
      <c r="B4" s="343"/>
      <c r="C4" s="343"/>
      <c r="D4" s="343"/>
      <c r="E4" s="343"/>
      <c r="F4" s="343"/>
      <c r="G4" s="400" t="s">
        <v>950</v>
      </c>
      <c r="H4" s="400"/>
      <c r="I4" s="344"/>
      <c r="J4" s="344"/>
    </row>
    <row r="5" spans="1:10">
      <c r="A5" s="345" t="s">
        <v>1204</v>
      </c>
      <c r="B5" s="346"/>
      <c r="C5" s="346"/>
      <c r="D5" s="346"/>
      <c r="E5" s="346"/>
      <c r="F5" s="346"/>
      <c r="G5" s="346"/>
      <c r="H5" s="346"/>
      <c r="I5" s="344"/>
      <c r="J5" s="344"/>
    </row>
    <row r="6" spans="1:10">
      <c r="A6" s="509" t="s">
        <v>1174</v>
      </c>
      <c r="B6" s="509"/>
      <c r="C6" s="509"/>
      <c r="D6" s="509"/>
      <c r="E6" s="509"/>
      <c r="F6" s="509"/>
      <c r="G6" s="509"/>
      <c r="H6" s="509"/>
    </row>
    <row r="7" spans="1:10" ht="12.75" customHeight="1">
      <c r="A7" s="510"/>
      <c r="B7" s="510"/>
      <c r="C7" s="510"/>
      <c r="D7" s="510"/>
      <c r="E7" s="510"/>
      <c r="F7" s="510"/>
      <c r="G7" s="510"/>
      <c r="H7" s="510"/>
    </row>
    <row r="8" spans="1:10" ht="12.75" customHeight="1">
      <c r="A8" s="511" t="s">
        <v>1175</v>
      </c>
      <c r="B8" s="511"/>
      <c r="C8" s="511"/>
      <c r="D8" s="511"/>
      <c r="E8" s="511"/>
      <c r="F8" s="511"/>
      <c r="G8" s="511"/>
      <c r="H8" s="511"/>
    </row>
    <row r="9" spans="1:10" ht="12.75" customHeight="1">
      <c r="A9" s="511"/>
      <c r="B9" s="511"/>
      <c r="C9" s="511"/>
      <c r="D9" s="511"/>
      <c r="E9" s="511"/>
      <c r="F9" s="511"/>
      <c r="G9" s="511"/>
      <c r="H9" s="511"/>
    </row>
    <row r="10" spans="1:10" ht="37.5" customHeight="1">
      <c r="A10" s="461" t="s">
        <v>1176</v>
      </c>
      <c r="B10" s="461"/>
      <c r="C10" s="461"/>
      <c r="D10" s="461"/>
      <c r="E10" s="461"/>
      <c r="F10" s="461"/>
      <c r="G10" s="461"/>
      <c r="H10" s="461"/>
    </row>
    <row r="11" spans="1:10" ht="12.75" customHeight="1">
      <c r="A11" s="347"/>
      <c r="B11" s="347"/>
      <c r="C11" s="347"/>
      <c r="D11" s="347"/>
      <c r="E11" s="347"/>
      <c r="F11" s="347"/>
      <c r="G11" s="347"/>
      <c r="H11" s="347"/>
    </row>
    <row r="12" spans="1:10" ht="12.75" customHeight="1">
      <c r="A12" s="503" t="s">
        <v>1177</v>
      </c>
      <c r="B12" s="503"/>
      <c r="C12" s="503"/>
      <c r="D12" s="503"/>
      <c r="E12" s="503"/>
      <c r="F12" s="503"/>
      <c r="G12" s="503"/>
      <c r="H12" s="503"/>
    </row>
    <row r="13" spans="1:10" ht="12.75" customHeight="1">
      <c r="A13" s="481"/>
      <c r="B13" s="481"/>
      <c r="C13" s="481"/>
      <c r="D13" s="481"/>
      <c r="E13" s="481"/>
      <c r="F13" s="481"/>
      <c r="G13" s="481"/>
      <c r="H13" s="481"/>
    </row>
    <row r="14" spans="1:10">
      <c r="A14" s="348"/>
      <c r="B14" s="504" t="s">
        <v>1191</v>
      </c>
      <c r="C14" s="505"/>
      <c r="D14" s="505"/>
      <c r="E14" s="505"/>
      <c r="F14" s="505"/>
      <c r="G14" s="506"/>
      <c r="H14" s="348"/>
    </row>
    <row r="15" spans="1:10">
      <c r="A15" s="329"/>
      <c r="B15" s="495" t="s">
        <v>1173</v>
      </c>
      <c r="C15" s="487"/>
      <c r="D15" s="487"/>
      <c r="E15" s="487"/>
      <c r="F15" s="487"/>
      <c r="G15" s="488"/>
      <c r="H15" s="329"/>
    </row>
    <row r="16" spans="1:10">
      <c r="A16" s="329"/>
      <c r="B16" s="486" t="s">
        <v>1178</v>
      </c>
      <c r="C16" s="507"/>
      <c r="D16" s="507"/>
      <c r="E16" s="507"/>
      <c r="F16" s="507"/>
      <c r="G16" s="508"/>
      <c r="H16" s="329"/>
      <c r="I16" s="344"/>
    </row>
    <row r="17" spans="1:9">
      <c r="A17" s="329"/>
      <c r="B17" s="486" t="s">
        <v>1179</v>
      </c>
      <c r="C17" s="487"/>
      <c r="D17" s="487"/>
      <c r="E17" s="487"/>
      <c r="F17" s="487"/>
      <c r="G17" s="488"/>
      <c r="H17" s="329"/>
      <c r="I17" s="344"/>
    </row>
    <row r="18" spans="1:9">
      <c r="A18" s="329"/>
      <c r="B18" s="502" t="s">
        <v>1180</v>
      </c>
      <c r="C18" s="497"/>
      <c r="D18" s="497"/>
      <c r="E18" s="497"/>
      <c r="F18" s="497"/>
      <c r="G18" s="498"/>
      <c r="H18" s="329"/>
      <c r="I18" s="344"/>
    </row>
    <row r="19" spans="1:9" s="351" customFormat="1">
      <c r="A19" s="349"/>
      <c r="B19" s="502" t="s">
        <v>1172</v>
      </c>
      <c r="C19" s="512"/>
      <c r="D19" s="512"/>
      <c r="E19" s="512"/>
      <c r="F19" s="512"/>
      <c r="G19" s="513"/>
      <c r="H19" s="349"/>
      <c r="I19" s="350"/>
    </row>
    <row r="20" spans="1:9" s="351" customFormat="1">
      <c r="A20" s="349"/>
      <c r="B20" s="502" t="s">
        <v>1171</v>
      </c>
      <c r="C20" s="512"/>
      <c r="D20" s="512"/>
      <c r="E20" s="512"/>
      <c r="F20" s="512"/>
      <c r="G20" s="513"/>
      <c r="H20" s="349"/>
      <c r="I20" s="350"/>
    </row>
    <row r="21" spans="1:9">
      <c r="A21" s="329"/>
      <c r="B21" s="502" t="s">
        <v>1181</v>
      </c>
      <c r="C21" s="497"/>
      <c r="D21" s="497"/>
      <c r="E21" s="497"/>
      <c r="F21" s="497"/>
      <c r="G21" s="498"/>
      <c r="H21" s="329"/>
      <c r="I21" s="344"/>
    </row>
    <row r="22" spans="1:9">
      <c r="A22" s="329"/>
      <c r="B22" s="486" t="s">
        <v>1182</v>
      </c>
      <c r="C22" s="487"/>
      <c r="D22" s="487"/>
      <c r="E22" s="487"/>
      <c r="F22" s="487"/>
      <c r="G22" s="488"/>
      <c r="H22" s="329"/>
      <c r="I22" s="344"/>
    </row>
    <row r="23" spans="1:9">
      <c r="A23" s="329"/>
      <c r="B23" s="495" t="s">
        <v>1183</v>
      </c>
      <c r="C23" s="487"/>
      <c r="D23" s="487"/>
      <c r="E23" s="487"/>
      <c r="F23" s="487"/>
      <c r="G23" s="488"/>
      <c r="H23" s="329"/>
      <c r="I23" s="344"/>
    </row>
    <row r="24" spans="1:9">
      <c r="A24" s="329"/>
      <c r="B24" s="495" t="s">
        <v>1184</v>
      </c>
      <c r="C24" s="487"/>
      <c r="D24" s="487"/>
      <c r="E24" s="487"/>
      <c r="F24" s="487"/>
      <c r="G24" s="488"/>
      <c r="H24" s="329"/>
      <c r="I24" s="344"/>
    </row>
    <row r="25" spans="1:9">
      <c r="A25" s="329"/>
      <c r="B25" s="495" t="s">
        <v>1170</v>
      </c>
      <c r="C25" s="487"/>
      <c r="D25" s="487"/>
      <c r="E25" s="487"/>
      <c r="F25" s="487"/>
      <c r="G25" s="488"/>
      <c r="H25" s="329"/>
      <c r="I25" s="344"/>
    </row>
    <row r="26" spans="1:9">
      <c r="A26" s="329"/>
      <c r="B26" s="496" t="s">
        <v>1185</v>
      </c>
      <c r="C26" s="497"/>
      <c r="D26" s="497"/>
      <c r="E26" s="497"/>
      <c r="F26" s="497"/>
      <c r="G26" s="498"/>
      <c r="H26" s="329"/>
      <c r="I26" s="344"/>
    </row>
    <row r="27" spans="1:9">
      <c r="A27" s="329"/>
      <c r="B27" s="496" t="s">
        <v>1186</v>
      </c>
      <c r="C27" s="497"/>
      <c r="D27" s="497"/>
      <c r="E27" s="497"/>
      <c r="F27" s="497"/>
      <c r="G27" s="498"/>
      <c r="H27" s="329"/>
      <c r="I27" s="344"/>
    </row>
    <row r="28" spans="1:9">
      <c r="A28" s="329"/>
      <c r="B28" s="499" t="s">
        <v>1169</v>
      </c>
      <c r="C28" s="500"/>
      <c r="D28" s="500"/>
      <c r="E28" s="500"/>
      <c r="F28" s="500"/>
      <c r="G28" s="501"/>
      <c r="H28" s="329"/>
    </row>
    <row r="29" spans="1:9" ht="12.75" customHeight="1">
      <c r="A29" s="449"/>
      <c r="B29" s="449"/>
      <c r="C29" s="449"/>
      <c r="D29" s="449"/>
      <c r="E29" s="449"/>
      <c r="F29" s="449"/>
      <c r="G29" s="449"/>
      <c r="H29" s="449"/>
    </row>
    <row r="30" spans="1:9" s="340" customFormat="1" ht="25.5" customHeight="1">
      <c r="A30" s="461" t="s">
        <v>1206</v>
      </c>
      <c r="B30" s="461"/>
      <c r="C30" s="461"/>
      <c r="D30" s="461"/>
      <c r="E30" s="461"/>
      <c r="F30" s="461"/>
      <c r="G30" s="461"/>
      <c r="H30" s="461"/>
    </row>
    <row r="31" spans="1:9" ht="12.75" customHeight="1">
      <c r="A31" s="481"/>
      <c r="B31" s="481"/>
      <c r="C31" s="481"/>
      <c r="D31" s="481"/>
      <c r="E31" s="481"/>
      <c r="F31" s="481"/>
      <c r="G31" s="481"/>
      <c r="H31" s="481"/>
    </row>
    <row r="32" spans="1:9" ht="25.5" customHeight="1">
      <c r="A32" s="461" t="s">
        <v>1207</v>
      </c>
      <c r="B32" s="461"/>
      <c r="C32" s="461"/>
      <c r="D32" s="461"/>
      <c r="E32" s="461"/>
      <c r="F32" s="461"/>
      <c r="G32" s="461"/>
      <c r="H32" s="461"/>
    </row>
    <row r="33" spans="1:11" ht="12.75" customHeight="1">
      <c r="A33" s="449"/>
      <c r="B33" s="449"/>
      <c r="C33" s="449"/>
      <c r="D33" s="449"/>
      <c r="E33" s="449"/>
      <c r="F33" s="449"/>
      <c r="G33" s="449"/>
      <c r="H33" s="449"/>
      <c r="K33" s="352"/>
    </row>
    <row r="34" spans="1:11" ht="12.75" customHeight="1">
      <c r="A34" s="481"/>
      <c r="B34" s="481"/>
      <c r="C34" s="481"/>
      <c r="D34" s="481"/>
      <c r="E34" s="481"/>
      <c r="F34" s="481"/>
      <c r="G34" s="481"/>
      <c r="H34" s="481"/>
    </row>
    <row r="35" spans="1:11" ht="12.75" customHeight="1">
      <c r="A35" s="493" t="s">
        <v>954</v>
      </c>
      <c r="B35" s="493"/>
      <c r="C35" s="493"/>
      <c r="D35" s="493"/>
      <c r="E35" s="493"/>
      <c r="F35" s="493"/>
      <c r="G35" s="493"/>
      <c r="H35" s="493"/>
    </row>
    <row r="36" spans="1:11" ht="12.75" customHeight="1">
      <c r="A36" s="481"/>
      <c r="B36" s="481"/>
      <c r="C36" s="481"/>
      <c r="D36" s="481"/>
      <c r="E36" s="481"/>
      <c r="F36" s="481"/>
      <c r="G36" s="481"/>
      <c r="H36" s="481"/>
    </row>
    <row r="37" spans="1:11" ht="12.75" customHeight="1">
      <c r="A37" s="433" t="s">
        <v>1168</v>
      </c>
      <c r="B37" s="433"/>
      <c r="C37" s="433"/>
      <c r="D37" s="433"/>
      <c r="E37" s="433"/>
      <c r="F37" s="433"/>
      <c r="G37" s="433"/>
      <c r="H37" s="433"/>
    </row>
    <row r="38" spans="1:11" s="322" customFormat="1" ht="12.75" customHeight="1">
      <c r="A38" s="481"/>
      <c r="B38" s="481"/>
      <c r="C38" s="481"/>
      <c r="D38" s="481"/>
      <c r="E38" s="481"/>
      <c r="F38" s="481"/>
      <c r="G38" s="481"/>
      <c r="H38" s="481"/>
    </row>
    <row r="39" spans="1:11">
      <c r="A39" s="329"/>
      <c r="B39" s="489" t="s">
        <v>1167</v>
      </c>
      <c r="C39" s="490"/>
      <c r="D39" s="490"/>
      <c r="E39" s="490"/>
      <c r="F39" s="490"/>
      <c r="G39" s="491"/>
      <c r="H39" s="329"/>
    </row>
    <row r="40" spans="1:11">
      <c r="A40" s="329"/>
      <c r="B40" s="480" t="s">
        <v>1166</v>
      </c>
      <c r="C40" s="481"/>
      <c r="D40" s="481"/>
      <c r="E40" s="481"/>
      <c r="F40" s="481"/>
      <c r="G40" s="482"/>
      <c r="H40" s="329"/>
    </row>
    <row r="41" spans="1:11">
      <c r="A41" s="329"/>
      <c r="B41" s="480" t="s">
        <v>1165</v>
      </c>
      <c r="C41" s="481"/>
      <c r="D41" s="481"/>
      <c r="E41" s="481"/>
      <c r="F41" s="481"/>
      <c r="G41" s="482"/>
      <c r="H41" s="329"/>
    </row>
    <row r="42" spans="1:11">
      <c r="A42" s="329"/>
      <c r="B42" s="480" t="s">
        <v>1164</v>
      </c>
      <c r="C42" s="481"/>
      <c r="D42" s="481"/>
      <c r="E42" s="481"/>
      <c r="F42" s="481"/>
      <c r="G42" s="482"/>
      <c r="H42" s="329"/>
    </row>
    <row r="43" spans="1:11" ht="12.75" customHeight="1">
      <c r="A43" s="329"/>
      <c r="B43" s="480" t="s">
        <v>1163</v>
      </c>
      <c r="C43" s="481"/>
      <c r="D43" s="481"/>
      <c r="E43" s="481"/>
      <c r="F43" s="481"/>
      <c r="G43" s="482"/>
      <c r="H43" s="329"/>
    </row>
    <row r="44" spans="1:11" ht="12.75" customHeight="1">
      <c r="A44" s="329"/>
      <c r="B44" s="480" t="s">
        <v>1162</v>
      </c>
      <c r="C44" s="481"/>
      <c r="D44" s="481"/>
      <c r="E44" s="481"/>
      <c r="F44" s="481"/>
      <c r="G44" s="482"/>
      <c r="H44" s="329"/>
    </row>
    <row r="45" spans="1:11">
      <c r="A45" s="329"/>
      <c r="B45" s="480" t="s">
        <v>1161</v>
      </c>
      <c r="C45" s="481"/>
      <c r="D45" s="481"/>
      <c r="E45" s="481"/>
      <c r="F45" s="481"/>
      <c r="G45" s="482"/>
      <c r="H45" s="329"/>
    </row>
    <row r="46" spans="1:11">
      <c r="A46" s="329"/>
      <c r="B46" s="480" t="s">
        <v>1160</v>
      </c>
      <c r="C46" s="481"/>
      <c r="D46" s="481"/>
      <c r="E46" s="481"/>
      <c r="F46" s="481"/>
      <c r="G46" s="482"/>
      <c r="H46" s="329"/>
    </row>
    <row r="47" spans="1:11">
      <c r="A47" s="329"/>
      <c r="B47" s="480" t="s">
        <v>1159</v>
      </c>
      <c r="C47" s="481"/>
      <c r="D47" s="481"/>
      <c r="E47" s="481"/>
      <c r="F47" s="481"/>
      <c r="G47" s="482"/>
      <c r="H47" s="329"/>
    </row>
    <row r="48" spans="1:11" ht="23.25" customHeight="1">
      <c r="A48" s="329"/>
      <c r="B48" s="494" t="s">
        <v>1158</v>
      </c>
      <c r="C48" s="481"/>
      <c r="D48" s="481"/>
      <c r="E48" s="481"/>
      <c r="F48" s="481"/>
      <c r="G48" s="482"/>
      <c r="H48" s="329"/>
    </row>
    <row r="49" spans="1:8">
      <c r="A49" s="329"/>
      <c r="B49" s="480" t="s">
        <v>1157</v>
      </c>
      <c r="C49" s="481"/>
      <c r="D49" s="481"/>
      <c r="E49" s="481"/>
      <c r="F49" s="481"/>
      <c r="G49" s="482"/>
      <c r="H49" s="329"/>
    </row>
    <row r="50" spans="1:8">
      <c r="A50" s="329"/>
      <c r="B50" s="480" t="s">
        <v>1156</v>
      </c>
      <c r="C50" s="481"/>
      <c r="D50" s="481"/>
      <c r="E50" s="481"/>
      <c r="F50" s="481"/>
      <c r="G50" s="482"/>
      <c r="H50" s="329"/>
    </row>
    <row r="51" spans="1:8">
      <c r="A51" s="329"/>
      <c r="B51" s="480" t="s">
        <v>1155</v>
      </c>
      <c r="C51" s="481"/>
      <c r="D51" s="481"/>
      <c r="E51" s="481"/>
      <c r="F51" s="481"/>
      <c r="G51" s="482"/>
      <c r="H51" s="329"/>
    </row>
    <row r="52" spans="1:8">
      <c r="A52" s="329"/>
      <c r="B52" s="480" t="s">
        <v>1154</v>
      </c>
      <c r="C52" s="481"/>
      <c r="D52" s="481"/>
      <c r="E52" s="481"/>
      <c r="F52" s="481"/>
      <c r="G52" s="482"/>
      <c r="H52" s="329"/>
    </row>
    <row r="53" spans="1:8">
      <c r="A53" s="329"/>
      <c r="B53" s="480" t="s">
        <v>1153</v>
      </c>
      <c r="C53" s="481"/>
      <c r="D53" s="481"/>
      <c r="E53" s="481"/>
      <c r="F53" s="481"/>
      <c r="G53" s="482"/>
      <c r="H53" s="329"/>
    </row>
    <row r="54" spans="1:8" ht="24.75" customHeight="1">
      <c r="A54" s="329"/>
      <c r="B54" s="486" t="s">
        <v>1152</v>
      </c>
      <c r="C54" s="487"/>
      <c r="D54" s="487"/>
      <c r="E54" s="487"/>
      <c r="F54" s="487"/>
      <c r="G54" s="488"/>
      <c r="H54" s="329"/>
    </row>
    <row r="55" spans="1:8">
      <c r="A55" s="329"/>
      <c r="B55" s="353" t="s">
        <v>1151</v>
      </c>
      <c r="C55" s="348"/>
      <c r="D55" s="348"/>
      <c r="E55" s="348"/>
      <c r="F55" s="348"/>
      <c r="G55" s="354"/>
      <c r="H55" s="329"/>
    </row>
    <row r="56" spans="1:8">
      <c r="A56" s="329"/>
      <c r="B56" s="492" t="s">
        <v>1150</v>
      </c>
      <c r="C56" s="484"/>
      <c r="D56" s="484"/>
      <c r="E56" s="484"/>
      <c r="F56" s="484"/>
      <c r="G56" s="485"/>
      <c r="H56" s="329"/>
    </row>
    <row r="57" spans="1:8">
      <c r="A57" s="481"/>
      <c r="B57" s="481"/>
      <c r="C57" s="481"/>
      <c r="D57" s="481"/>
      <c r="E57" s="481"/>
      <c r="F57" s="481"/>
      <c r="G57" s="481"/>
      <c r="H57" s="481"/>
    </row>
    <row r="58" spans="1:8">
      <c r="A58" s="481"/>
      <c r="B58" s="481"/>
      <c r="C58" s="481"/>
      <c r="D58" s="481"/>
      <c r="E58" s="481"/>
      <c r="F58" s="481"/>
      <c r="G58" s="481"/>
      <c r="H58" s="481"/>
    </row>
    <row r="59" spans="1:8">
      <c r="A59" s="493" t="s">
        <v>1149</v>
      </c>
      <c r="B59" s="481"/>
      <c r="C59" s="481"/>
      <c r="D59" s="481"/>
      <c r="E59" s="481"/>
      <c r="F59" s="481"/>
      <c r="G59" s="481"/>
      <c r="H59" s="481"/>
    </row>
    <row r="60" spans="1:8" ht="12.75" customHeight="1">
      <c r="A60" s="481"/>
      <c r="B60" s="481"/>
      <c r="C60" s="481"/>
      <c r="D60" s="481"/>
      <c r="E60" s="481"/>
      <c r="F60" s="481"/>
      <c r="G60" s="481"/>
      <c r="H60" s="481"/>
    </row>
    <row r="61" spans="1:8" ht="12.75" customHeight="1">
      <c r="A61" s="433" t="s">
        <v>1148</v>
      </c>
      <c r="B61" s="433"/>
      <c r="C61" s="433"/>
      <c r="D61" s="433"/>
      <c r="E61" s="433"/>
      <c r="F61" s="433"/>
      <c r="G61" s="433"/>
      <c r="H61" s="433"/>
    </row>
    <row r="62" spans="1:8" ht="12.75" customHeight="1">
      <c r="A62" s="481"/>
      <c r="B62" s="481"/>
      <c r="C62" s="481"/>
      <c r="D62" s="481"/>
      <c r="E62" s="481"/>
      <c r="F62" s="481"/>
      <c r="G62" s="481"/>
      <c r="H62" s="481"/>
    </row>
    <row r="63" spans="1:8">
      <c r="A63" s="355"/>
      <c r="B63" s="489" t="s">
        <v>1147</v>
      </c>
      <c r="C63" s="490"/>
      <c r="D63" s="490"/>
      <c r="E63" s="490"/>
      <c r="F63" s="490"/>
      <c r="G63" s="491"/>
      <c r="H63" s="355"/>
    </row>
    <row r="64" spans="1:8">
      <c r="A64" s="355"/>
      <c r="B64" s="480" t="s">
        <v>1146</v>
      </c>
      <c r="C64" s="481"/>
      <c r="D64" s="481"/>
      <c r="E64" s="481"/>
      <c r="F64" s="481"/>
      <c r="G64" s="482"/>
      <c r="H64" s="355"/>
    </row>
    <row r="65" spans="1:8" ht="12.75" customHeight="1">
      <c r="A65" s="355"/>
      <c r="B65" s="480" t="s">
        <v>1145</v>
      </c>
      <c r="C65" s="481"/>
      <c r="D65" s="481"/>
      <c r="E65" s="481"/>
      <c r="F65" s="481"/>
      <c r="G65" s="482"/>
      <c r="H65" s="355"/>
    </row>
    <row r="66" spans="1:8">
      <c r="A66" s="355"/>
      <c r="B66" s="480" t="s">
        <v>1144</v>
      </c>
      <c r="C66" s="481"/>
      <c r="D66" s="481"/>
      <c r="E66" s="481"/>
      <c r="F66" s="481"/>
      <c r="G66" s="482"/>
      <c r="H66" s="355"/>
    </row>
    <row r="67" spans="1:8" ht="13.5" customHeight="1">
      <c r="A67" s="355"/>
      <c r="B67" s="480" t="s">
        <v>1143</v>
      </c>
      <c r="C67" s="481"/>
      <c r="D67" s="481"/>
      <c r="E67" s="481"/>
      <c r="F67" s="481"/>
      <c r="G67" s="482"/>
      <c r="H67" s="355"/>
    </row>
    <row r="68" spans="1:8">
      <c r="A68" s="355"/>
      <c r="B68" s="480" t="s">
        <v>1142</v>
      </c>
      <c r="C68" s="481"/>
      <c r="D68" s="481"/>
      <c r="E68" s="481"/>
      <c r="F68" s="481"/>
      <c r="G68" s="482"/>
      <c r="H68" s="355"/>
    </row>
    <row r="69" spans="1:8">
      <c r="A69" s="355"/>
      <c r="B69" s="480" t="s">
        <v>1187</v>
      </c>
      <c r="C69" s="481"/>
      <c r="D69" s="481"/>
      <c r="E69" s="481"/>
      <c r="F69" s="481"/>
      <c r="G69" s="482"/>
      <c r="H69" s="355"/>
    </row>
    <row r="70" spans="1:8">
      <c r="A70" s="355"/>
      <c r="B70" s="480" t="s">
        <v>1141</v>
      </c>
      <c r="C70" s="481"/>
      <c r="D70" s="481"/>
      <c r="E70" s="481"/>
      <c r="F70" s="481"/>
      <c r="G70" s="482"/>
      <c r="H70" s="355"/>
    </row>
    <row r="71" spans="1:8" ht="24.75" customHeight="1">
      <c r="A71" s="355"/>
      <c r="B71" s="486" t="s">
        <v>1140</v>
      </c>
      <c r="C71" s="487"/>
      <c r="D71" s="487"/>
      <c r="E71" s="487"/>
      <c r="F71" s="487"/>
      <c r="G71" s="488"/>
      <c r="H71" s="355"/>
    </row>
    <row r="72" spans="1:8">
      <c r="A72" s="355"/>
      <c r="B72" s="480" t="s">
        <v>1139</v>
      </c>
      <c r="C72" s="481"/>
      <c r="D72" s="481"/>
      <c r="E72" s="481"/>
      <c r="F72" s="481"/>
      <c r="G72" s="482"/>
      <c r="H72" s="355"/>
    </row>
    <row r="73" spans="1:8">
      <c r="A73" s="355"/>
      <c r="B73" s="480" t="s">
        <v>1138</v>
      </c>
      <c r="C73" s="481"/>
      <c r="D73" s="481"/>
      <c r="E73" s="481"/>
      <c r="F73" s="481"/>
      <c r="G73" s="482"/>
      <c r="H73" s="355"/>
    </row>
    <row r="74" spans="1:8">
      <c r="A74" s="329"/>
      <c r="B74" s="480" t="s">
        <v>1137</v>
      </c>
      <c r="C74" s="481"/>
      <c r="D74" s="481"/>
      <c r="E74" s="481"/>
      <c r="F74" s="481"/>
      <c r="G74" s="482"/>
      <c r="H74" s="329"/>
    </row>
    <row r="75" spans="1:8" ht="24.75" customHeight="1">
      <c r="A75" s="329"/>
      <c r="B75" s="483" t="s">
        <v>1136</v>
      </c>
      <c r="C75" s="484"/>
      <c r="D75" s="484"/>
      <c r="E75" s="484"/>
      <c r="F75" s="484"/>
      <c r="G75" s="485"/>
      <c r="H75" s="329"/>
    </row>
    <row r="76" spans="1:8">
      <c r="A76" s="449"/>
      <c r="B76" s="449"/>
      <c r="C76" s="449"/>
      <c r="D76" s="449"/>
      <c r="E76" s="449"/>
      <c r="F76" s="449"/>
      <c r="G76" s="449"/>
      <c r="H76" s="449"/>
    </row>
    <row r="77" spans="1:8">
      <c r="A77" s="449"/>
      <c r="B77" s="449"/>
      <c r="C77" s="449"/>
      <c r="D77" s="449"/>
      <c r="E77" s="449"/>
      <c r="F77" s="449"/>
      <c r="G77" s="449"/>
      <c r="H77" s="449"/>
    </row>
    <row r="78" spans="1:8">
      <c r="A78" s="463" t="s">
        <v>1135</v>
      </c>
      <c r="B78" s="463"/>
      <c r="C78" s="463"/>
      <c r="D78" s="463"/>
      <c r="E78" s="463"/>
      <c r="F78" s="463"/>
      <c r="G78" s="463"/>
      <c r="H78" s="463"/>
    </row>
    <row r="79" spans="1:8">
      <c r="A79" s="449"/>
      <c r="B79" s="449"/>
      <c r="C79" s="449"/>
      <c r="D79" s="449"/>
      <c r="E79" s="449"/>
      <c r="F79" s="449"/>
      <c r="G79" s="449"/>
      <c r="H79" s="449"/>
    </row>
    <row r="80" spans="1:8" ht="51" customHeight="1">
      <c r="A80" s="461" t="s">
        <v>1188</v>
      </c>
      <c r="B80" s="461"/>
      <c r="C80" s="461"/>
      <c r="D80" s="461"/>
      <c r="E80" s="461"/>
      <c r="F80" s="461"/>
      <c r="G80" s="461"/>
      <c r="H80" s="461"/>
    </row>
    <row r="81" spans="1:8">
      <c r="A81" s="456"/>
      <c r="B81" s="456"/>
      <c r="C81" s="456"/>
      <c r="D81" s="456"/>
      <c r="E81" s="456"/>
      <c r="F81" s="456"/>
      <c r="G81" s="456"/>
      <c r="H81" s="456"/>
    </row>
    <row r="82" spans="1:8" ht="25.5" customHeight="1">
      <c r="A82" s="461" t="s">
        <v>1189</v>
      </c>
      <c r="B82" s="461"/>
      <c r="C82" s="461"/>
      <c r="D82" s="461"/>
      <c r="E82" s="461"/>
      <c r="F82" s="461"/>
      <c r="G82" s="461"/>
      <c r="H82" s="461"/>
    </row>
    <row r="83" spans="1:8">
      <c r="A83" s="449"/>
      <c r="B83" s="449"/>
      <c r="C83" s="449"/>
      <c r="D83" s="449"/>
      <c r="E83" s="449"/>
      <c r="F83" s="449"/>
      <c r="G83" s="449"/>
      <c r="H83" s="449"/>
    </row>
    <row r="84" spans="1:8">
      <c r="A84" s="449"/>
      <c r="B84" s="449"/>
      <c r="C84" s="449"/>
      <c r="D84" s="449"/>
      <c r="E84" s="449"/>
      <c r="F84" s="449"/>
      <c r="G84" s="449"/>
      <c r="H84" s="449"/>
    </row>
    <row r="85" spans="1:8">
      <c r="A85" s="455" t="s">
        <v>387</v>
      </c>
      <c r="B85" s="479"/>
      <c r="C85" s="479"/>
      <c r="D85" s="479"/>
      <c r="E85" s="479"/>
      <c r="F85" s="479"/>
      <c r="G85" s="479"/>
      <c r="H85" s="479"/>
    </row>
    <row r="86" spans="1:8">
      <c r="A86" s="465"/>
      <c r="B86" s="465"/>
      <c r="C86" s="465"/>
      <c r="D86" s="465"/>
      <c r="E86" s="465"/>
      <c r="F86" s="465"/>
      <c r="G86" s="465"/>
      <c r="H86" s="465"/>
    </row>
    <row r="87" spans="1:8">
      <c r="A87" s="437" t="s">
        <v>1134</v>
      </c>
      <c r="B87" s="437"/>
      <c r="C87" s="437"/>
      <c r="D87" s="437"/>
      <c r="E87" s="437"/>
      <c r="F87" s="437"/>
      <c r="G87" s="437"/>
      <c r="H87" s="437"/>
    </row>
    <row r="88" spans="1:8">
      <c r="A88" s="449"/>
      <c r="B88" s="449"/>
      <c r="C88" s="449"/>
      <c r="D88" s="449"/>
      <c r="E88" s="449"/>
      <c r="F88" s="449"/>
      <c r="G88" s="449"/>
      <c r="H88" s="449"/>
    </row>
    <row r="89" spans="1:8">
      <c r="A89" s="475" t="s">
        <v>1133</v>
      </c>
      <c r="B89" s="449"/>
      <c r="C89" s="449"/>
      <c r="D89" s="449"/>
      <c r="E89" s="449"/>
      <c r="F89" s="449"/>
      <c r="G89" s="449"/>
      <c r="H89" s="449"/>
    </row>
    <row r="90" spans="1:8">
      <c r="A90" s="449"/>
      <c r="B90" s="449"/>
      <c r="C90" s="449"/>
      <c r="D90" s="449"/>
      <c r="E90" s="449"/>
      <c r="F90" s="449"/>
      <c r="G90" s="449"/>
      <c r="H90" s="449"/>
    </row>
    <row r="91" spans="1:8">
      <c r="A91" s="356"/>
      <c r="B91" s="476" t="s">
        <v>1132</v>
      </c>
      <c r="C91" s="477"/>
      <c r="D91" s="477"/>
      <c r="E91" s="477"/>
      <c r="F91" s="477"/>
      <c r="G91" s="478"/>
      <c r="H91" s="356"/>
    </row>
    <row r="92" spans="1:8">
      <c r="A92" s="356"/>
      <c r="B92" s="466" t="s">
        <v>1131</v>
      </c>
      <c r="C92" s="467"/>
      <c r="D92" s="467"/>
      <c r="E92" s="467"/>
      <c r="F92" s="467"/>
      <c r="G92" s="468"/>
      <c r="H92" s="356"/>
    </row>
    <row r="93" spans="1:8">
      <c r="A93" s="356"/>
      <c r="B93" s="466" t="s">
        <v>1130</v>
      </c>
      <c r="C93" s="467"/>
      <c r="D93" s="467"/>
      <c r="E93" s="467"/>
      <c r="F93" s="467"/>
      <c r="G93" s="468"/>
      <c r="H93" s="356"/>
    </row>
    <row r="94" spans="1:8">
      <c r="A94" s="356"/>
      <c r="B94" s="466" t="s">
        <v>1129</v>
      </c>
      <c r="C94" s="467"/>
      <c r="D94" s="467"/>
      <c r="E94" s="467"/>
      <c r="F94" s="467"/>
      <c r="G94" s="468"/>
      <c r="H94" s="356"/>
    </row>
    <row r="95" spans="1:8">
      <c r="A95" s="356"/>
      <c r="B95" s="466" t="s">
        <v>1128</v>
      </c>
      <c r="C95" s="467"/>
      <c r="D95" s="467"/>
      <c r="E95" s="467"/>
      <c r="F95" s="467"/>
      <c r="G95" s="468"/>
      <c r="H95" s="356"/>
    </row>
    <row r="96" spans="1:8">
      <c r="A96" s="356"/>
      <c r="B96" s="469" t="s">
        <v>1127</v>
      </c>
      <c r="C96" s="470"/>
      <c r="D96" s="470"/>
      <c r="E96" s="470"/>
      <c r="F96" s="470"/>
      <c r="G96" s="471"/>
      <c r="H96" s="356"/>
    </row>
    <row r="97" spans="1:8">
      <c r="A97" s="449"/>
      <c r="B97" s="449"/>
      <c r="C97" s="449"/>
      <c r="D97" s="449"/>
      <c r="E97" s="449"/>
      <c r="F97" s="449"/>
      <c r="G97" s="449"/>
      <c r="H97" s="449"/>
    </row>
    <row r="98" spans="1:8">
      <c r="A98" s="475" t="s">
        <v>1126</v>
      </c>
      <c r="B98" s="475"/>
      <c r="C98" s="475"/>
      <c r="D98" s="475"/>
      <c r="E98" s="475"/>
      <c r="F98" s="475"/>
      <c r="G98" s="475"/>
      <c r="H98" s="475"/>
    </row>
    <row r="99" spans="1:8">
      <c r="A99" s="449"/>
      <c r="B99" s="449"/>
      <c r="C99" s="449"/>
      <c r="D99" s="449"/>
      <c r="E99" s="449"/>
      <c r="F99" s="449"/>
      <c r="G99" s="449"/>
      <c r="H99" s="449"/>
    </row>
    <row r="100" spans="1:8" ht="13.15" customHeight="1">
      <c r="A100" s="356"/>
      <c r="B100" s="476" t="s">
        <v>1125</v>
      </c>
      <c r="C100" s="477"/>
      <c r="D100" s="477"/>
      <c r="E100" s="477"/>
      <c r="F100" s="477"/>
      <c r="G100" s="478"/>
      <c r="H100" s="356"/>
    </row>
    <row r="101" spans="1:8" ht="13.15" customHeight="1">
      <c r="A101" s="356"/>
      <c r="B101" s="466" t="s">
        <v>1124</v>
      </c>
      <c r="C101" s="467"/>
      <c r="D101" s="467"/>
      <c r="E101" s="467"/>
      <c r="F101" s="467"/>
      <c r="G101" s="468"/>
      <c r="H101" s="356"/>
    </row>
    <row r="102" spans="1:8" s="340" customFormat="1" ht="12.75" customHeight="1">
      <c r="A102" s="356"/>
      <c r="B102" s="466" t="s">
        <v>1123</v>
      </c>
      <c r="C102" s="467"/>
      <c r="D102" s="467"/>
      <c r="E102" s="467"/>
      <c r="F102" s="467"/>
      <c r="G102" s="468"/>
      <c r="H102" s="356"/>
    </row>
    <row r="103" spans="1:8">
      <c r="A103" s="356"/>
      <c r="B103" s="466" t="s">
        <v>1122</v>
      </c>
      <c r="C103" s="467"/>
      <c r="D103" s="467"/>
      <c r="E103" s="467"/>
      <c r="F103" s="467"/>
      <c r="G103" s="468"/>
      <c r="H103" s="356"/>
    </row>
    <row r="104" spans="1:8">
      <c r="A104" s="356"/>
      <c r="B104" s="466" t="s">
        <v>1121</v>
      </c>
      <c r="C104" s="467"/>
      <c r="D104" s="467"/>
      <c r="E104" s="467"/>
      <c r="F104" s="467"/>
      <c r="G104" s="468"/>
      <c r="H104" s="356"/>
    </row>
    <row r="105" spans="1:8">
      <c r="A105" s="356"/>
      <c r="B105" s="466" t="s">
        <v>1208</v>
      </c>
      <c r="C105" s="467"/>
      <c r="D105" s="467"/>
      <c r="E105" s="467"/>
      <c r="F105" s="467"/>
      <c r="G105" s="468"/>
      <c r="H105" s="356"/>
    </row>
    <row r="106" spans="1:8">
      <c r="A106" s="356"/>
      <c r="B106" s="466" t="s">
        <v>1209</v>
      </c>
      <c r="C106" s="467"/>
      <c r="D106" s="467"/>
      <c r="E106" s="467"/>
      <c r="F106" s="467"/>
      <c r="G106" s="468"/>
      <c r="H106" s="356"/>
    </row>
    <row r="107" spans="1:8">
      <c r="A107" s="356"/>
      <c r="B107" s="469" t="s">
        <v>1120</v>
      </c>
      <c r="C107" s="470"/>
      <c r="D107" s="470"/>
      <c r="E107" s="470"/>
      <c r="F107" s="470"/>
      <c r="G107" s="471"/>
      <c r="H107" s="356"/>
    </row>
    <row r="108" spans="1:8">
      <c r="A108" s="449"/>
      <c r="B108" s="449"/>
      <c r="C108" s="449"/>
      <c r="D108" s="449"/>
      <c r="E108" s="449"/>
      <c r="F108" s="449"/>
      <c r="G108" s="449"/>
      <c r="H108" s="449"/>
    </row>
    <row r="109" spans="1:8">
      <c r="A109" s="475" t="s">
        <v>1119</v>
      </c>
      <c r="B109" s="475"/>
      <c r="C109" s="475"/>
      <c r="D109" s="475"/>
      <c r="E109" s="475"/>
      <c r="F109" s="475"/>
      <c r="G109" s="475"/>
      <c r="H109" s="475"/>
    </row>
    <row r="110" spans="1:8">
      <c r="A110" s="449"/>
      <c r="B110" s="449"/>
      <c r="C110" s="449"/>
      <c r="D110" s="449"/>
      <c r="E110" s="449"/>
      <c r="F110" s="449"/>
      <c r="G110" s="449"/>
      <c r="H110" s="449"/>
    </row>
    <row r="111" spans="1:8">
      <c r="A111" s="356"/>
      <c r="B111" s="476" t="s">
        <v>1118</v>
      </c>
      <c r="C111" s="477"/>
      <c r="D111" s="477"/>
      <c r="E111" s="477"/>
      <c r="F111" s="477"/>
      <c r="G111" s="478"/>
      <c r="H111" s="356"/>
    </row>
    <row r="112" spans="1:8">
      <c r="A112" s="356"/>
      <c r="B112" s="466" t="s">
        <v>1117</v>
      </c>
      <c r="C112" s="467"/>
      <c r="D112" s="467"/>
      <c r="E112" s="467"/>
      <c r="F112" s="467"/>
      <c r="G112" s="468"/>
      <c r="H112" s="356"/>
    </row>
    <row r="113" spans="1:8">
      <c r="A113" s="356"/>
      <c r="B113" s="469" t="s">
        <v>1116</v>
      </c>
      <c r="C113" s="470"/>
      <c r="D113" s="470"/>
      <c r="E113" s="470"/>
      <c r="F113" s="470"/>
      <c r="G113" s="471"/>
      <c r="H113" s="356"/>
    </row>
    <row r="114" spans="1:8">
      <c r="A114" s="449"/>
      <c r="B114" s="449"/>
      <c r="C114" s="449"/>
      <c r="D114" s="449"/>
      <c r="E114" s="449"/>
      <c r="F114" s="449"/>
      <c r="G114" s="449"/>
      <c r="H114" s="449"/>
    </row>
    <row r="115" spans="1:8">
      <c r="A115" s="475" t="s">
        <v>1115</v>
      </c>
      <c r="B115" s="449"/>
      <c r="C115" s="449"/>
      <c r="D115" s="449"/>
      <c r="E115" s="449"/>
      <c r="F115" s="449"/>
      <c r="G115" s="449"/>
      <c r="H115" s="449"/>
    </row>
    <row r="116" spans="1:8">
      <c r="A116" s="449"/>
      <c r="B116" s="449"/>
      <c r="C116" s="449"/>
      <c r="D116" s="449"/>
      <c r="E116" s="449"/>
      <c r="F116" s="449"/>
      <c r="G116" s="449"/>
      <c r="H116" s="449"/>
    </row>
    <row r="117" spans="1:8">
      <c r="A117" s="356"/>
      <c r="B117" s="476" t="s">
        <v>1114</v>
      </c>
      <c r="C117" s="477"/>
      <c r="D117" s="477"/>
      <c r="E117" s="477"/>
      <c r="F117" s="477"/>
      <c r="G117" s="478"/>
      <c r="H117" s="356"/>
    </row>
    <row r="118" spans="1:8">
      <c r="A118" s="356"/>
      <c r="B118" s="466" t="s">
        <v>1113</v>
      </c>
      <c r="C118" s="467"/>
      <c r="D118" s="467"/>
      <c r="E118" s="467"/>
      <c r="F118" s="467"/>
      <c r="G118" s="468"/>
      <c r="H118" s="356"/>
    </row>
    <row r="119" spans="1:8">
      <c r="A119" s="329"/>
      <c r="B119" s="466" t="s">
        <v>1112</v>
      </c>
      <c r="C119" s="467"/>
      <c r="D119" s="467"/>
      <c r="E119" s="467"/>
      <c r="F119" s="467"/>
      <c r="G119" s="468"/>
      <c r="H119" s="329"/>
    </row>
    <row r="120" spans="1:8">
      <c r="A120" s="329"/>
      <c r="B120" s="466" t="s">
        <v>1111</v>
      </c>
      <c r="C120" s="467"/>
      <c r="D120" s="467"/>
      <c r="E120" s="467"/>
      <c r="F120" s="467"/>
      <c r="G120" s="468"/>
      <c r="H120" s="329"/>
    </row>
    <row r="121" spans="1:8">
      <c r="A121" s="329"/>
      <c r="B121" s="466" t="s">
        <v>1110</v>
      </c>
      <c r="C121" s="467"/>
      <c r="D121" s="467"/>
      <c r="E121" s="467"/>
      <c r="F121" s="467"/>
      <c r="G121" s="468"/>
      <c r="H121" s="329"/>
    </row>
    <row r="122" spans="1:8">
      <c r="A122" s="329"/>
      <c r="B122" s="466" t="s">
        <v>1109</v>
      </c>
      <c r="C122" s="467"/>
      <c r="D122" s="467"/>
      <c r="E122" s="467"/>
      <c r="F122" s="467"/>
      <c r="G122" s="468"/>
      <c r="H122" s="329"/>
    </row>
    <row r="123" spans="1:8">
      <c r="A123" s="329"/>
      <c r="B123" s="469" t="s">
        <v>1108</v>
      </c>
      <c r="C123" s="470"/>
      <c r="D123" s="470"/>
      <c r="E123" s="470"/>
      <c r="F123" s="470"/>
      <c r="G123" s="471"/>
      <c r="H123" s="329"/>
    </row>
    <row r="124" spans="1:8">
      <c r="A124" s="449"/>
      <c r="B124" s="449"/>
      <c r="C124" s="449"/>
      <c r="D124" s="449"/>
      <c r="E124" s="449"/>
      <c r="F124" s="449"/>
      <c r="G124" s="449"/>
      <c r="H124" s="449"/>
    </row>
    <row r="125" spans="1:8">
      <c r="A125" s="475" t="s">
        <v>1107</v>
      </c>
      <c r="B125" s="449"/>
      <c r="C125" s="449"/>
      <c r="D125" s="449"/>
      <c r="E125" s="449"/>
      <c r="F125" s="449"/>
      <c r="G125" s="449"/>
      <c r="H125" s="449"/>
    </row>
    <row r="126" spans="1:8">
      <c r="A126" s="357"/>
      <c r="B126" s="357"/>
      <c r="C126" s="357"/>
      <c r="D126" s="357"/>
      <c r="E126" s="357"/>
      <c r="F126" s="357"/>
      <c r="G126" s="357"/>
      <c r="H126" s="357"/>
    </row>
    <row r="127" spans="1:8">
      <c r="A127" s="357"/>
      <c r="B127" s="472" t="s">
        <v>1106</v>
      </c>
      <c r="C127" s="473"/>
      <c r="D127" s="473"/>
      <c r="E127" s="473"/>
      <c r="F127" s="473"/>
      <c r="G127" s="474"/>
      <c r="H127" s="357"/>
    </row>
    <row r="128" spans="1:8">
      <c r="A128" s="357"/>
      <c r="B128" s="357"/>
      <c r="C128" s="357"/>
      <c r="D128" s="357"/>
      <c r="E128" s="357"/>
      <c r="F128" s="357"/>
      <c r="G128" s="357"/>
      <c r="H128" s="357"/>
    </row>
    <row r="129" spans="1:8">
      <c r="A129" s="475" t="s">
        <v>1105</v>
      </c>
      <c r="B129" s="449"/>
      <c r="C129" s="449"/>
      <c r="D129" s="449"/>
      <c r="E129" s="449"/>
      <c r="F129" s="449"/>
      <c r="G129" s="449"/>
      <c r="H129" s="449"/>
    </row>
    <row r="130" spans="1:8">
      <c r="A130" s="449"/>
      <c r="B130" s="449"/>
      <c r="C130" s="449"/>
      <c r="D130" s="449"/>
      <c r="E130" s="449"/>
      <c r="F130" s="449"/>
      <c r="G130" s="449"/>
      <c r="H130" s="449"/>
    </row>
    <row r="131" spans="1:8">
      <c r="A131" s="329"/>
      <c r="B131" s="476" t="s">
        <v>1104</v>
      </c>
      <c r="C131" s="477"/>
      <c r="D131" s="477"/>
      <c r="E131" s="477"/>
      <c r="F131" s="477"/>
      <c r="G131" s="478"/>
      <c r="H131" s="329"/>
    </row>
    <row r="132" spans="1:8">
      <c r="A132" s="329"/>
      <c r="B132" s="358" t="s">
        <v>1103</v>
      </c>
      <c r="C132" s="359"/>
      <c r="D132" s="359"/>
      <c r="E132" s="359"/>
      <c r="F132" s="359"/>
      <c r="G132" s="360"/>
      <c r="H132" s="329"/>
    </row>
    <row r="133" spans="1:8">
      <c r="A133" s="329"/>
      <c r="B133" s="469" t="s">
        <v>1102</v>
      </c>
      <c r="C133" s="470"/>
      <c r="D133" s="470"/>
      <c r="E133" s="470"/>
      <c r="F133" s="470"/>
      <c r="G133" s="471"/>
      <c r="H133" s="329"/>
    </row>
    <row r="134" spans="1:8">
      <c r="A134" s="449"/>
      <c r="B134" s="449"/>
      <c r="C134" s="449"/>
      <c r="D134" s="449"/>
      <c r="E134" s="449"/>
      <c r="F134" s="449"/>
      <c r="G134" s="449"/>
      <c r="H134" s="449"/>
    </row>
    <row r="135" spans="1:8">
      <c r="A135" s="475" t="s">
        <v>1101</v>
      </c>
      <c r="B135" s="449"/>
      <c r="C135" s="449"/>
      <c r="D135" s="449"/>
      <c r="E135" s="449"/>
      <c r="F135" s="449"/>
      <c r="G135" s="449"/>
      <c r="H135" s="449"/>
    </row>
    <row r="136" spans="1:8">
      <c r="A136" s="449"/>
      <c r="B136" s="449"/>
      <c r="C136" s="449"/>
      <c r="D136" s="449"/>
      <c r="E136" s="449"/>
      <c r="F136" s="449"/>
      <c r="G136" s="449"/>
      <c r="H136" s="449"/>
    </row>
    <row r="137" spans="1:8">
      <c r="A137" s="329"/>
      <c r="B137" s="472" t="s">
        <v>1100</v>
      </c>
      <c r="C137" s="473"/>
      <c r="D137" s="473"/>
      <c r="E137" s="473"/>
      <c r="F137" s="473"/>
      <c r="G137" s="474"/>
      <c r="H137" s="329"/>
    </row>
    <row r="138" spans="1:8">
      <c r="A138" s="449"/>
      <c r="B138" s="449"/>
      <c r="C138" s="449"/>
      <c r="D138" s="449"/>
      <c r="E138" s="449"/>
      <c r="F138" s="449"/>
      <c r="G138" s="449"/>
      <c r="H138" s="449"/>
    </row>
    <row r="139" spans="1:8">
      <c r="A139" s="475" t="s">
        <v>1099</v>
      </c>
      <c r="B139" s="449"/>
      <c r="C139" s="449"/>
      <c r="D139" s="449"/>
      <c r="E139" s="449"/>
      <c r="F139" s="449"/>
      <c r="G139" s="449"/>
      <c r="H139" s="449"/>
    </row>
    <row r="140" spans="1:8">
      <c r="A140" s="449"/>
      <c r="B140" s="449"/>
      <c r="C140" s="449"/>
      <c r="D140" s="449"/>
      <c r="E140" s="449"/>
      <c r="F140" s="449"/>
      <c r="G140" s="449"/>
      <c r="H140" s="449"/>
    </row>
    <row r="141" spans="1:8">
      <c r="A141" s="329"/>
      <c r="B141" s="476" t="s">
        <v>1098</v>
      </c>
      <c r="C141" s="477"/>
      <c r="D141" s="477"/>
      <c r="E141" s="477"/>
      <c r="F141" s="477"/>
      <c r="G141" s="478"/>
      <c r="H141" s="329"/>
    </row>
    <row r="142" spans="1:8">
      <c r="A142" s="329"/>
      <c r="B142" s="358" t="s">
        <v>1097</v>
      </c>
      <c r="C142" s="359"/>
      <c r="D142" s="359"/>
      <c r="E142" s="359"/>
      <c r="F142" s="359"/>
      <c r="G142" s="360"/>
      <c r="H142" s="329"/>
    </row>
    <row r="143" spans="1:8">
      <c r="A143" s="329"/>
      <c r="B143" s="466" t="s">
        <v>1096</v>
      </c>
      <c r="C143" s="467"/>
      <c r="D143" s="467"/>
      <c r="E143" s="467"/>
      <c r="F143" s="467"/>
      <c r="G143" s="468"/>
      <c r="H143" s="329"/>
    </row>
    <row r="144" spans="1:8">
      <c r="A144" s="329"/>
      <c r="B144" s="358" t="s">
        <v>1095</v>
      </c>
      <c r="C144" s="359"/>
      <c r="D144" s="359"/>
      <c r="E144" s="359"/>
      <c r="F144" s="359"/>
      <c r="G144" s="360"/>
      <c r="H144" s="329"/>
    </row>
    <row r="145" spans="1:9">
      <c r="A145" s="329"/>
      <c r="B145" s="469" t="s">
        <v>1094</v>
      </c>
      <c r="C145" s="470"/>
      <c r="D145" s="470"/>
      <c r="E145" s="470"/>
      <c r="F145" s="470"/>
      <c r="G145" s="471"/>
      <c r="H145" s="329"/>
    </row>
    <row r="146" spans="1:9">
      <c r="A146" s="449"/>
      <c r="B146" s="449"/>
      <c r="C146" s="449"/>
      <c r="D146" s="449"/>
      <c r="E146" s="449"/>
      <c r="F146" s="449"/>
      <c r="G146" s="449"/>
      <c r="H146" s="449"/>
    </row>
    <row r="147" spans="1:9" s="340" customFormat="1" ht="27.75" customHeight="1">
      <c r="A147" s="461" t="s">
        <v>1093</v>
      </c>
      <c r="B147" s="461"/>
      <c r="C147" s="461"/>
      <c r="D147" s="461"/>
      <c r="E147" s="461"/>
      <c r="F147" s="461"/>
      <c r="G147" s="461"/>
      <c r="H147" s="461"/>
      <c r="I147" s="361"/>
    </row>
    <row r="148" spans="1:9">
      <c r="A148" s="467"/>
      <c r="B148" s="467"/>
      <c r="C148" s="467"/>
      <c r="D148" s="467"/>
      <c r="E148" s="467"/>
      <c r="F148" s="467"/>
      <c r="G148" s="467"/>
      <c r="H148" s="467"/>
    </row>
    <row r="149" spans="1:9" s="340" customFormat="1" ht="41.25" customHeight="1">
      <c r="A149" s="461" t="s">
        <v>1092</v>
      </c>
      <c r="B149" s="461"/>
      <c r="C149" s="461"/>
      <c r="D149" s="461"/>
      <c r="E149" s="461"/>
      <c r="F149" s="461"/>
      <c r="G149" s="461"/>
      <c r="H149" s="461"/>
    </row>
    <row r="150" spans="1:9">
      <c r="A150" s="463" t="s">
        <v>1091</v>
      </c>
      <c r="B150" s="464"/>
      <c r="C150" s="464"/>
      <c r="D150" s="464"/>
      <c r="E150" s="464"/>
      <c r="F150" s="464"/>
      <c r="G150" s="464"/>
      <c r="H150" s="464"/>
    </row>
    <row r="151" spans="1:9">
      <c r="A151" s="465"/>
      <c r="B151" s="465"/>
      <c r="C151" s="465"/>
      <c r="D151" s="465"/>
      <c r="E151" s="465"/>
      <c r="F151" s="465"/>
      <c r="G151" s="465"/>
      <c r="H151" s="465"/>
    </row>
    <row r="152" spans="1:9">
      <c r="A152" s="455" t="s">
        <v>737</v>
      </c>
      <c r="B152" s="456"/>
      <c r="C152" s="456"/>
      <c r="D152" s="456"/>
      <c r="E152" s="456"/>
      <c r="F152" s="456"/>
      <c r="G152" s="456"/>
      <c r="H152" s="456"/>
    </row>
    <row r="153" spans="1:9">
      <c r="A153" s="449"/>
      <c r="B153" s="449"/>
      <c r="C153" s="449"/>
      <c r="D153" s="449"/>
      <c r="E153" s="449"/>
      <c r="F153" s="449"/>
      <c r="G153" s="449"/>
      <c r="H153" s="449"/>
    </row>
    <row r="154" spans="1:9" ht="38.25" customHeight="1">
      <c r="A154" s="437" t="s">
        <v>1090</v>
      </c>
      <c r="B154" s="437"/>
      <c r="C154" s="437"/>
      <c r="D154" s="437"/>
      <c r="E154" s="437"/>
      <c r="F154" s="437"/>
      <c r="G154" s="437"/>
      <c r="H154" s="437"/>
    </row>
    <row r="155" spans="1:9">
      <c r="A155" s="456"/>
      <c r="B155" s="456"/>
      <c r="C155" s="456"/>
      <c r="D155" s="456"/>
      <c r="E155" s="456"/>
      <c r="F155" s="456"/>
      <c r="G155" s="456"/>
      <c r="H155" s="456"/>
    </row>
    <row r="156" spans="1:9" ht="38.25" customHeight="1">
      <c r="A156" s="437" t="s">
        <v>1089</v>
      </c>
      <c r="B156" s="437"/>
      <c r="C156" s="437"/>
      <c r="D156" s="437"/>
      <c r="E156" s="437"/>
      <c r="F156" s="437"/>
      <c r="G156" s="437"/>
      <c r="H156" s="437"/>
    </row>
    <row r="157" spans="1:9">
      <c r="A157" s="449"/>
      <c r="B157" s="449"/>
      <c r="C157" s="449"/>
      <c r="D157" s="449"/>
      <c r="E157" s="449"/>
      <c r="F157" s="449"/>
      <c r="G157" s="449"/>
      <c r="H157" s="449"/>
    </row>
    <row r="158" spans="1:9">
      <c r="A158" s="437" t="s">
        <v>1088</v>
      </c>
      <c r="B158" s="437"/>
      <c r="C158" s="437"/>
      <c r="D158" s="437"/>
      <c r="E158" s="437"/>
      <c r="F158" s="437"/>
      <c r="G158" s="437"/>
      <c r="H158" s="437"/>
    </row>
    <row r="159" spans="1:9">
      <c r="A159" s="449"/>
      <c r="B159" s="449"/>
      <c r="C159" s="449"/>
      <c r="D159" s="449"/>
      <c r="E159" s="449"/>
      <c r="F159" s="449"/>
      <c r="G159" s="449"/>
      <c r="H159" s="449"/>
    </row>
    <row r="160" spans="1:9">
      <c r="A160" s="449"/>
      <c r="B160" s="449"/>
      <c r="C160" s="449"/>
      <c r="D160" s="449"/>
      <c r="E160" s="449"/>
      <c r="F160" s="449"/>
      <c r="G160" s="449"/>
      <c r="H160" s="449"/>
    </row>
    <row r="161" spans="1:8">
      <c r="A161" s="455" t="s">
        <v>735</v>
      </c>
      <c r="B161" s="456"/>
      <c r="C161" s="456"/>
      <c r="D161" s="456"/>
      <c r="E161" s="456"/>
      <c r="F161" s="456"/>
      <c r="G161" s="456"/>
      <c r="H161" s="456"/>
    </row>
    <row r="162" spans="1:8">
      <c r="A162" s="449"/>
      <c r="B162" s="449"/>
      <c r="C162" s="449"/>
      <c r="D162" s="449"/>
      <c r="E162" s="449"/>
      <c r="F162" s="449"/>
      <c r="G162" s="449"/>
      <c r="H162" s="449"/>
    </row>
    <row r="163" spans="1:8">
      <c r="A163" s="462" t="s">
        <v>1087</v>
      </c>
      <c r="B163" s="462"/>
      <c r="C163" s="462"/>
      <c r="D163" s="462"/>
      <c r="E163" s="462"/>
      <c r="F163" s="462"/>
      <c r="G163" s="462"/>
      <c r="H163" s="462"/>
    </row>
    <row r="164" spans="1:8">
      <c r="A164" s="449"/>
      <c r="B164" s="449"/>
      <c r="C164" s="449"/>
      <c r="D164" s="449"/>
      <c r="E164" s="449"/>
      <c r="F164" s="449"/>
      <c r="G164" s="449"/>
      <c r="H164" s="449"/>
    </row>
    <row r="165" spans="1:8">
      <c r="A165" s="329"/>
      <c r="B165" s="457" t="s">
        <v>1086</v>
      </c>
      <c r="C165" s="458"/>
      <c r="D165" s="458"/>
      <c r="E165" s="458"/>
      <c r="F165" s="458"/>
      <c r="G165" s="459"/>
      <c r="H165" s="329"/>
    </row>
    <row r="166" spans="1:8">
      <c r="A166" s="329"/>
      <c r="B166" s="448" t="s">
        <v>1085</v>
      </c>
      <c r="C166" s="449"/>
      <c r="D166" s="449"/>
      <c r="E166" s="449"/>
      <c r="F166" s="449"/>
      <c r="G166" s="450"/>
      <c r="H166" s="329"/>
    </row>
    <row r="167" spans="1:8">
      <c r="A167" s="329"/>
      <c r="B167" s="448" t="s">
        <v>1084</v>
      </c>
      <c r="C167" s="449"/>
      <c r="D167" s="449"/>
      <c r="E167" s="449"/>
      <c r="F167" s="449"/>
      <c r="G167" s="450"/>
      <c r="H167" s="329"/>
    </row>
    <row r="168" spans="1:8">
      <c r="A168" s="329"/>
      <c r="B168" s="448" t="s">
        <v>1083</v>
      </c>
      <c r="C168" s="449"/>
      <c r="D168" s="449"/>
      <c r="E168" s="449"/>
      <c r="F168" s="449"/>
      <c r="G168" s="450"/>
      <c r="H168" s="329"/>
    </row>
    <row r="169" spans="1:8">
      <c r="A169" s="329"/>
      <c r="B169" s="448" t="s">
        <v>1082</v>
      </c>
      <c r="C169" s="449"/>
      <c r="D169" s="449"/>
      <c r="E169" s="449"/>
      <c r="F169" s="449"/>
      <c r="G169" s="450"/>
      <c r="H169" s="329"/>
    </row>
    <row r="170" spans="1:8">
      <c r="A170" s="329"/>
      <c r="B170" s="460" t="s">
        <v>1081</v>
      </c>
      <c r="C170" s="453"/>
      <c r="D170" s="453"/>
      <c r="E170" s="453"/>
      <c r="F170" s="453"/>
      <c r="G170" s="454"/>
      <c r="H170" s="329"/>
    </row>
    <row r="171" spans="1:8">
      <c r="A171" s="449"/>
      <c r="B171" s="449"/>
      <c r="C171" s="449"/>
      <c r="D171" s="449"/>
      <c r="E171" s="449"/>
      <c r="F171" s="449"/>
      <c r="G171" s="449"/>
      <c r="H171" s="449"/>
    </row>
    <row r="172" spans="1:8" ht="51" customHeight="1">
      <c r="A172" s="461" t="s">
        <v>1190</v>
      </c>
      <c r="B172" s="461"/>
      <c r="C172" s="461"/>
      <c r="D172" s="461"/>
      <c r="E172" s="461"/>
      <c r="F172" s="461"/>
      <c r="G172" s="461"/>
      <c r="H172" s="461"/>
    </row>
    <row r="173" spans="1:8">
      <c r="A173" s="449"/>
      <c r="B173" s="449"/>
      <c r="C173" s="449"/>
      <c r="D173" s="449"/>
      <c r="E173" s="449"/>
      <c r="F173" s="449"/>
      <c r="G173" s="449"/>
      <c r="H173" s="449"/>
    </row>
    <row r="174" spans="1:8">
      <c r="A174" s="449"/>
      <c r="B174" s="449"/>
      <c r="C174" s="449"/>
      <c r="D174" s="449"/>
      <c r="E174" s="449"/>
      <c r="F174" s="449"/>
      <c r="G174" s="449"/>
      <c r="H174" s="449"/>
    </row>
    <row r="175" spans="1:8">
      <c r="A175" s="455" t="s">
        <v>1080</v>
      </c>
      <c r="B175" s="456"/>
      <c r="C175" s="456"/>
      <c r="D175" s="456"/>
      <c r="E175" s="456"/>
      <c r="F175" s="456"/>
      <c r="G175" s="456"/>
      <c r="H175" s="329"/>
    </row>
    <row r="176" spans="1:8">
      <c r="A176" s="449"/>
      <c r="B176" s="449"/>
      <c r="C176" s="449"/>
      <c r="D176" s="449"/>
      <c r="E176" s="449"/>
      <c r="F176" s="449"/>
      <c r="G176" s="449"/>
      <c r="H176" s="449"/>
    </row>
    <row r="177" spans="1:8" ht="25.5" customHeight="1">
      <c r="A177" s="437" t="s">
        <v>1079</v>
      </c>
      <c r="B177" s="437"/>
      <c r="C177" s="437"/>
      <c r="D177" s="437"/>
      <c r="E177" s="437"/>
      <c r="F177" s="437"/>
      <c r="G177" s="437"/>
      <c r="H177" s="437"/>
    </row>
    <row r="178" spans="1:8">
      <c r="A178" s="449"/>
      <c r="B178" s="449"/>
      <c r="C178" s="449"/>
      <c r="D178" s="449"/>
      <c r="E178" s="449"/>
      <c r="F178" s="449"/>
      <c r="G178" s="449"/>
      <c r="H178" s="449"/>
    </row>
    <row r="179" spans="1:8">
      <c r="A179" s="329"/>
      <c r="B179" s="457" t="s">
        <v>1078</v>
      </c>
      <c r="C179" s="458"/>
      <c r="D179" s="458"/>
      <c r="E179" s="458"/>
      <c r="F179" s="458"/>
      <c r="G179" s="459"/>
      <c r="H179" s="329"/>
    </row>
    <row r="180" spans="1:8">
      <c r="A180" s="329"/>
      <c r="B180" s="448" t="s">
        <v>1077</v>
      </c>
      <c r="C180" s="449"/>
      <c r="D180" s="449"/>
      <c r="E180" s="449"/>
      <c r="F180" s="449"/>
      <c r="G180" s="450"/>
      <c r="H180" s="329"/>
    </row>
    <row r="181" spans="1:8">
      <c r="A181" s="329"/>
      <c r="B181" s="448" t="s">
        <v>1076</v>
      </c>
      <c r="C181" s="449"/>
      <c r="D181" s="449"/>
      <c r="E181" s="449"/>
      <c r="F181" s="449"/>
      <c r="G181" s="450"/>
      <c r="H181" s="329"/>
    </row>
    <row r="182" spans="1:8">
      <c r="A182" s="329"/>
      <c r="B182" s="448" t="s">
        <v>1075</v>
      </c>
      <c r="C182" s="449"/>
      <c r="D182" s="449"/>
      <c r="E182" s="449"/>
      <c r="F182" s="449"/>
      <c r="G182" s="450"/>
      <c r="H182" s="329"/>
    </row>
    <row r="183" spans="1:8">
      <c r="A183" s="329"/>
      <c r="B183" s="448" t="s">
        <v>1074</v>
      </c>
      <c r="C183" s="449"/>
      <c r="D183" s="449"/>
      <c r="E183" s="449"/>
      <c r="F183" s="449"/>
      <c r="G183" s="450"/>
      <c r="H183" s="329"/>
    </row>
    <row r="184" spans="1:8">
      <c r="A184" s="329"/>
      <c r="B184" s="448" t="s">
        <v>1073</v>
      </c>
      <c r="C184" s="449"/>
      <c r="D184" s="449"/>
      <c r="E184" s="449"/>
      <c r="F184" s="449"/>
      <c r="G184" s="450"/>
      <c r="H184" s="329"/>
    </row>
    <row r="185" spans="1:8">
      <c r="A185" s="329"/>
      <c r="B185" s="448" t="s">
        <v>1072</v>
      </c>
      <c r="C185" s="449"/>
      <c r="D185" s="449"/>
      <c r="E185" s="449"/>
      <c r="F185" s="449"/>
      <c r="G185" s="450"/>
      <c r="H185" s="329"/>
    </row>
    <row r="186" spans="1:8">
      <c r="A186" s="329"/>
      <c r="B186" s="448" t="s">
        <v>1071</v>
      </c>
      <c r="C186" s="449"/>
      <c r="D186" s="449"/>
      <c r="E186" s="449"/>
      <c r="F186" s="449"/>
      <c r="G186" s="450"/>
      <c r="H186" s="329"/>
    </row>
    <row r="187" spans="1:8">
      <c r="A187" s="329"/>
      <c r="B187" s="448" t="s">
        <v>1070</v>
      </c>
      <c r="C187" s="449"/>
      <c r="D187" s="449"/>
      <c r="E187" s="449"/>
      <c r="F187" s="449"/>
      <c r="G187" s="450"/>
      <c r="H187" s="329"/>
    </row>
    <row r="188" spans="1:8">
      <c r="A188" s="329"/>
      <c r="B188" s="448" t="s">
        <v>1069</v>
      </c>
      <c r="C188" s="449"/>
      <c r="D188" s="449"/>
      <c r="E188" s="449"/>
      <c r="F188" s="449"/>
      <c r="G188" s="450"/>
      <c r="H188" s="329"/>
    </row>
    <row r="189" spans="1:8" ht="24.75" customHeight="1">
      <c r="A189" s="329"/>
      <c r="B189" s="451" t="s">
        <v>1068</v>
      </c>
      <c r="C189" s="449"/>
      <c r="D189" s="449"/>
      <c r="E189" s="449"/>
      <c r="F189" s="449"/>
      <c r="G189" s="450"/>
      <c r="H189" s="329"/>
    </row>
    <row r="190" spans="1:8" ht="24" customHeight="1">
      <c r="A190" s="329"/>
      <c r="B190" s="452" t="s">
        <v>1067</v>
      </c>
      <c r="C190" s="453"/>
      <c r="D190" s="453"/>
      <c r="E190" s="453"/>
      <c r="F190" s="453"/>
      <c r="G190" s="454"/>
      <c r="H190" s="329"/>
    </row>
    <row r="191" spans="1:8">
      <c r="A191" s="449"/>
      <c r="B191" s="449"/>
      <c r="C191" s="449"/>
      <c r="D191" s="449"/>
      <c r="E191" s="449"/>
      <c r="F191" s="449"/>
      <c r="G191" s="449"/>
      <c r="H191" s="449"/>
    </row>
    <row r="192" spans="1:8" ht="38.25" customHeight="1">
      <c r="A192" s="437" t="s">
        <v>1066</v>
      </c>
      <c r="B192" s="437"/>
      <c r="C192" s="437"/>
      <c r="D192" s="437"/>
      <c r="E192" s="437"/>
      <c r="F192" s="437"/>
      <c r="G192" s="437"/>
      <c r="H192" s="437"/>
    </row>
    <row r="193" spans="1:8">
      <c r="A193" s="329"/>
      <c r="B193" s="329"/>
      <c r="C193" s="329"/>
      <c r="D193" s="329"/>
      <c r="E193" s="329"/>
      <c r="F193" s="329"/>
      <c r="G193" s="329"/>
      <c r="H193" s="329"/>
    </row>
    <row r="194" spans="1:8" ht="51" customHeight="1">
      <c r="A194" s="437" t="s">
        <v>1065</v>
      </c>
      <c r="B194" s="437"/>
      <c r="C194" s="437"/>
      <c r="D194" s="437"/>
      <c r="E194" s="437"/>
      <c r="F194" s="437"/>
      <c r="G194" s="437"/>
      <c r="H194" s="437"/>
    </row>
    <row r="195" spans="1:8">
      <c r="A195" s="362"/>
      <c r="B195" s="362"/>
      <c r="C195" s="362"/>
      <c r="D195" s="362"/>
      <c r="E195" s="362"/>
      <c r="F195" s="362"/>
      <c r="G195" s="362"/>
      <c r="H195" s="362"/>
    </row>
    <row r="196" spans="1:8">
      <c r="A196" s="447"/>
      <c r="B196" s="447"/>
      <c r="C196" s="447"/>
      <c r="D196" s="447"/>
      <c r="E196" s="447"/>
      <c r="F196" s="447"/>
      <c r="G196" s="447"/>
      <c r="H196" s="447"/>
    </row>
    <row r="197" spans="1:8">
      <c r="A197" s="362"/>
      <c r="B197" s="362"/>
      <c r="C197" s="362"/>
      <c r="D197" s="362"/>
      <c r="E197" s="362"/>
      <c r="F197" s="362"/>
      <c r="G197" s="362"/>
      <c r="H197" s="362"/>
    </row>
  </sheetData>
  <mergeCells count="183">
    <mergeCell ref="G4:H4"/>
    <mergeCell ref="A6:H6"/>
    <mergeCell ref="A7:H7"/>
    <mergeCell ref="A8:H8"/>
    <mergeCell ref="A9:H9"/>
    <mergeCell ref="A10:H10"/>
    <mergeCell ref="B18:G18"/>
    <mergeCell ref="B19:G19"/>
    <mergeCell ref="B20:G20"/>
    <mergeCell ref="B21:G21"/>
    <mergeCell ref="B22:G22"/>
    <mergeCell ref="B23:G23"/>
    <mergeCell ref="A12:H12"/>
    <mergeCell ref="A13:H13"/>
    <mergeCell ref="B14:G14"/>
    <mergeCell ref="B15:G15"/>
    <mergeCell ref="B16:G16"/>
    <mergeCell ref="B17:G17"/>
    <mergeCell ref="A30:H30"/>
    <mergeCell ref="A31:H31"/>
    <mergeCell ref="A32:H32"/>
    <mergeCell ref="A33:H33"/>
    <mergeCell ref="A34:H34"/>
    <mergeCell ref="A35:H35"/>
    <mergeCell ref="B24:G24"/>
    <mergeCell ref="B25:G25"/>
    <mergeCell ref="B26:G26"/>
    <mergeCell ref="B27:G27"/>
    <mergeCell ref="B28:G28"/>
    <mergeCell ref="A29:H29"/>
    <mergeCell ref="B42:G42"/>
    <mergeCell ref="B43:G43"/>
    <mergeCell ref="B44:G44"/>
    <mergeCell ref="B45:G45"/>
    <mergeCell ref="B46:G46"/>
    <mergeCell ref="B47:G47"/>
    <mergeCell ref="A36:H36"/>
    <mergeCell ref="A37:H37"/>
    <mergeCell ref="A38:H38"/>
    <mergeCell ref="B39:G39"/>
    <mergeCell ref="B40:G40"/>
    <mergeCell ref="B41:G41"/>
    <mergeCell ref="B54:G54"/>
    <mergeCell ref="B56:G56"/>
    <mergeCell ref="A57:H57"/>
    <mergeCell ref="A58:H58"/>
    <mergeCell ref="A59:H59"/>
    <mergeCell ref="A60:H60"/>
    <mergeCell ref="B48:G48"/>
    <mergeCell ref="B49:G49"/>
    <mergeCell ref="B50:G50"/>
    <mergeCell ref="B51:G51"/>
    <mergeCell ref="B52:G52"/>
    <mergeCell ref="B53:G53"/>
    <mergeCell ref="B67:G67"/>
    <mergeCell ref="B68:G68"/>
    <mergeCell ref="B69:G69"/>
    <mergeCell ref="B70:G70"/>
    <mergeCell ref="B71:G71"/>
    <mergeCell ref="B72:G72"/>
    <mergeCell ref="A61:H61"/>
    <mergeCell ref="A62:H62"/>
    <mergeCell ref="B63:G63"/>
    <mergeCell ref="B64:G64"/>
    <mergeCell ref="B65:G65"/>
    <mergeCell ref="B66:G66"/>
    <mergeCell ref="A79:H79"/>
    <mergeCell ref="A80:H80"/>
    <mergeCell ref="A81:H81"/>
    <mergeCell ref="A82:H82"/>
    <mergeCell ref="A83:H83"/>
    <mergeCell ref="A84:H84"/>
    <mergeCell ref="B73:G73"/>
    <mergeCell ref="B74:G74"/>
    <mergeCell ref="B75:G75"/>
    <mergeCell ref="A76:H76"/>
    <mergeCell ref="A77:H77"/>
    <mergeCell ref="A78:H78"/>
    <mergeCell ref="B91:G91"/>
    <mergeCell ref="B92:G92"/>
    <mergeCell ref="B93:G93"/>
    <mergeCell ref="B94:G94"/>
    <mergeCell ref="B95:G95"/>
    <mergeCell ref="B96:G96"/>
    <mergeCell ref="A85:H85"/>
    <mergeCell ref="A86:H86"/>
    <mergeCell ref="A87:H87"/>
    <mergeCell ref="A88:H88"/>
    <mergeCell ref="A89:H89"/>
    <mergeCell ref="A90:H90"/>
    <mergeCell ref="B103:G103"/>
    <mergeCell ref="B104:G104"/>
    <mergeCell ref="B105:G105"/>
    <mergeCell ref="B106:G106"/>
    <mergeCell ref="B107:G107"/>
    <mergeCell ref="A108:H108"/>
    <mergeCell ref="A97:H97"/>
    <mergeCell ref="A98:H98"/>
    <mergeCell ref="A99:H99"/>
    <mergeCell ref="B100:G100"/>
    <mergeCell ref="B101:G101"/>
    <mergeCell ref="B102:G102"/>
    <mergeCell ref="A115:H115"/>
    <mergeCell ref="A116:H116"/>
    <mergeCell ref="B117:G117"/>
    <mergeCell ref="B118:G118"/>
    <mergeCell ref="B119:G119"/>
    <mergeCell ref="B120:G120"/>
    <mergeCell ref="A109:H109"/>
    <mergeCell ref="A110:H110"/>
    <mergeCell ref="B111:G111"/>
    <mergeCell ref="B112:G112"/>
    <mergeCell ref="B113:G113"/>
    <mergeCell ref="A114:H114"/>
    <mergeCell ref="A129:H129"/>
    <mergeCell ref="A130:H130"/>
    <mergeCell ref="B131:G131"/>
    <mergeCell ref="B133:G133"/>
    <mergeCell ref="A134:H134"/>
    <mergeCell ref="A135:H135"/>
    <mergeCell ref="B121:G121"/>
    <mergeCell ref="B122:G122"/>
    <mergeCell ref="B123:G123"/>
    <mergeCell ref="A124:H124"/>
    <mergeCell ref="A125:H125"/>
    <mergeCell ref="B127:G127"/>
    <mergeCell ref="B143:G143"/>
    <mergeCell ref="B145:G145"/>
    <mergeCell ref="A146:H146"/>
    <mergeCell ref="A147:H147"/>
    <mergeCell ref="A148:H148"/>
    <mergeCell ref="A149:H149"/>
    <mergeCell ref="A136:H136"/>
    <mergeCell ref="B137:G137"/>
    <mergeCell ref="A138:H138"/>
    <mergeCell ref="A139:H139"/>
    <mergeCell ref="A140:H140"/>
    <mergeCell ref="B141:G141"/>
    <mergeCell ref="A156:H156"/>
    <mergeCell ref="A157:H157"/>
    <mergeCell ref="A158:H158"/>
    <mergeCell ref="A159:H159"/>
    <mergeCell ref="A160:H160"/>
    <mergeCell ref="A161:H161"/>
    <mergeCell ref="A150:H150"/>
    <mergeCell ref="A151:H151"/>
    <mergeCell ref="A152:H152"/>
    <mergeCell ref="A153:H153"/>
    <mergeCell ref="A154:H154"/>
    <mergeCell ref="A155:H155"/>
    <mergeCell ref="B168:G168"/>
    <mergeCell ref="B169:G169"/>
    <mergeCell ref="B170:G170"/>
    <mergeCell ref="A171:H171"/>
    <mergeCell ref="A172:H172"/>
    <mergeCell ref="A173:H173"/>
    <mergeCell ref="A162:H162"/>
    <mergeCell ref="A163:H163"/>
    <mergeCell ref="A164:H164"/>
    <mergeCell ref="B165:G165"/>
    <mergeCell ref="B166:G166"/>
    <mergeCell ref="B167:G167"/>
    <mergeCell ref="B180:G180"/>
    <mergeCell ref="B181:G181"/>
    <mergeCell ref="B182:G182"/>
    <mergeCell ref="B183:G183"/>
    <mergeCell ref="B184:G184"/>
    <mergeCell ref="B185:G185"/>
    <mergeCell ref="A174:H174"/>
    <mergeCell ref="A175:G175"/>
    <mergeCell ref="A176:H176"/>
    <mergeCell ref="A177:H177"/>
    <mergeCell ref="A178:H178"/>
    <mergeCell ref="B179:G179"/>
    <mergeCell ref="A192:H192"/>
    <mergeCell ref="A194:H194"/>
    <mergeCell ref="A196:H196"/>
    <mergeCell ref="B186:G186"/>
    <mergeCell ref="B187:G187"/>
    <mergeCell ref="B188:G188"/>
    <mergeCell ref="B189:G189"/>
    <mergeCell ref="B190:G190"/>
    <mergeCell ref="A191:H191"/>
  </mergeCells>
  <hyperlinks>
    <hyperlink ref="G4:H4" location="Inhaltsverzeichnis!A1" tooltip="zurück zum Inhalt" display="zurück zum Inhalt" xr:uid="{6C9220E0-B681-4591-92B2-A637B465AB72}"/>
  </hyperlinks>
  <printOptions horizontalCentered="1"/>
  <pageMargins left="0.51181102362204722" right="0.39370078740157483" top="0.39370078740157483" bottom="0.11811023622047245" header="0.31496062992125984" footer="0.31496062992125984"/>
  <pageSetup paperSize="9" scale="71" fitToHeight="3" orientation="portrait" verticalDpi="4294967295" r:id="rId1"/>
  <rowBreaks count="2" manualBreakCount="2">
    <brk id="77" max="7" man="1"/>
    <brk id="149" max="7"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F91B7-1887-48E4-980B-F504977BA9AF}">
  <sheetPr codeName="Tabelle9"/>
  <dimension ref="A1:K63"/>
  <sheetViews>
    <sheetView showGridLines="0" zoomScaleNormal="100" zoomScaleSheetLayoutView="100" workbookViewId="0">
      <selection sqref="A1:G1"/>
    </sheetView>
  </sheetViews>
  <sheetFormatPr baseColWidth="10" defaultRowHeight="16.5" customHeight="1"/>
  <cols>
    <col min="1" max="1" width="2.7109375" style="384" customWidth="1"/>
    <col min="2" max="2" width="17.28515625" style="384" customWidth="1"/>
    <col min="3" max="3" width="23.28515625" style="384" customWidth="1"/>
    <col min="4" max="5" width="11.42578125" style="384" customWidth="1"/>
    <col min="6" max="8" width="11.42578125" style="384"/>
    <col min="9" max="9" width="15.7109375" style="384" customWidth="1"/>
    <col min="10" max="256" width="11.42578125" style="384"/>
    <col min="257" max="257" width="2.7109375" style="384" customWidth="1"/>
    <col min="258" max="258" width="17.28515625" style="384" customWidth="1"/>
    <col min="259" max="259" width="23.28515625" style="384" customWidth="1"/>
    <col min="260" max="261" width="11.42578125" style="384" customWidth="1"/>
    <col min="262" max="264" width="11.42578125" style="384"/>
    <col min="265" max="265" width="15.7109375" style="384" customWidth="1"/>
    <col min="266" max="512" width="11.42578125" style="384"/>
    <col min="513" max="513" width="2.7109375" style="384" customWidth="1"/>
    <col min="514" max="514" width="17.28515625" style="384" customWidth="1"/>
    <col min="515" max="515" width="23.28515625" style="384" customWidth="1"/>
    <col min="516" max="517" width="11.42578125" style="384" customWidth="1"/>
    <col min="518" max="520" width="11.42578125" style="384"/>
    <col min="521" max="521" width="15.7109375" style="384" customWidth="1"/>
    <col min="522" max="768" width="11.42578125" style="384"/>
    <col min="769" max="769" width="2.7109375" style="384" customWidth="1"/>
    <col min="770" max="770" width="17.28515625" style="384" customWidth="1"/>
    <col min="771" max="771" width="23.28515625" style="384" customWidth="1"/>
    <col min="772" max="773" width="11.42578125" style="384" customWidth="1"/>
    <col min="774" max="776" width="11.42578125" style="384"/>
    <col min="777" max="777" width="15.7109375" style="384" customWidth="1"/>
    <col min="778" max="1024" width="11.42578125" style="384"/>
    <col min="1025" max="1025" width="2.7109375" style="384" customWidth="1"/>
    <col min="1026" max="1026" width="17.28515625" style="384" customWidth="1"/>
    <col min="1027" max="1027" width="23.28515625" style="384" customWidth="1"/>
    <col min="1028" max="1029" width="11.42578125" style="384" customWidth="1"/>
    <col min="1030" max="1032" width="11.42578125" style="384"/>
    <col min="1033" max="1033" width="15.7109375" style="384" customWidth="1"/>
    <col min="1034" max="1280" width="11.42578125" style="384"/>
    <col min="1281" max="1281" width="2.7109375" style="384" customWidth="1"/>
    <col min="1282" max="1282" width="17.28515625" style="384" customWidth="1"/>
    <col min="1283" max="1283" width="23.28515625" style="384" customWidth="1"/>
    <col min="1284" max="1285" width="11.42578125" style="384" customWidth="1"/>
    <col min="1286" max="1288" width="11.42578125" style="384"/>
    <col min="1289" max="1289" width="15.7109375" style="384" customWidth="1"/>
    <col min="1290" max="1536" width="11.42578125" style="384"/>
    <col min="1537" max="1537" width="2.7109375" style="384" customWidth="1"/>
    <col min="1538" max="1538" width="17.28515625" style="384" customWidth="1"/>
    <col min="1539" max="1539" width="23.28515625" style="384" customWidth="1"/>
    <col min="1540" max="1541" width="11.42578125" style="384" customWidth="1"/>
    <col min="1542" max="1544" width="11.42578125" style="384"/>
    <col min="1545" max="1545" width="15.7109375" style="384" customWidth="1"/>
    <col min="1546" max="1792" width="11.42578125" style="384"/>
    <col min="1793" max="1793" width="2.7109375" style="384" customWidth="1"/>
    <col min="1794" max="1794" width="17.28515625" style="384" customWidth="1"/>
    <col min="1795" max="1795" width="23.28515625" style="384" customWidth="1"/>
    <col min="1796" max="1797" width="11.42578125" style="384" customWidth="1"/>
    <col min="1798" max="1800" width="11.42578125" style="384"/>
    <col min="1801" max="1801" width="15.7109375" style="384" customWidth="1"/>
    <col min="1802" max="2048" width="11.42578125" style="384"/>
    <col min="2049" max="2049" width="2.7109375" style="384" customWidth="1"/>
    <col min="2050" max="2050" width="17.28515625" style="384" customWidth="1"/>
    <col min="2051" max="2051" width="23.28515625" style="384" customWidth="1"/>
    <col min="2052" max="2053" width="11.42578125" style="384" customWidth="1"/>
    <col min="2054" max="2056" width="11.42578125" style="384"/>
    <col min="2057" max="2057" width="15.7109375" style="384" customWidth="1"/>
    <col min="2058" max="2304" width="11.42578125" style="384"/>
    <col min="2305" max="2305" width="2.7109375" style="384" customWidth="1"/>
    <col min="2306" max="2306" width="17.28515625" style="384" customWidth="1"/>
    <col min="2307" max="2307" width="23.28515625" style="384" customWidth="1"/>
    <col min="2308" max="2309" width="11.42578125" style="384" customWidth="1"/>
    <col min="2310" max="2312" width="11.42578125" style="384"/>
    <col min="2313" max="2313" width="15.7109375" style="384" customWidth="1"/>
    <col min="2314" max="2560" width="11.42578125" style="384"/>
    <col min="2561" max="2561" width="2.7109375" style="384" customWidth="1"/>
    <col min="2562" max="2562" width="17.28515625" style="384" customWidth="1"/>
    <col min="2563" max="2563" width="23.28515625" style="384" customWidth="1"/>
    <col min="2564" max="2565" width="11.42578125" style="384" customWidth="1"/>
    <col min="2566" max="2568" width="11.42578125" style="384"/>
    <col min="2569" max="2569" width="15.7109375" style="384" customWidth="1"/>
    <col min="2570" max="2816" width="11.42578125" style="384"/>
    <col min="2817" max="2817" width="2.7109375" style="384" customWidth="1"/>
    <col min="2818" max="2818" width="17.28515625" style="384" customWidth="1"/>
    <col min="2819" max="2819" width="23.28515625" style="384" customWidth="1"/>
    <col min="2820" max="2821" width="11.42578125" style="384" customWidth="1"/>
    <col min="2822" max="2824" width="11.42578125" style="384"/>
    <col min="2825" max="2825" width="15.7109375" style="384" customWidth="1"/>
    <col min="2826" max="3072" width="11.42578125" style="384"/>
    <col min="3073" max="3073" width="2.7109375" style="384" customWidth="1"/>
    <col min="3074" max="3074" width="17.28515625" style="384" customWidth="1"/>
    <col min="3075" max="3075" width="23.28515625" style="384" customWidth="1"/>
    <col min="3076" max="3077" width="11.42578125" style="384" customWidth="1"/>
    <col min="3078" max="3080" width="11.42578125" style="384"/>
    <col min="3081" max="3081" width="15.7109375" style="384" customWidth="1"/>
    <col min="3082" max="3328" width="11.42578125" style="384"/>
    <col min="3329" max="3329" width="2.7109375" style="384" customWidth="1"/>
    <col min="3330" max="3330" width="17.28515625" style="384" customWidth="1"/>
    <col min="3331" max="3331" width="23.28515625" style="384" customWidth="1"/>
    <col min="3332" max="3333" width="11.42578125" style="384" customWidth="1"/>
    <col min="3334" max="3336" width="11.42578125" style="384"/>
    <col min="3337" max="3337" width="15.7109375" style="384" customWidth="1"/>
    <col min="3338" max="3584" width="11.42578125" style="384"/>
    <col min="3585" max="3585" width="2.7109375" style="384" customWidth="1"/>
    <col min="3586" max="3586" width="17.28515625" style="384" customWidth="1"/>
    <col min="3587" max="3587" width="23.28515625" style="384" customWidth="1"/>
    <col min="3588" max="3589" width="11.42578125" style="384" customWidth="1"/>
    <col min="3590" max="3592" width="11.42578125" style="384"/>
    <col min="3593" max="3593" width="15.7109375" style="384" customWidth="1"/>
    <col min="3594" max="3840" width="11.42578125" style="384"/>
    <col min="3841" max="3841" width="2.7109375" style="384" customWidth="1"/>
    <col min="3842" max="3842" width="17.28515625" style="384" customWidth="1"/>
    <col min="3843" max="3843" width="23.28515625" style="384" customWidth="1"/>
    <col min="3844" max="3845" width="11.42578125" style="384" customWidth="1"/>
    <col min="3846" max="3848" width="11.42578125" style="384"/>
    <col min="3849" max="3849" width="15.7109375" style="384" customWidth="1"/>
    <col min="3850" max="4096" width="11.42578125" style="384"/>
    <col min="4097" max="4097" width="2.7109375" style="384" customWidth="1"/>
    <col min="4098" max="4098" width="17.28515625" style="384" customWidth="1"/>
    <col min="4099" max="4099" width="23.28515625" style="384" customWidth="1"/>
    <col min="4100" max="4101" width="11.42578125" style="384" customWidth="1"/>
    <col min="4102" max="4104" width="11.42578125" style="384"/>
    <col min="4105" max="4105" width="15.7109375" style="384" customWidth="1"/>
    <col min="4106" max="4352" width="11.42578125" style="384"/>
    <col min="4353" max="4353" width="2.7109375" style="384" customWidth="1"/>
    <col min="4354" max="4354" width="17.28515625" style="384" customWidth="1"/>
    <col min="4355" max="4355" width="23.28515625" style="384" customWidth="1"/>
    <col min="4356" max="4357" width="11.42578125" style="384" customWidth="1"/>
    <col min="4358" max="4360" width="11.42578125" style="384"/>
    <col min="4361" max="4361" width="15.7109375" style="384" customWidth="1"/>
    <col min="4362" max="4608" width="11.42578125" style="384"/>
    <col min="4609" max="4609" width="2.7109375" style="384" customWidth="1"/>
    <col min="4610" max="4610" width="17.28515625" style="384" customWidth="1"/>
    <col min="4611" max="4611" width="23.28515625" style="384" customWidth="1"/>
    <col min="4612" max="4613" width="11.42578125" style="384" customWidth="1"/>
    <col min="4614" max="4616" width="11.42578125" style="384"/>
    <col min="4617" max="4617" width="15.7109375" style="384" customWidth="1"/>
    <col min="4618" max="4864" width="11.42578125" style="384"/>
    <col min="4865" max="4865" width="2.7109375" style="384" customWidth="1"/>
    <col min="4866" max="4866" width="17.28515625" style="384" customWidth="1"/>
    <col min="4867" max="4867" width="23.28515625" style="384" customWidth="1"/>
    <col min="4868" max="4869" width="11.42578125" style="384" customWidth="1"/>
    <col min="4870" max="4872" width="11.42578125" style="384"/>
    <col min="4873" max="4873" width="15.7109375" style="384" customWidth="1"/>
    <col min="4874" max="5120" width="11.42578125" style="384"/>
    <col min="5121" max="5121" width="2.7109375" style="384" customWidth="1"/>
    <col min="5122" max="5122" width="17.28515625" style="384" customWidth="1"/>
    <col min="5123" max="5123" width="23.28515625" style="384" customWidth="1"/>
    <col min="5124" max="5125" width="11.42578125" style="384" customWidth="1"/>
    <col min="5126" max="5128" width="11.42578125" style="384"/>
    <col min="5129" max="5129" width="15.7109375" style="384" customWidth="1"/>
    <col min="5130" max="5376" width="11.42578125" style="384"/>
    <col min="5377" max="5377" width="2.7109375" style="384" customWidth="1"/>
    <col min="5378" max="5378" width="17.28515625" style="384" customWidth="1"/>
    <col min="5379" max="5379" width="23.28515625" style="384" customWidth="1"/>
    <col min="5380" max="5381" width="11.42578125" style="384" customWidth="1"/>
    <col min="5382" max="5384" width="11.42578125" style="384"/>
    <col min="5385" max="5385" width="15.7109375" style="384" customWidth="1"/>
    <col min="5386" max="5632" width="11.42578125" style="384"/>
    <col min="5633" max="5633" width="2.7109375" style="384" customWidth="1"/>
    <col min="5634" max="5634" width="17.28515625" style="384" customWidth="1"/>
    <col min="5635" max="5635" width="23.28515625" style="384" customWidth="1"/>
    <col min="5636" max="5637" width="11.42578125" style="384" customWidth="1"/>
    <col min="5638" max="5640" width="11.42578125" style="384"/>
    <col min="5641" max="5641" width="15.7109375" style="384" customWidth="1"/>
    <col min="5642" max="5888" width="11.42578125" style="384"/>
    <col min="5889" max="5889" width="2.7109375" style="384" customWidth="1"/>
    <col min="5890" max="5890" width="17.28515625" style="384" customWidth="1"/>
    <col min="5891" max="5891" width="23.28515625" style="384" customWidth="1"/>
    <col min="5892" max="5893" width="11.42578125" style="384" customWidth="1"/>
    <col min="5894" max="5896" width="11.42578125" style="384"/>
    <col min="5897" max="5897" width="15.7109375" style="384" customWidth="1"/>
    <col min="5898" max="6144" width="11.42578125" style="384"/>
    <col min="6145" max="6145" width="2.7109375" style="384" customWidth="1"/>
    <col min="6146" max="6146" width="17.28515625" style="384" customWidth="1"/>
    <col min="6147" max="6147" width="23.28515625" style="384" customWidth="1"/>
    <col min="6148" max="6149" width="11.42578125" style="384" customWidth="1"/>
    <col min="6150" max="6152" width="11.42578125" style="384"/>
    <col min="6153" max="6153" width="15.7109375" style="384" customWidth="1"/>
    <col min="6154" max="6400" width="11.42578125" style="384"/>
    <col min="6401" max="6401" width="2.7109375" style="384" customWidth="1"/>
    <col min="6402" max="6402" width="17.28515625" style="384" customWidth="1"/>
    <col min="6403" max="6403" width="23.28515625" style="384" customWidth="1"/>
    <col min="6404" max="6405" width="11.42578125" style="384" customWidth="1"/>
    <col min="6406" max="6408" width="11.42578125" style="384"/>
    <col min="6409" max="6409" width="15.7109375" style="384" customWidth="1"/>
    <col min="6410" max="6656" width="11.42578125" style="384"/>
    <col min="6657" max="6657" width="2.7109375" style="384" customWidth="1"/>
    <col min="6658" max="6658" width="17.28515625" style="384" customWidth="1"/>
    <col min="6659" max="6659" width="23.28515625" style="384" customWidth="1"/>
    <col min="6660" max="6661" width="11.42578125" style="384" customWidth="1"/>
    <col min="6662" max="6664" width="11.42578125" style="384"/>
    <col min="6665" max="6665" width="15.7109375" style="384" customWidth="1"/>
    <col min="6666" max="6912" width="11.42578125" style="384"/>
    <col min="6913" max="6913" width="2.7109375" style="384" customWidth="1"/>
    <col min="6914" max="6914" width="17.28515625" style="384" customWidth="1"/>
    <col min="6915" max="6915" width="23.28515625" style="384" customWidth="1"/>
    <col min="6916" max="6917" width="11.42578125" style="384" customWidth="1"/>
    <col min="6918" max="6920" width="11.42578125" style="384"/>
    <col min="6921" max="6921" width="15.7109375" style="384" customWidth="1"/>
    <col min="6922" max="7168" width="11.42578125" style="384"/>
    <col min="7169" max="7169" width="2.7109375" style="384" customWidth="1"/>
    <col min="7170" max="7170" width="17.28515625" style="384" customWidth="1"/>
    <col min="7171" max="7171" width="23.28515625" style="384" customWidth="1"/>
    <col min="7172" max="7173" width="11.42578125" style="384" customWidth="1"/>
    <col min="7174" max="7176" width="11.42578125" style="384"/>
    <col min="7177" max="7177" width="15.7109375" style="384" customWidth="1"/>
    <col min="7178" max="7424" width="11.42578125" style="384"/>
    <col min="7425" max="7425" width="2.7109375" style="384" customWidth="1"/>
    <col min="7426" max="7426" width="17.28515625" style="384" customWidth="1"/>
    <col min="7427" max="7427" width="23.28515625" style="384" customWidth="1"/>
    <col min="7428" max="7429" width="11.42578125" style="384" customWidth="1"/>
    <col min="7430" max="7432" width="11.42578125" style="384"/>
    <col min="7433" max="7433" width="15.7109375" style="384" customWidth="1"/>
    <col min="7434" max="7680" width="11.42578125" style="384"/>
    <col min="7681" max="7681" width="2.7109375" style="384" customWidth="1"/>
    <col min="7682" max="7682" width="17.28515625" style="384" customWidth="1"/>
    <col min="7683" max="7683" width="23.28515625" style="384" customWidth="1"/>
    <col min="7684" max="7685" width="11.42578125" style="384" customWidth="1"/>
    <col min="7686" max="7688" width="11.42578125" style="384"/>
    <col min="7689" max="7689" width="15.7109375" style="384" customWidth="1"/>
    <col min="7690" max="7936" width="11.42578125" style="384"/>
    <col min="7937" max="7937" width="2.7109375" style="384" customWidth="1"/>
    <col min="7938" max="7938" width="17.28515625" style="384" customWidth="1"/>
    <col min="7939" max="7939" width="23.28515625" style="384" customWidth="1"/>
    <col min="7940" max="7941" width="11.42578125" style="384" customWidth="1"/>
    <col min="7942" max="7944" width="11.42578125" style="384"/>
    <col min="7945" max="7945" width="15.7109375" style="384" customWidth="1"/>
    <col min="7946" max="8192" width="11.42578125" style="384"/>
    <col min="8193" max="8193" width="2.7109375" style="384" customWidth="1"/>
    <col min="8194" max="8194" width="17.28515625" style="384" customWidth="1"/>
    <col min="8195" max="8195" width="23.28515625" style="384" customWidth="1"/>
    <col min="8196" max="8197" width="11.42578125" style="384" customWidth="1"/>
    <col min="8198" max="8200" width="11.42578125" style="384"/>
    <col min="8201" max="8201" width="15.7109375" style="384" customWidth="1"/>
    <col min="8202" max="8448" width="11.42578125" style="384"/>
    <col min="8449" max="8449" width="2.7109375" style="384" customWidth="1"/>
    <col min="8450" max="8450" width="17.28515625" style="384" customWidth="1"/>
    <col min="8451" max="8451" width="23.28515625" style="384" customWidth="1"/>
    <col min="8452" max="8453" width="11.42578125" style="384" customWidth="1"/>
    <col min="8454" max="8456" width="11.42578125" style="384"/>
    <col min="8457" max="8457" width="15.7109375" style="384" customWidth="1"/>
    <col min="8458" max="8704" width="11.42578125" style="384"/>
    <col min="8705" max="8705" width="2.7109375" style="384" customWidth="1"/>
    <col min="8706" max="8706" width="17.28515625" style="384" customWidth="1"/>
    <col min="8707" max="8707" width="23.28515625" style="384" customWidth="1"/>
    <col min="8708" max="8709" width="11.42578125" style="384" customWidth="1"/>
    <col min="8710" max="8712" width="11.42578125" style="384"/>
    <col min="8713" max="8713" width="15.7109375" style="384" customWidth="1"/>
    <col min="8714" max="8960" width="11.42578125" style="384"/>
    <col min="8961" max="8961" width="2.7109375" style="384" customWidth="1"/>
    <col min="8962" max="8962" width="17.28515625" style="384" customWidth="1"/>
    <col min="8963" max="8963" width="23.28515625" style="384" customWidth="1"/>
    <col min="8964" max="8965" width="11.42578125" style="384" customWidth="1"/>
    <col min="8966" max="8968" width="11.42578125" style="384"/>
    <col min="8969" max="8969" width="15.7109375" style="384" customWidth="1"/>
    <col min="8970" max="9216" width="11.42578125" style="384"/>
    <col min="9217" max="9217" width="2.7109375" style="384" customWidth="1"/>
    <col min="9218" max="9218" width="17.28515625" style="384" customWidth="1"/>
    <col min="9219" max="9219" width="23.28515625" style="384" customWidth="1"/>
    <col min="9220" max="9221" width="11.42578125" style="384" customWidth="1"/>
    <col min="9222" max="9224" width="11.42578125" style="384"/>
    <col min="9225" max="9225" width="15.7109375" style="384" customWidth="1"/>
    <col min="9226" max="9472" width="11.42578125" style="384"/>
    <col min="9473" max="9473" width="2.7109375" style="384" customWidth="1"/>
    <col min="9474" max="9474" width="17.28515625" style="384" customWidth="1"/>
    <col min="9475" max="9475" width="23.28515625" style="384" customWidth="1"/>
    <col min="9476" max="9477" width="11.42578125" style="384" customWidth="1"/>
    <col min="9478" max="9480" width="11.42578125" style="384"/>
    <col min="9481" max="9481" width="15.7109375" style="384" customWidth="1"/>
    <col min="9482" max="9728" width="11.42578125" style="384"/>
    <col min="9729" max="9729" width="2.7109375" style="384" customWidth="1"/>
    <col min="9730" max="9730" width="17.28515625" style="384" customWidth="1"/>
    <col min="9731" max="9731" width="23.28515625" style="384" customWidth="1"/>
    <col min="9732" max="9733" width="11.42578125" style="384" customWidth="1"/>
    <col min="9734" max="9736" width="11.42578125" style="384"/>
    <col min="9737" max="9737" width="15.7109375" style="384" customWidth="1"/>
    <col min="9738" max="9984" width="11.42578125" style="384"/>
    <col min="9985" max="9985" width="2.7109375" style="384" customWidth="1"/>
    <col min="9986" max="9986" width="17.28515625" style="384" customWidth="1"/>
    <col min="9987" max="9987" width="23.28515625" style="384" customWidth="1"/>
    <col min="9988" max="9989" width="11.42578125" style="384" customWidth="1"/>
    <col min="9990" max="9992" width="11.42578125" style="384"/>
    <col min="9993" max="9993" width="15.7109375" style="384" customWidth="1"/>
    <col min="9994" max="10240" width="11.42578125" style="384"/>
    <col min="10241" max="10241" width="2.7109375" style="384" customWidth="1"/>
    <col min="10242" max="10242" width="17.28515625" style="384" customWidth="1"/>
    <col min="10243" max="10243" width="23.28515625" style="384" customWidth="1"/>
    <col min="10244" max="10245" width="11.42578125" style="384" customWidth="1"/>
    <col min="10246" max="10248" width="11.42578125" style="384"/>
    <col min="10249" max="10249" width="15.7109375" style="384" customWidth="1"/>
    <col min="10250" max="10496" width="11.42578125" style="384"/>
    <col min="10497" max="10497" width="2.7109375" style="384" customWidth="1"/>
    <col min="10498" max="10498" width="17.28515625" style="384" customWidth="1"/>
    <col min="10499" max="10499" width="23.28515625" style="384" customWidth="1"/>
    <col min="10500" max="10501" width="11.42578125" style="384" customWidth="1"/>
    <col min="10502" max="10504" width="11.42578125" style="384"/>
    <col min="10505" max="10505" width="15.7109375" style="384" customWidth="1"/>
    <col min="10506" max="10752" width="11.42578125" style="384"/>
    <col min="10753" max="10753" width="2.7109375" style="384" customWidth="1"/>
    <col min="10754" max="10754" width="17.28515625" style="384" customWidth="1"/>
    <col min="10755" max="10755" width="23.28515625" style="384" customWidth="1"/>
    <col min="10756" max="10757" width="11.42578125" style="384" customWidth="1"/>
    <col min="10758" max="10760" width="11.42578125" style="384"/>
    <col min="10761" max="10761" width="15.7109375" style="384" customWidth="1"/>
    <col min="10762" max="11008" width="11.42578125" style="384"/>
    <col min="11009" max="11009" width="2.7109375" style="384" customWidth="1"/>
    <col min="11010" max="11010" width="17.28515625" style="384" customWidth="1"/>
    <col min="11011" max="11011" width="23.28515625" style="384" customWidth="1"/>
    <col min="11012" max="11013" width="11.42578125" style="384" customWidth="1"/>
    <col min="11014" max="11016" width="11.42578125" style="384"/>
    <col min="11017" max="11017" width="15.7109375" style="384" customWidth="1"/>
    <col min="11018" max="11264" width="11.42578125" style="384"/>
    <col min="11265" max="11265" width="2.7109375" style="384" customWidth="1"/>
    <col min="11266" max="11266" width="17.28515625" style="384" customWidth="1"/>
    <col min="11267" max="11267" width="23.28515625" style="384" customWidth="1"/>
    <col min="11268" max="11269" width="11.42578125" style="384" customWidth="1"/>
    <col min="11270" max="11272" width="11.42578125" style="384"/>
    <col min="11273" max="11273" width="15.7109375" style="384" customWidth="1"/>
    <col min="11274" max="11520" width="11.42578125" style="384"/>
    <col min="11521" max="11521" width="2.7109375" style="384" customWidth="1"/>
    <col min="11522" max="11522" width="17.28515625" style="384" customWidth="1"/>
    <col min="11523" max="11523" width="23.28515625" style="384" customWidth="1"/>
    <col min="11524" max="11525" width="11.42578125" style="384" customWidth="1"/>
    <col min="11526" max="11528" width="11.42578125" style="384"/>
    <col min="11529" max="11529" width="15.7109375" style="384" customWidth="1"/>
    <col min="11530" max="11776" width="11.42578125" style="384"/>
    <col min="11777" max="11777" width="2.7109375" style="384" customWidth="1"/>
    <col min="11778" max="11778" width="17.28515625" style="384" customWidth="1"/>
    <col min="11779" max="11779" width="23.28515625" style="384" customWidth="1"/>
    <col min="11780" max="11781" width="11.42578125" style="384" customWidth="1"/>
    <col min="11782" max="11784" width="11.42578125" style="384"/>
    <col min="11785" max="11785" width="15.7109375" style="384" customWidth="1"/>
    <col min="11786" max="12032" width="11.42578125" style="384"/>
    <col min="12033" max="12033" width="2.7109375" style="384" customWidth="1"/>
    <col min="12034" max="12034" width="17.28515625" style="384" customWidth="1"/>
    <col min="12035" max="12035" width="23.28515625" style="384" customWidth="1"/>
    <col min="12036" max="12037" width="11.42578125" style="384" customWidth="1"/>
    <col min="12038" max="12040" width="11.42578125" style="384"/>
    <col min="12041" max="12041" width="15.7109375" style="384" customWidth="1"/>
    <col min="12042" max="12288" width="11.42578125" style="384"/>
    <col min="12289" max="12289" width="2.7109375" style="384" customWidth="1"/>
    <col min="12290" max="12290" width="17.28515625" style="384" customWidth="1"/>
    <col min="12291" max="12291" width="23.28515625" style="384" customWidth="1"/>
    <col min="12292" max="12293" width="11.42578125" style="384" customWidth="1"/>
    <col min="12294" max="12296" width="11.42578125" style="384"/>
    <col min="12297" max="12297" width="15.7109375" style="384" customWidth="1"/>
    <col min="12298" max="12544" width="11.42578125" style="384"/>
    <col min="12545" max="12545" width="2.7109375" style="384" customWidth="1"/>
    <col min="12546" max="12546" width="17.28515625" style="384" customWidth="1"/>
    <col min="12547" max="12547" width="23.28515625" style="384" customWidth="1"/>
    <col min="12548" max="12549" width="11.42578125" style="384" customWidth="1"/>
    <col min="12550" max="12552" width="11.42578125" style="384"/>
    <col min="12553" max="12553" width="15.7109375" style="384" customWidth="1"/>
    <col min="12554" max="12800" width="11.42578125" style="384"/>
    <col min="12801" max="12801" width="2.7109375" style="384" customWidth="1"/>
    <col min="12802" max="12802" width="17.28515625" style="384" customWidth="1"/>
    <col min="12803" max="12803" width="23.28515625" style="384" customWidth="1"/>
    <col min="12804" max="12805" width="11.42578125" style="384" customWidth="1"/>
    <col min="12806" max="12808" width="11.42578125" style="384"/>
    <col min="12809" max="12809" width="15.7109375" style="384" customWidth="1"/>
    <col min="12810" max="13056" width="11.42578125" style="384"/>
    <col min="13057" max="13057" width="2.7109375" style="384" customWidth="1"/>
    <col min="13058" max="13058" width="17.28515625" style="384" customWidth="1"/>
    <col min="13059" max="13059" width="23.28515625" style="384" customWidth="1"/>
    <col min="13060" max="13061" width="11.42578125" style="384" customWidth="1"/>
    <col min="13062" max="13064" width="11.42578125" style="384"/>
    <col min="13065" max="13065" width="15.7109375" style="384" customWidth="1"/>
    <col min="13066" max="13312" width="11.42578125" style="384"/>
    <col min="13313" max="13313" width="2.7109375" style="384" customWidth="1"/>
    <col min="13314" max="13314" width="17.28515625" style="384" customWidth="1"/>
    <col min="13315" max="13315" width="23.28515625" style="384" customWidth="1"/>
    <col min="13316" max="13317" width="11.42578125" style="384" customWidth="1"/>
    <col min="13318" max="13320" width="11.42578125" style="384"/>
    <col min="13321" max="13321" width="15.7109375" style="384" customWidth="1"/>
    <col min="13322" max="13568" width="11.42578125" style="384"/>
    <col min="13569" max="13569" width="2.7109375" style="384" customWidth="1"/>
    <col min="13570" max="13570" width="17.28515625" style="384" customWidth="1"/>
    <col min="13571" max="13571" width="23.28515625" style="384" customWidth="1"/>
    <col min="13572" max="13573" width="11.42578125" style="384" customWidth="1"/>
    <col min="13574" max="13576" width="11.42578125" style="384"/>
    <col min="13577" max="13577" width="15.7109375" style="384" customWidth="1"/>
    <col min="13578" max="13824" width="11.42578125" style="384"/>
    <col min="13825" max="13825" width="2.7109375" style="384" customWidth="1"/>
    <col min="13826" max="13826" width="17.28515625" style="384" customWidth="1"/>
    <col min="13827" max="13827" width="23.28515625" style="384" customWidth="1"/>
    <col min="13828" max="13829" width="11.42578125" style="384" customWidth="1"/>
    <col min="13830" max="13832" width="11.42578125" style="384"/>
    <col min="13833" max="13833" width="15.7109375" style="384" customWidth="1"/>
    <col min="13834" max="14080" width="11.42578125" style="384"/>
    <col min="14081" max="14081" width="2.7109375" style="384" customWidth="1"/>
    <col min="14082" max="14082" width="17.28515625" style="384" customWidth="1"/>
    <col min="14083" max="14083" width="23.28515625" style="384" customWidth="1"/>
    <col min="14084" max="14085" width="11.42578125" style="384" customWidth="1"/>
    <col min="14086" max="14088" width="11.42578125" style="384"/>
    <col min="14089" max="14089" width="15.7109375" style="384" customWidth="1"/>
    <col min="14090" max="14336" width="11.42578125" style="384"/>
    <col min="14337" max="14337" width="2.7109375" style="384" customWidth="1"/>
    <col min="14338" max="14338" width="17.28515625" style="384" customWidth="1"/>
    <col min="14339" max="14339" width="23.28515625" style="384" customWidth="1"/>
    <col min="14340" max="14341" width="11.42578125" style="384" customWidth="1"/>
    <col min="14342" max="14344" width="11.42578125" style="384"/>
    <col min="14345" max="14345" width="15.7109375" style="384" customWidth="1"/>
    <col min="14346" max="14592" width="11.42578125" style="384"/>
    <col min="14593" max="14593" width="2.7109375" style="384" customWidth="1"/>
    <col min="14594" max="14594" width="17.28515625" style="384" customWidth="1"/>
    <col min="14595" max="14595" width="23.28515625" style="384" customWidth="1"/>
    <col min="14596" max="14597" width="11.42578125" style="384" customWidth="1"/>
    <col min="14598" max="14600" width="11.42578125" style="384"/>
    <col min="14601" max="14601" width="15.7109375" style="384" customWidth="1"/>
    <col min="14602" max="14848" width="11.42578125" style="384"/>
    <col min="14849" max="14849" width="2.7109375" style="384" customWidth="1"/>
    <col min="14850" max="14850" width="17.28515625" style="384" customWidth="1"/>
    <col min="14851" max="14851" width="23.28515625" style="384" customWidth="1"/>
    <col min="14852" max="14853" width="11.42578125" style="384" customWidth="1"/>
    <col min="14854" max="14856" width="11.42578125" style="384"/>
    <col min="14857" max="14857" width="15.7109375" style="384" customWidth="1"/>
    <col min="14858" max="15104" width="11.42578125" style="384"/>
    <col min="15105" max="15105" width="2.7109375" style="384" customWidth="1"/>
    <col min="15106" max="15106" width="17.28515625" style="384" customWidth="1"/>
    <col min="15107" max="15107" width="23.28515625" style="384" customWidth="1"/>
    <col min="15108" max="15109" width="11.42578125" style="384" customWidth="1"/>
    <col min="15110" max="15112" width="11.42578125" style="384"/>
    <col min="15113" max="15113" width="15.7109375" style="384" customWidth="1"/>
    <col min="15114" max="15360" width="11.42578125" style="384"/>
    <col min="15361" max="15361" width="2.7109375" style="384" customWidth="1"/>
    <col min="15362" max="15362" width="17.28515625" style="384" customWidth="1"/>
    <col min="15363" max="15363" width="23.28515625" style="384" customWidth="1"/>
    <col min="15364" max="15365" width="11.42578125" style="384" customWidth="1"/>
    <col min="15366" max="15368" width="11.42578125" style="384"/>
    <col min="15369" max="15369" width="15.7109375" style="384" customWidth="1"/>
    <col min="15370" max="15616" width="11.42578125" style="384"/>
    <col min="15617" max="15617" width="2.7109375" style="384" customWidth="1"/>
    <col min="15618" max="15618" width="17.28515625" style="384" customWidth="1"/>
    <col min="15619" max="15619" width="23.28515625" style="384" customWidth="1"/>
    <col min="15620" max="15621" width="11.42578125" style="384" customWidth="1"/>
    <col min="15622" max="15624" width="11.42578125" style="384"/>
    <col min="15625" max="15625" width="15.7109375" style="384" customWidth="1"/>
    <col min="15626" max="15872" width="11.42578125" style="384"/>
    <col min="15873" max="15873" width="2.7109375" style="384" customWidth="1"/>
    <col min="15874" max="15874" width="17.28515625" style="384" customWidth="1"/>
    <col min="15875" max="15875" width="23.28515625" style="384" customWidth="1"/>
    <col min="15876" max="15877" width="11.42578125" style="384" customWidth="1"/>
    <col min="15878" max="15880" width="11.42578125" style="384"/>
    <col min="15881" max="15881" width="15.7109375" style="384" customWidth="1"/>
    <col min="15882" max="16128" width="11.42578125" style="384"/>
    <col min="16129" max="16129" width="2.7109375" style="384" customWidth="1"/>
    <col min="16130" max="16130" width="17.28515625" style="384" customWidth="1"/>
    <col min="16131" max="16131" width="23.28515625" style="384" customWidth="1"/>
    <col min="16132" max="16133" width="11.42578125" style="384" customWidth="1"/>
    <col min="16134" max="16136" width="11.42578125" style="384"/>
    <col min="16137" max="16137" width="15.7109375" style="384" customWidth="1"/>
    <col min="16138" max="16384" width="11.42578125" style="384"/>
  </cols>
  <sheetData>
    <row r="1" spans="1:11" s="363" customFormat="1" ht="32.25" customHeight="1">
      <c r="A1" s="525"/>
      <c r="B1" s="525"/>
      <c r="C1" s="525"/>
      <c r="D1" s="525"/>
      <c r="E1" s="525"/>
      <c r="F1" s="525"/>
      <c r="G1" s="525"/>
      <c r="I1" s="84"/>
    </row>
    <row r="2" spans="1:11" s="365" customFormat="1" ht="13.15" customHeight="1">
      <c r="A2" s="364"/>
      <c r="G2" s="366" t="s">
        <v>1210</v>
      </c>
      <c r="H2" s="367"/>
      <c r="I2" s="367"/>
      <c r="K2" s="84"/>
    </row>
    <row r="3" spans="1:11" s="363" customFormat="1" ht="19.5" customHeight="1">
      <c r="A3" s="368" t="s">
        <v>709</v>
      </c>
      <c r="D3" s="369"/>
    </row>
    <row r="4" spans="1:11" s="365" customFormat="1" ht="19.5" customHeight="1">
      <c r="A4" s="364"/>
      <c r="G4" s="370"/>
      <c r="H4" s="367"/>
      <c r="I4" s="367"/>
    </row>
    <row r="5" spans="1:11" s="365" customFormat="1" ht="13.15" customHeight="1">
      <c r="A5" s="364"/>
      <c r="G5" s="370"/>
      <c r="H5" s="367"/>
      <c r="I5" s="367"/>
    </row>
    <row r="6" spans="1:11" s="365" customFormat="1" ht="13.15" customHeight="1">
      <c r="A6" s="526" t="s">
        <v>1211</v>
      </c>
      <c r="B6" s="527"/>
      <c r="C6" s="527"/>
      <c r="D6" s="527"/>
      <c r="E6" s="527"/>
      <c r="F6" s="526"/>
      <c r="G6" s="526"/>
      <c r="H6" s="367"/>
      <c r="I6" s="367"/>
    </row>
    <row r="7" spans="1:11" s="365" customFormat="1" ht="13.15" customHeight="1">
      <c r="A7" s="364"/>
      <c r="G7" s="370"/>
      <c r="H7" s="367"/>
      <c r="I7" s="367"/>
    </row>
    <row r="8" spans="1:11" s="370" customFormat="1" ht="13.15" customHeight="1">
      <c r="B8" s="371" t="s">
        <v>988</v>
      </c>
      <c r="C8" s="127"/>
      <c r="D8" s="127"/>
      <c r="E8" s="372"/>
      <c r="F8" s="373"/>
      <c r="G8" s="373"/>
      <c r="H8" s="367"/>
      <c r="I8" s="367"/>
    </row>
    <row r="9" spans="1:11" s="370" customFormat="1" ht="13.15" customHeight="1">
      <c r="A9" s="374"/>
      <c r="B9" s="523" t="s">
        <v>989</v>
      </c>
      <c r="C9" s="523"/>
      <c r="D9" s="528"/>
      <c r="E9" s="375"/>
      <c r="F9" s="375"/>
      <c r="H9" s="367"/>
      <c r="I9" s="367"/>
    </row>
    <row r="10" spans="1:11" s="370" customFormat="1" ht="13.15" customHeight="1">
      <c r="A10" s="374"/>
      <c r="B10" s="529" t="s">
        <v>965</v>
      </c>
      <c r="C10" s="529"/>
      <c r="D10" s="376"/>
      <c r="E10" s="377"/>
      <c r="G10" s="378"/>
      <c r="H10" s="367"/>
      <c r="I10" s="367"/>
    </row>
    <row r="11" spans="1:11" s="370" customFormat="1" ht="13.15" customHeight="1">
      <c r="A11" s="374"/>
      <c r="B11" s="522" t="s">
        <v>710</v>
      </c>
      <c r="C11" s="523"/>
      <c r="D11" s="376"/>
      <c r="E11" s="377"/>
      <c r="G11" s="378"/>
      <c r="H11" s="379"/>
      <c r="I11" s="379"/>
    </row>
    <row r="12" spans="1:11" s="370" customFormat="1" ht="13.15" customHeight="1">
      <c r="A12" s="374"/>
      <c r="B12" s="516" t="s">
        <v>968</v>
      </c>
      <c r="C12" s="516"/>
      <c r="D12" s="376"/>
      <c r="E12" s="377"/>
      <c r="G12" s="378"/>
      <c r="H12" s="379"/>
      <c r="I12" s="379"/>
    </row>
    <row r="13" spans="1:11" s="370" customFormat="1" ht="13.15" customHeight="1">
      <c r="A13" s="374"/>
      <c r="B13" s="516" t="s">
        <v>966</v>
      </c>
      <c r="C13" s="516"/>
      <c r="D13" s="376"/>
      <c r="E13" s="377"/>
      <c r="G13" s="378"/>
    </row>
    <row r="14" spans="1:11" s="370" customFormat="1" ht="13.15" customHeight="1">
      <c r="A14" s="374"/>
      <c r="B14" s="516" t="s">
        <v>990</v>
      </c>
      <c r="C14" s="516"/>
      <c r="D14" s="376"/>
      <c r="E14" s="377"/>
      <c r="G14" s="378"/>
    </row>
    <row r="15" spans="1:11" s="370" customFormat="1" ht="13.15" customHeight="1">
      <c r="A15" s="374"/>
      <c r="B15" s="516" t="s">
        <v>711</v>
      </c>
      <c r="C15" s="516"/>
      <c r="D15" s="376"/>
      <c r="E15" s="377"/>
      <c r="G15" s="378"/>
    </row>
    <row r="16" spans="1:11" s="370" customFormat="1" ht="13.15" customHeight="1">
      <c r="A16" s="374"/>
      <c r="B16" s="521" t="s">
        <v>712</v>
      </c>
      <c r="C16" s="521"/>
      <c r="D16" s="376"/>
      <c r="E16" s="377"/>
      <c r="G16" s="378"/>
    </row>
    <row r="17" spans="1:7" s="370" customFormat="1" ht="13.15" customHeight="1">
      <c r="A17" s="374"/>
      <c r="B17" s="521"/>
      <c r="C17" s="521"/>
      <c r="D17" s="376"/>
      <c r="E17" s="377"/>
      <c r="G17" s="378"/>
    </row>
    <row r="18" spans="1:7" s="370" customFormat="1" ht="13.15" customHeight="1">
      <c r="B18" s="371" t="s">
        <v>991</v>
      </c>
      <c r="C18" s="128"/>
      <c r="D18" s="376"/>
      <c r="E18" s="377"/>
      <c r="G18" s="378"/>
    </row>
    <row r="19" spans="1:7" s="370" customFormat="1" ht="13.15" customHeight="1">
      <c r="A19" s="374"/>
      <c r="B19" s="522" t="s">
        <v>927</v>
      </c>
      <c r="C19" s="523"/>
      <c r="D19" s="376"/>
      <c r="E19" s="377"/>
      <c r="G19" s="378"/>
    </row>
    <row r="20" spans="1:7" s="370" customFormat="1" ht="13.15" customHeight="1">
      <c r="A20" s="374"/>
      <c r="B20" s="521" t="s">
        <v>967</v>
      </c>
      <c r="C20" s="521"/>
      <c r="D20" s="376"/>
      <c r="E20" s="377"/>
      <c r="G20" s="378"/>
    </row>
    <row r="21" spans="1:7" s="370" customFormat="1" ht="13.15" customHeight="1">
      <c r="A21" s="374"/>
      <c r="B21" s="516" t="s">
        <v>992</v>
      </c>
      <c r="C21" s="516"/>
      <c r="D21" s="376"/>
      <c r="E21" s="377"/>
      <c r="G21" s="378"/>
    </row>
    <row r="22" spans="1:7" s="370" customFormat="1" ht="13.15" customHeight="1">
      <c r="A22" s="374"/>
      <c r="B22" s="516" t="s">
        <v>993</v>
      </c>
      <c r="C22" s="516"/>
      <c r="D22" s="376"/>
      <c r="E22" s="377"/>
      <c r="G22" s="378"/>
    </row>
    <row r="23" spans="1:7" s="370" customFormat="1" ht="13.15" customHeight="1">
      <c r="A23" s="374"/>
      <c r="B23" s="516" t="s">
        <v>994</v>
      </c>
      <c r="C23" s="516"/>
      <c r="D23" s="376"/>
      <c r="E23" s="377"/>
      <c r="G23" s="378"/>
    </row>
    <row r="24" spans="1:7" s="370" customFormat="1" ht="13.15" customHeight="1">
      <c r="A24" s="374"/>
      <c r="B24" s="516" t="s">
        <v>995</v>
      </c>
      <c r="C24" s="516"/>
      <c r="D24" s="376"/>
      <c r="E24" s="377"/>
      <c r="G24" s="378"/>
    </row>
    <row r="25" spans="1:7" s="370" customFormat="1" ht="13.15" customHeight="1">
      <c r="A25" s="374"/>
      <c r="B25" s="516" t="s">
        <v>969</v>
      </c>
      <c r="C25" s="516"/>
      <c r="D25" s="376"/>
      <c r="E25" s="377"/>
      <c r="G25" s="365"/>
    </row>
    <row r="26" spans="1:7" s="370" customFormat="1" ht="13.15" customHeight="1">
      <c r="A26" s="374"/>
      <c r="B26" s="522" t="s">
        <v>918</v>
      </c>
      <c r="C26" s="523"/>
      <c r="D26" s="376"/>
      <c r="E26" s="377"/>
      <c r="G26" s="365"/>
    </row>
    <row r="27" spans="1:7" s="365" customFormat="1" ht="13.15" customHeight="1">
      <c r="A27" s="134" t="s">
        <v>1003</v>
      </c>
      <c r="B27" s="522" t="s">
        <v>1003</v>
      </c>
      <c r="C27" s="523"/>
      <c r="D27" s="376"/>
      <c r="E27" s="377"/>
      <c r="F27" s="370"/>
    </row>
    <row r="28" spans="1:7" s="365" customFormat="1" ht="13.15" customHeight="1">
      <c r="A28" s="374"/>
      <c r="B28" s="522" t="s">
        <v>926</v>
      </c>
      <c r="C28" s="523"/>
      <c r="D28" s="376"/>
      <c r="E28" s="377"/>
      <c r="F28" s="370"/>
    </row>
    <row r="29" spans="1:7" s="365" customFormat="1" ht="13.15" customHeight="1">
      <c r="A29" s="374"/>
      <c r="B29" s="516" t="s">
        <v>996</v>
      </c>
      <c r="C29" s="524"/>
      <c r="D29" s="376"/>
      <c r="E29" s="377"/>
    </row>
    <row r="30" spans="1:7" s="365" customFormat="1" ht="13.15" customHeight="1">
      <c r="A30" s="374"/>
      <c r="B30" s="516" t="s">
        <v>917</v>
      </c>
      <c r="C30" s="516"/>
      <c r="D30" s="376"/>
      <c r="E30" s="377"/>
    </row>
    <row r="31" spans="1:7" s="365" customFormat="1" ht="13.15" customHeight="1">
      <c r="A31" s="374"/>
      <c r="B31" s="516" t="s">
        <v>970</v>
      </c>
      <c r="C31" s="516"/>
      <c r="D31" s="376"/>
      <c r="E31" s="377"/>
    </row>
    <row r="32" spans="1:7" s="365" customFormat="1" ht="13.15" customHeight="1">
      <c r="A32" s="374"/>
      <c r="B32" s="291" t="s">
        <v>1014</v>
      </c>
      <c r="C32" s="291"/>
      <c r="D32" s="376"/>
      <c r="E32" s="377"/>
    </row>
    <row r="33" spans="1:7" s="365" customFormat="1" ht="13.15" customHeight="1">
      <c r="A33" s="374"/>
      <c r="B33" s="516" t="s">
        <v>1004</v>
      </c>
      <c r="C33" s="516"/>
      <c r="D33" s="376"/>
      <c r="E33" s="377"/>
    </row>
    <row r="34" spans="1:7" s="365" customFormat="1" ht="13.15" customHeight="1">
      <c r="A34" s="374"/>
      <c r="B34" s="516" t="s">
        <v>928</v>
      </c>
      <c r="C34" s="516"/>
      <c r="D34" s="376"/>
      <c r="E34" s="377"/>
    </row>
    <row r="35" spans="1:7" s="365" customFormat="1" ht="13.15" customHeight="1">
      <c r="A35" s="374"/>
      <c r="B35" s="516" t="s">
        <v>997</v>
      </c>
      <c r="C35" s="516"/>
      <c r="D35" s="376"/>
      <c r="E35" s="377"/>
    </row>
    <row r="36" spans="1:7" s="365" customFormat="1" ht="13.15" customHeight="1">
      <c r="A36" s="374"/>
      <c r="B36" s="380"/>
      <c r="C36" s="381"/>
      <c r="D36" s="376"/>
      <c r="E36" s="377"/>
    </row>
    <row r="37" spans="1:7" s="370" customFormat="1" ht="13.15" customHeight="1">
      <c r="A37" s="517" t="s">
        <v>1005</v>
      </c>
      <c r="B37" s="518"/>
      <c r="C37" s="518"/>
      <c r="D37" s="518"/>
      <c r="E37" s="518"/>
      <c r="F37" s="293"/>
      <c r="G37" s="293"/>
    </row>
    <row r="38" spans="1:7" ht="13.15" customHeight="1">
      <c r="A38" s="129"/>
      <c r="B38" s="382"/>
      <c r="C38" s="382"/>
      <c r="D38" s="383"/>
      <c r="E38" s="383"/>
      <c r="F38" s="383"/>
      <c r="G38" s="383"/>
    </row>
    <row r="39" spans="1:7" ht="13.15" customHeight="1">
      <c r="A39" s="515" t="s">
        <v>1006</v>
      </c>
      <c r="B39" s="515"/>
      <c r="C39" s="515"/>
      <c r="D39" s="515"/>
      <c r="E39" s="515"/>
      <c r="F39" s="515"/>
      <c r="G39" s="515"/>
    </row>
    <row r="40" spans="1:7" ht="13.15" customHeight="1">
      <c r="A40" s="374"/>
      <c r="B40" s="59"/>
      <c r="C40" s="59"/>
      <c r="D40" s="376"/>
      <c r="E40" s="377"/>
      <c r="F40" s="365"/>
      <c r="G40" s="365"/>
    </row>
    <row r="41" spans="1:7" ht="13.15" customHeight="1">
      <c r="A41" s="519" t="s">
        <v>1015</v>
      </c>
      <c r="B41" s="519"/>
      <c r="C41" s="519"/>
      <c r="D41" s="519"/>
      <c r="E41" s="519"/>
      <c r="F41" s="520"/>
      <c r="G41" s="520"/>
    </row>
    <row r="42" spans="1:7" ht="13.15" customHeight="1">
      <c r="A42" s="520"/>
      <c r="B42" s="520"/>
      <c r="C42" s="520"/>
      <c r="D42" s="520"/>
      <c r="E42" s="520"/>
      <c r="F42" s="520"/>
      <c r="G42" s="520"/>
    </row>
    <row r="43" spans="1:7" ht="13.15" customHeight="1">
      <c r="A43" s="385"/>
      <c r="B43" s="385"/>
      <c r="C43" s="385"/>
      <c r="D43" s="385"/>
      <c r="E43" s="385"/>
    </row>
    <row r="44" spans="1:7" ht="13.15" customHeight="1">
      <c r="A44" s="514" t="s">
        <v>929</v>
      </c>
      <c r="B44" s="514"/>
      <c r="C44" s="514"/>
      <c r="D44" s="514"/>
      <c r="E44" s="514"/>
      <c r="F44" s="514"/>
      <c r="G44" s="514"/>
    </row>
    <row r="45" spans="1:7" ht="13.15" customHeight="1">
      <c r="A45" s="515" t="s">
        <v>930</v>
      </c>
      <c r="B45" s="515"/>
      <c r="C45" s="292" t="s">
        <v>1016</v>
      </c>
      <c r="D45" s="292"/>
      <c r="E45" s="292"/>
      <c r="F45" s="292"/>
      <c r="G45" s="292"/>
    </row>
    <row r="46" spans="1:7" ht="13.15" customHeight="1"/>
    <row r="47" spans="1:7" ht="13.15" customHeight="1"/>
    <row r="48" spans="1:7" ht="13.15" customHeight="1"/>
    <row r="49" ht="13.15" customHeight="1"/>
    <row r="50" ht="13.15" customHeight="1"/>
    <row r="51" ht="13.15" customHeight="1"/>
    <row r="52" ht="13.15" customHeight="1"/>
    <row r="53" ht="13.15" customHeight="1"/>
    <row r="54" ht="13.15" customHeight="1"/>
    <row r="55" ht="13.15" customHeight="1"/>
    <row r="56" ht="13.15" customHeight="1"/>
    <row r="57" ht="13.15" customHeight="1"/>
    <row r="58" ht="13.15" customHeight="1"/>
    <row r="59" ht="13.15" customHeight="1"/>
    <row r="60" ht="13.15" customHeight="1"/>
    <row r="61" ht="13.15" customHeight="1"/>
    <row r="62" ht="13.15" customHeight="1"/>
    <row r="63" ht="13.15" customHeight="1"/>
  </sheetData>
  <mergeCells count="32">
    <mergeCell ref="B19:C19"/>
    <mergeCell ref="A1:G1"/>
    <mergeCell ref="A6:G6"/>
    <mergeCell ref="B9:D9"/>
    <mergeCell ref="B10:C10"/>
    <mergeCell ref="B11:C11"/>
    <mergeCell ref="B12:C12"/>
    <mergeCell ref="B13:C13"/>
    <mergeCell ref="B14:C14"/>
    <mergeCell ref="B15:C15"/>
    <mergeCell ref="B16:C16"/>
    <mergeCell ref="B17:C17"/>
    <mergeCell ref="B31:C31"/>
    <mergeCell ref="B20:C20"/>
    <mergeCell ref="B21:C21"/>
    <mergeCell ref="B22:C22"/>
    <mergeCell ref="B23:C23"/>
    <mergeCell ref="B24:C24"/>
    <mergeCell ref="B25:C25"/>
    <mergeCell ref="B26:C26"/>
    <mergeCell ref="B27:C27"/>
    <mergeCell ref="B28:C28"/>
    <mergeCell ref="B29:C29"/>
    <mergeCell ref="B30:C30"/>
    <mergeCell ref="A44:G44"/>
    <mergeCell ref="A45:B45"/>
    <mergeCell ref="B33:C33"/>
    <mergeCell ref="B34:C34"/>
    <mergeCell ref="B35:C35"/>
    <mergeCell ref="A37:E37"/>
    <mergeCell ref="A39:G39"/>
    <mergeCell ref="A41:G42"/>
  </mergeCells>
  <hyperlinks>
    <hyperlink ref="A41:E42" r:id="rId1" display="Das Glossar enthält Erläuterungen zu allen statistisch relevanten Begriffen, die in den verschiedenen Produkten der Statistik der BA verwendung finden." xr:uid="{C70033A3-87CF-40BF-A828-4A36635C9F1B}"/>
    <hyperlink ref="A41:G42" r:id="rId2" display="Das Glossar enthält Erläuterungen zu allen statistisch relevanten Begriffen, die in den verschiedenen Produkten der Statistik der BA Verwendung finden." xr:uid="{86A2E8D5-7AD1-4611-8801-B231F5196D37}"/>
    <hyperlink ref="A45:B45" r:id="rId3" display="Abkürzungsverzeichnis" xr:uid="{0CBBE509-2372-4AC3-ACFB-148F5AE2455B}"/>
    <hyperlink ref="C45" r:id="rId4" xr:uid="{2A998E1B-B2BD-401E-94FD-EB3855C51127}"/>
    <hyperlink ref="A39:G39" r:id="rId5" display="Die Qualitätsberichte der Statistik erläutern die Entstehung und Aussagekraft der jeweiligen Fachstatistik." xr:uid="{F1EF62B0-C338-4A7D-87C2-CFC9377A1BEC}"/>
    <hyperlink ref="B9:D9" r:id="rId6" display="Arbeitsuche, Arbeitslosigkeit und Unterbeschäftigung" xr:uid="{024B3E7E-B54B-41CE-B5CD-A4348773045A}"/>
    <hyperlink ref="B10:C10" r:id="rId7" display="Ausbildungsmarkt" xr:uid="{EF70FCF1-10AF-4E9F-BB75-16ED85825786}"/>
    <hyperlink ref="B11:C11" r:id="rId8" display="Beschäftigung" xr:uid="{24A42AC8-439D-4BE0-80BF-C719444882D2}"/>
    <hyperlink ref="B12:C12" r:id="rId9" display="Einnahmen/Ausgaben" xr:uid="{F9D14BA2-4D98-463F-9F4E-1D3A6C0AB331}"/>
    <hyperlink ref="B13:C13" r:id="rId10" display="Förderung und berufliche Rehabilitation" xr:uid="{B961ED6C-4468-426F-9A9D-9DCD7FEB020E}"/>
    <hyperlink ref="B14:C14" r:id="rId11" display="Gemeldete Arbeitsstellen" xr:uid="{6E01EF0D-1D22-472D-963B-DF3A1425F68A}"/>
    <hyperlink ref="B15:C15" r:id="rId12" display="Grundsicherung für Arbeitsuchende (SGB II)" xr:uid="{EEA8A2AD-3FE2-4B41-B559-8552C4DC0BDF}"/>
    <hyperlink ref="B16:C16" r:id="rId13" display="Leistungen SGB III" xr:uid="{675CFA09-5990-4135-B4B6-4C0D2CBDC133}"/>
    <hyperlink ref="B19:C19" r:id="rId14" display="Berufe" xr:uid="{7216891F-3099-448E-9CB7-F1E4CCDEBAA3}"/>
    <hyperlink ref="B20:C20" r:id="rId15" display="Bildung" xr:uid="{F17315B9-6C20-4DA7-A603-F9DB06624523}"/>
    <hyperlink ref="B21:C21" r:id="rId16" display="Demografie" xr:uid="{9083BE3A-EA9C-48A7-BA8B-33F634E010C6}"/>
    <hyperlink ref="B22:C22" r:id="rId17" display="Eingliederungsbilanzen" xr:uid="{550CDE5E-921C-45E4-850E-8F655E7460E4}"/>
    <hyperlink ref="B23:C23" r:id="rId18" display="Entgelt" xr:uid="{9EF3594A-F11C-4CBE-B64E-39480B456806}"/>
    <hyperlink ref="B24:C24" r:id="rId19" display="Fachkräftebedarf" xr:uid="{B335ACCE-148B-4D63-AFF6-EEAACEECB1DF}"/>
    <hyperlink ref="B25:C25" r:id="rId20" display="Familien und Kinder" xr:uid="{536B9343-EFB9-431B-9BE2-9BA48FB63E0C}"/>
    <hyperlink ref="B26:C26" r:id="rId21" display="Frauen und Männer" xr:uid="{69AB0ADE-6BBD-4A17-ADC8-A33AD37F66B3}"/>
    <hyperlink ref="B28:C28" r:id="rId22" display="Langzeitarbeitslosigkeit" xr:uid="{CDAFD991-FE90-404C-9EE0-6911505BEF23}"/>
    <hyperlink ref="B29:C29" r:id="rId23" display="Menschen mit Behinderungen" xr:uid="{C865EE38-68EF-4C29-9344-97DBC950A9AF}"/>
    <hyperlink ref="B30:C30" r:id="rId24" display="Migration" xr:uid="{37A443DD-1B1A-456D-A4FD-B478D1A1A7E0}"/>
    <hyperlink ref="B31:C31" r:id="rId25" display="Regionale Mobilität" xr:uid="{C27D459C-8A4B-427D-8656-B74CCDE985FA}"/>
    <hyperlink ref="B34:C34" r:id="rId26" display="Wirtschaftszweige" xr:uid="{70776D8A-6553-4B49-B12E-55815C693ED7}"/>
    <hyperlink ref="B35:C35" r:id="rId27" display="Zeitarbeit" xr:uid="{4CA2BBDA-A3F9-4023-A200-F44EB246B97A}"/>
    <hyperlink ref="A27" r:id="rId28" tooltip="Jüngere" display="https://statistik.arbeitsagentur.de/DE/Navigation/Statistiken/Themen-im-Fokus/Juengere/Juengere-Nav.html?mtm_campaign=Bericht" xr:uid="{8EF06C10-A38A-424B-A9BD-D840C09F5AC7}"/>
    <hyperlink ref="B27:C27" r:id="rId29" display="Jüngere" xr:uid="{56674F46-CA42-46AA-8F6B-4CCCD1F7AF10}"/>
    <hyperlink ref="B33:C33" r:id="rId30" display="Ukraine-Krieg" xr:uid="{4C2D6D6D-8FA9-450C-8F14-F3418465911A}"/>
    <hyperlink ref="A37:E37" r:id="rId31" display="Die Methodischen Hinweise der Statistik bieten ergänzende Informationen." xr:uid="{72C5FB3F-3F98-4A89-9C84-F396AA50659A}"/>
    <hyperlink ref="B32" r:id="rId32" xr:uid="{80945C68-06AD-493A-9C37-C91D21848441}"/>
  </hyperlinks>
  <printOptions horizontalCentered="1"/>
  <pageMargins left="0.70866141732283472" right="0.39370078740157483" top="0.39370078740157483" bottom="0.59055118110236227" header="0.39370078740157483" footer="0.39370078740157483"/>
  <pageSetup paperSize="9" fitToWidth="0" orientation="portrait" r:id="rId33"/>
  <headerFooter alignWithMargins="0"/>
  <drawing r:id="rId3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
    <tabColor rgb="FF0070C0"/>
  </sheetPr>
  <dimension ref="A1:AH428"/>
  <sheetViews>
    <sheetView showGridLines="0" topLeftCell="A379" zoomScaleNormal="100" workbookViewId="0">
      <selection activeCell="C405" sqref="C405"/>
    </sheetView>
  </sheetViews>
  <sheetFormatPr baseColWidth="10" defaultColWidth="11.42578125" defaultRowHeight="15"/>
  <cols>
    <col min="1" max="1" width="9.85546875" style="51" customWidth="1"/>
    <col min="2" max="2" width="41.28515625" style="51" customWidth="1"/>
    <col min="3" max="3" width="59.140625" style="51" customWidth="1"/>
    <col min="4" max="4" width="41.28515625" customWidth="1"/>
    <col min="5" max="5" width="13.7109375" style="36" customWidth="1"/>
    <col min="6" max="6" width="41.28515625" style="51" customWidth="1"/>
    <col min="7" max="7" width="3" style="51" customWidth="1"/>
    <col min="8" max="8" width="4.28515625" style="50" customWidth="1"/>
    <col min="9" max="9" width="80" style="51" customWidth="1"/>
    <col min="10" max="16384" width="11.42578125" style="51"/>
  </cols>
  <sheetData>
    <row r="1" spans="1:34" ht="95.1" customHeight="1">
      <c r="A1" s="532" t="s">
        <v>979</v>
      </c>
      <c r="B1" s="533"/>
      <c r="C1" s="93" t="s">
        <v>980</v>
      </c>
      <c r="D1" s="93" t="s">
        <v>984</v>
      </c>
      <c r="E1" s="93" t="s">
        <v>981</v>
      </c>
      <c r="F1" s="93" t="s">
        <v>983</v>
      </c>
      <c r="G1" s="38"/>
      <c r="H1" s="530" t="s">
        <v>982</v>
      </c>
      <c r="I1" s="531"/>
    </row>
    <row r="2" spans="1:34">
      <c r="E2" s="51"/>
    </row>
    <row r="3" spans="1:34" ht="14.25" customHeight="1">
      <c r="B3" s="94" t="str">
        <f>INDEX(B6:B428,C4)</f>
        <v>Deutschland</v>
      </c>
      <c r="C3" s="94" t="str">
        <f>INDEX(C6:C428,C4)</f>
        <v>Deutschland</v>
      </c>
      <c r="D3" s="95" t="s">
        <v>1198</v>
      </c>
      <c r="E3" s="96" t="str">
        <f>INDEX(E6:E428,C4)</f>
        <v>H1</v>
      </c>
      <c r="F3" s="96">
        <f>INDEX(F6:F428,C4)</f>
        <v>0</v>
      </c>
      <c r="H3" s="112" t="s">
        <v>768</v>
      </c>
      <c r="I3" s="54"/>
      <c r="J3" s="54"/>
      <c r="K3" s="54"/>
      <c r="L3" s="54"/>
      <c r="M3" s="54"/>
      <c r="N3" s="54"/>
      <c r="O3" s="54"/>
      <c r="P3" s="54"/>
      <c r="Q3" s="54"/>
      <c r="R3" s="54"/>
      <c r="S3" s="54"/>
      <c r="T3" s="54"/>
      <c r="U3" s="54"/>
      <c r="V3" s="54"/>
      <c r="W3" s="54"/>
      <c r="X3" s="54"/>
      <c r="Y3" s="54"/>
      <c r="Z3" s="54"/>
      <c r="AA3" s="54"/>
      <c r="AB3" s="54"/>
      <c r="AC3" s="54"/>
      <c r="AD3" s="54"/>
      <c r="AE3" s="54"/>
      <c r="AF3" s="54"/>
      <c r="AG3" s="54"/>
      <c r="AH3" s="54"/>
    </row>
    <row r="4" spans="1:34">
      <c r="C4" s="96">
        <v>1</v>
      </c>
      <c r="E4" s="51"/>
      <c r="H4" s="113" t="s">
        <v>770</v>
      </c>
      <c r="I4" s="114" t="s">
        <v>998</v>
      </c>
    </row>
    <row r="5" spans="1:34">
      <c r="E5" s="51"/>
      <c r="H5" s="113" t="s">
        <v>908</v>
      </c>
      <c r="I5" s="114" t="s">
        <v>909</v>
      </c>
    </row>
    <row r="6" spans="1:34">
      <c r="A6" s="97" t="s">
        <v>713</v>
      </c>
      <c r="B6" s="98" t="s">
        <v>388</v>
      </c>
      <c r="C6" s="98" t="s">
        <v>388</v>
      </c>
      <c r="E6" s="118" t="s">
        <v>770</v>
      </c>
      <c r="F6" s="121"/>
      <c r="H6" s="113" t="s">
        <v>1043</v>
      </c>
      <c r="I6" s="36" t="s">
        <v>1044</v>
      </c>
    </row>
    <row r="7" spans="1:34">
      <c r="A7" s="99" t="s">
        <v>714</v>
      </c>
      <c r="B7" s="100" t="s">
        <v>389</v>
      </c>
      <c r="C7" s="100" t="s">
        <v>389</v>
      </c>
      <c r="E7" s="119" t="s">
        <v>908</v>
      </c>
      <c r="F7" s="122"/>
    </row>
    <row r="8" spans="1:34">
      <c r="A8" s="101" t="s">
        <v>715</v>
      </c>
      <c r="B8" s="102" t="s">
        <v>390</v>
      </c>
      <c r="C8" s="102" t="s">
        <v>390</v>
      </c>
      <c r="E8" s="120" t="s">
        <v>908</v>
      </c>
      <c r="F8" s="123"/>
    </row>
    <row r="9" spans="1:34">
      <c r="A9" s="99" t="s">
        <v>716</v>
      </c>
      <c r="B9" s="100" t="s">
        <v>694</v>
      </c>
      <c r="C9" s="100" t="s">
        <v>694</v>
      </c>
      <c r="E9" s="119" t="s">
        <v>908</v>
      </c>
      <c r="F9" s="121"/>
      <c r="H9" s="112" t="s">
        <v>769</v>
      </c>
      <c r="I9" s="115"/>
      <c r="J9" s="54"/>
      <c r="K9" s="54"/>
      <c r="L9" s="54"/>
      <c r="M9" s="54"/>
      <c r="N9" s="54"/>
      <c r="O9" s="54"/>
      <c r="P9" s="54"/>
      <c r="Q9" s="54"/>
      <c r="R9" s="54"/>
      <c r="S9" s="54"/>
      <c r="T9" s="54"/>
      <c r="U9" s="54"/>
      <c r="V9" s="54"/>
      <c r="W9" s="54"/>
      <c r="X9" s="54"/>
      <c r="Y9" s="54"/>
      <c r="Z9" s="54"/>
      <c r="AA9" s="54"/>
      <c r="AB9" s="54"/>
      <c r="AC9" s="54"/>
      <c r="AD9" s="54"/>
      <c r="AE9" s="54"/>
      <c r="AF9" s="54"/>
      <c r="AG9" s="54"/>
      <c r="AH9" s="54"/>
    </row>
    <row r="10" spans="1:34">
      <c r="A10" s="99" t="s">
        <v>717</v>
      </c>
      <c r="B10" s="100" t="s">
        <v>685</v>
      </c>
      <c r="C10" s="100" t="s">
        <v>685</v>
      </c>
      <c r="E10" s="119" t="s">
        <v>908</v>
      </c>
      <c r="F10" s="122"/>
      <c r="H10" s="113" t="s">
        <v>906</v>
      </c>
      <c r="I10" s="36" t="s">
        <v>1007</v>
      </c>
    </row>
    <row r="11" spans="1:34">
      <c r="A11" s="99" t="s">
        <v>718</v>
      </c>
      <c r="B11" s="100" t="s">
        <v>688</v>
      </c>
      <c r="C11" s="100" t="s">
        <v>688</v>
      </c>
      <c r="E11" s="119" t="s">
        <v>908</v>
      </c>
      <c r="F11" s="122"/>
      <c r="H11" s="113" t="s">
        <v>907</v>
      </c>
      <c r="I11" s="36" t="s">
        <v>959</v>
      </c>
    </row>
    <row r="12" spans="1:34">
      <c r="A12" s="99" t="s">
        <v>719</v>
      </c>
      <c r="B12" s="100" t="s">
        <v>684</v>
      </c>
      <c r="C12" s="100" t="s">
        <v>684</v>
      </c>
      <c r="E12" s="119" t="s">
        <v>908</v>
      </c>
      <c r="F12" s="122"/>
      <c r="H12" s="113" t="s">
        <v>772</v>
      </c>
      <c r="I12" s="36" t="s">
        <v>960</v>
      </c>
    </row>
    <row r="13" spans="1:34">
      <c r="A13" s="99" t="s">
        <v>720</v>
      </c>
      <c r="B13" s="100" t="s">
        <v>689</v>
      </c>
      <c r="C13" s="100" t="s">
        <v>689</v>
      </c>
      <c r="E13" s="119" t="s">
        <v>908</v>
      </c>
      <c r="F13" s="122"/>
      <c r="H13" s="113" t="s">
        <v>773</v>
      </c>
      <c r="I13" s="36" t="s">
        <v>961</v>
      </c>
    </row>
    <row r="14" spans="1:34">
      <c r="A14" s="99" t="s">
        <v>721</v>
      </c>
      <c r="B14" s="100" t="s">
        <v>686</v>
      </c>
      <c r="C14" s="100" t="s">
        <v>686</v>
      </c>
      <c r="E14" s="119" t="s">
        <v>908</v>
      </c>
      <c r="F14" s="122"/>
      <c r="G14" s="113"/>
      <c r="H14" s="113" t="s">
        <v>935</v>
      </c>
      <c r="I14" s="114" t="s">
        <v>1034</v>
      </c>
    </row>
    <row r="15" spans="1:34">
      <c r="A15" s="99" t="s">
        <v>722</v>
      </c>
      <c r="B15" s="100" t="s">
        <v>690</v>
      </c>
      <c r="C15" s="100" t="s">
        <v>690</v>
      </c>
      <c r="E15" s="119" t="s">
        <v>908</v>
      </c>
      <c r="F15" s="122"/>
    </row>
    <row r="16" spans="1:34">
      <c r="A16" s="99" t="s">
        <v>723</v>
      </c>
      <c r="B16" s="100" t="s">
        <v>680</v>
      </c>
      <c r="C16" s="100" t="s">
        <v>680</v>
      </c>
      <c r="E16" s="119" t="s">
        <v>908</v>
      </c>
      <c r="F16" s="122"/>
      <c r="I16" s="56"/>
    </row>
    <row r="17" spans="1:34">
      <c r="A17" s="99" t="s">
        <v>724</v>
      </c>
      <c r="B17" s="100" t="s">
        <v>681</v>
      </c>
      <c r="C17" s="100" t="s">
        <v>681</v>
      </c>
      <c r="E17" s="119" t="s">
        <v>908</v>
      </c>
      <c r="F17" s="122"/>
    </row>
    <row r="18" spans="1:34">
      <c r="A18" s="99" t="s">
        <v>725</v>
      </c>
      <c r="B18" s="100" t="s">
        <v>691</v>
      </c>
      <c r="C18" s="100" t="s">
        <v>691</v>
      </c>
      <c r="E18" s="119" t="s">
        <v>908</v>
      </c>
      <c r="F18" s="122"/>
      <c r="I18" s="52"/>
    </row>
    <row r="19" spans="1:34">
      <c r="A19" s="99" t="s">
        <v>726</v>
      </c>
      <c r="B19" s="100" t="s">
        <v>682</v>
      </c>
      <c r="C19" s="100" t="s">
        <v>682</v>
      </c>
      <c r="E19" s="119" t="s">
        <v>908</v>
      </c>
      <c r="F19" s="122"/>
      <c r="I19" s="52"/>
    </row>
    <row r="20" spans="1:34">
      <c r="A20" s="99" t="s">
        <v>727</v>
      </c>
      <c r="B20" s="100" t="s">
        <v>683</v>
      </c>
      <c r="C20" s="100" t="s">
        <v>683</v>
      </c>
      <c r="E20" s="119" t="s">
        <v>908</v>
      </c>
      <c r="F20" s="122"/>
      <c r="H20" s="112" t="s">
        <v>913</v>
      </c>
      <c r="I20" s="115"/>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row>
    <row r="21" spans="1:34">
      <c r="A21" s="99" t="s">
        <v>728</v>
      </c>
      <c r="B21" s="100" t="s">
        <v>687</v>
      </c>
      <c r="C21" s="100" t="s">
        <v>687</v>
      </c>
      <c r="E21" s="119" t="s">
        <v>908</v>
      </c>
      <c r="F21" s="122"/>
    </row>
    <row r="22" spans="1:34">
      <c r="A22" s="99" t="s">
        <v>729</v>
      </c>
      <c r="B22" s="100" t="s">
        <v>692</v>
      </c>
      <c r="C22" s="100" t="s">
        <v>692</v>
      </c>
      <c r="E22" s="119" t="s">
        <v>908</v>
      </c>
      <c r="F22" s="122"/>
      <c r="H22" s="113" t="s">
        <v>937</v>
      </c>
      <c r="I22" s="117" t="s">
        <v>986</v>
      </c>
    </row>
    <row r="23" spans="1:34">
      <c r="A23" s="99" t="s">
        <v>730</v>
      </c>
      <c r="B23" s="100" t="s">
        <v>693</v>
      </c>
      <c r="C23" s="100" t="s">
        <v>693</v>
      </c>
      <c r="E23" s="119" t="s">
        <v>908</v>
      </c>
      <c r="F23" s="122"/>
      <c r="H23" s="116" t="s">
        <v>936</v>
      </c>
      <c r="I23" s="130" t="s">
        <v>1035</v>
      </c>
    </row>
    <row r="24" spans="1:34">
      <c r="A24" s="99" t="s">
        <v>731</v>
      </c>
      <c r="B24" s="100" t="s">
        <v>695</v>
      </c>
      <c r="C24" s="100" t="s">
        <v>695</v>
      </c>
      <c r="D24" s="51"/>
      <c r="E24" s="120" t="s">
        <v>908</v>
      </c>
      <c r="F24" s="123"/>
    </row>
    <row r="25" spans="1:34" ht="15" customHeight="1">
      <c r="A25" s="103" t="s">
        <v>810</v>
      </c>
      <c r="B25" s="103" t="s">
        <v>217</v>
      </c>
      <c r="C25" s="104" t="str">
        <f>CONCATENATE(B25, " ", $D$3, " ", F25)</f>
        <v xml:space="preserve">JC Ahrweiler (Gebietsstand Dezember 2024)  </v>
      </c>
      <c r="D25" s="51"/>
      <c r="E25" s="109"/>
      <c r="F25" s="124" t="str">
        <f>IF(INDEX(Daten!$H$26:$H$429,MATCH(Steuerung_Eckwerte!B25,Daten!$C$26:$C$429,0))=0, " ", INDEX(Daten!$H$26:$H$429,MATCH(Steuerung_Eckwerte!B25,Daten!$C$26:$C$429,0)))</f>
        <v xml:space="preserve"> </v>
      </c>
      <c r="I25" s="52"/>
    </row>
    <row r="26" spans="1:34" ht="15" customHeight="1">
      <c r="A26" s="105" t="s">
        <v>637</v>
      </c>
      <c r="B26" s="105" t="s">
        <v>328</v>
      </c>
      <c r="C26" s="106" t="str">
        <f t="shared" ref="C26:C88" si="0">CONCATENATE(B26, " ", $D$3, " ", F26)</f>
        <v xml:space="preserve">JC Aichach-Friedberg (Gebietsstand Dezember 2024)  </v>
      </c>
      <c r="D26" s="51"/>
      <c r="E26" s="110"/>
      <c r="F26" s="125" t="str">
        <f>IF(INDEX(Daten!$H$26:$H$429,MATCH(Steuerung_Eckwerte!B26,Daten!$C$26:$C$429,0))=0, " ", INDEX(Daten!$H$26:$H$429,MATCH(Steuerung_Eckwerte!B26,Daten!$C$26:$C$429,0)))</f>
        <v xml:space="preserve"> </v>
      </c>
    </row>
    <row r="27" spans="1:34" ht="15" customHeight="1">
      <c r="A27" s="105" t="s">
        <v>603</v>
      </c>
      <c r="B27" s="105" t="s">
        <v>280</v>
      </c>
      <c r="C27" s="106" t="str">
        <f t="shared" si="0"/>
        <v xml:space="preserve">JC Alb-Donau-Kreis (Gebietsstand Dezember 2024)  </v>
      </c>
      <c r="D27" s="51"/>
      <c r="E27" s="110"/>
      <c r="F27" s="125" t="str">
        <f>IF(INDEX(Daten!$H$26:$H$429,MATCH(Steuerung_Eckwerte!B27,Daten!$C$26:$C$429,0))=0, " ", INDEX(Daten!$H$26:$H$429,MATCH(Steuerung_Eckwerte!B27,Daten!$C$26:$C$429,0)))</f>
        <v xml:space="preserve"> </v>
      </c>
    </row>
    <row r="28" spans="1:34" ht="15" customHeight="1">
      <c r="A28" s="105" t="s">
        <v>867</v>
      </c>
      <c r="B28" s="105" t="s">
        <v>35</v>
      </c>
      <c r="C28" s="106" t="str">
        <f t="shared" si="0"/>
        <v xml:space="preserve">JC Altenburger Land (Gebietsstand Dezember 2024)  </v>
      </c>
      <c r="D28" s="51"/>
      <c r="E28" s="110"/>
      <c r="F28" s="125" t="str">
        <f>IF(INDEX(Daten!$H$26:$H$429,MATCH(Steuerung_Eckwerte!B28,Daten!$C$26:$C$429,0))=0, " ", INDEX(Daten!$H$26:$H$429,MATCH(Steuerung_Eckwerte!B28,Daten!$C$26:$C$429,0)))</f>
        <v xml:space="preserve"> </v>
      </c>
    </row>
    <row r="29" spans="1:34" ht="15" customHeight="1">
      <c r="A29" s="105" t="s">
        <v>567</v>
      </c>
      <c r="B29" s="105" t="s">
        <v>226</v>
      </c>
      <c r="C29" s="106" t="str">
        <f t="shared" si="0"/>
        <v xml:space="preserve">JC Altenkirchen (Westerwald) (Gebietsstand Dezember 2024)  </v>
      </c>
      <c r="D29" s="51"/>
      <c r="E29" s="110"/>
      <c r="F29" s="125" t="str">
        <f>IF(INDEX(Daten!$H$26:$H$429,MATCH(Steuerung_Eckwerte!B29,Daten!$C$26:$C$429,0))=0, " ", INDEX(Daten!$H$26:$H$429,MATCH(Steuerung_Eckwerte!B29,Daten!$C$26:$C$429,0)))</f>
        <v xml:space="preserve"> </v>
      </c>
    </row>
    <row r="30" spans="1:34" ht="15" customHeight="1">
      <c r="A30" s="105" t="s">
        <v>866</v>
      </c>
      <c r="B30" s="105" t="s">
        <v>33</v>
      </c>
      <c r="C30" s="106" t="str">
        <f t="shared" si="0"/>
        <v xml:space="preserve">JC Altmarkkreis Salzwedel (Gebietsstand Dezember 2024)  </v>
      </c>
      <c r="D30" s="51"/>
      <c r="E30" s="110"/>
      <c r="F30" s="125" t="str">
        <f>IF(INDEX(Daten!$H$26:$H$429,MATCH(Steuerung_Eckwerte!B30,Daten!$C$26:$C$429,0))=0, " ", INDEX(Daten!$H$26:$H$429,MATCH(Steuerung_Eckwerte!B30,Daten!$C$26:$C$429,0)))</f>
        <v xml:space="preserve"> </v>
      </c>
    </row>
    <row r="31" spans="1:34" ht="15" customHeight="1">
      <c r="A31" s="105" t="s">
        <v>846</v>
      </c>
      <c r="B31" s="105" t="s">
        <v>363</v>
      </c>
      <c r="C31" s="106" t="str">
        <f t="shared" si="0"/>
        <v xml:space="preserve">JC Altötting (Gebietsstand Dezember 2024)  </v>
      </c>
      <c r="D31" s="51"/>
      <c r="E31" s="110"/>
      <c r="F31" s="125" t="str">
        <f>IF(INDEX(Daten!$H$26:$H$429,MATCH(Steuerung_Eckwerte!B31,Daten!$C$26:$C$429,0))=0, " ", INDEX(Daten!$H$26:$H$429,MATCH(Steuerung_Eckwerte!B31,Daten!$C$26:$C$429,0)))</f>
        <v xml:space="preserve"> </v>
      </c>
    </row>
    <row r="32" spans="1:34" ht="15" customHeight="1">
      <c r="A32" s="105" t="s">
        <v>560</v>
      </c>
      <c r="B32" s="105" t="s">
        <v>213</v>
      </c>
      <c r="C32" s="106" t="str">
        <f t="shared" si="0"/>
        <v xml:space="preserve">JC Alzey-Worms (Gebietsstand Dezember 2024)  </v>
      </c>
      <c r="D32" s="51"/>
      <c r="E32" s="110"/>
      <c r="F32" s="125" t="str">
        <f>IF(INDEX(Daten!$H$26:$H$429,MATCH(Steuerung_Eckwerte!B32,Daten!$C$26:$C$429,0))=0, " ", INDEX(Daten!$H$26:$H$429,MATCH(Steuerung_Eckwerte!B32,Daten!$C$26:$C$429,0)))</f>
        <v xml:space="preserve"> </v>
      </c>
    </row>
    <row r="33" spans="1:6" ht="15" customHeight="1">
      <c r="A33" s="105" t="s">
        <v>623</v>
      </c>
      <c r="B33" s="105" t="s">
        <v>312</v>
      </c>
      <c r="C33" s="106" t="str">
        <f t="shared" si="0"/>
        <v xml:space="preserve">JC Amberg-Sulzbach (Gebietsstand Dezember 2024)  </v>
      </c>
      <c r="D33" s="51"/>
      <c r="E33" s="110"/>
      <c r="F33" s="125" t="str">
        <f>IF(INDEX(Daten!$H$26:$H$429,MATCH(Steuerung_Eckwerte!B33,Daten!$C$26:$C$429,0))=0, " ", INDEX(Daten!$H$26:$H$429,MATCH(Steuerung_Eckwerte!B33,Daten!$C$26:$C$429,0)))</f>
        <v xml:space="preserve"> </v>
      </c>
    </row>
    <row r="34" spans="1:6" ht="15" customHeight="1">
      <c r="A34" s="105" t="s">
        <v>482</v>
      </c>
      <c r="B34" s="105" t="s">
        <v>109</v>
      </c>
      <c r="C34" s="106" t="str">
        <f t="shared" si="0"/>
        <v xml:space="preserve">JC Ammerland (Gebietsstand Dezember 2024)  </v>
      </c>
      <c r="D34" s="51"/>
      <c r="E34" s="110"/>
      <c r="F34" s="125" t="str">
        <f>IF(INDEX(Daten!$H$26:$H$429,MATCH(Steuerung_Eckwerte!B34,Daten!$C$26:$C$429,0))=0, " ", INDEX(Daten!$H$26:$H$429,MATCH(Steuerung_Eckwerte!B34,Daten!$C$26:$C$429,0)))</f>
        <v xml:space="preserve"> </v>
      </c>
    </row>
    <row r="35" spans="1:6" ht="15" customHeight="1">
      <c r="A35" s="105" t="s">
        <v>414</v>
      </c>
      <c r="B35" s="105" t="s">
        <v>26</v>
      </c>
      <c r="C35" s="106" t="str">
        <f t="shared" si="0"/>
        <v xml:space="preserve">JC Anhalt-Bitterfeld (Gebietsstand Dezember 2024)  </v>
      </c>
      <c r="D35" s="51"/>
      <c r="E35" s="110"/>
      <c r="F35" s="125" t="str">
        <f>IF(INDEX(Daten!$H$26:$H$429,MATCH(Steuerung_Eckwerte!B35,Daten!$C$26:$C$429,0))=0, " ", INDEX(Daten!$H$26:$H$429,MATCH(Steuerung_Eckwerte!B35,Daten!$C$26:$C$429,0)))</f>
        <v xml:space="preserve"> </v>
      </c>
    </row>
    <row r="36" spans="1:6" ht="15" customHeight="1">
      <c r="A36" s="105" t="s">
        <v>828</v>
      </c>
      <c r="B36" s="105" t="s">
        <v>283</v>
      </c>
      <c r="C36" s="106" t="str">
        <f t="shared" si="0"/>
        <v xml:space="preserve">JC Ansbach (Gebietsstand Dezember 2024)  </v>
      </c>
      <c r="D36" s="51"/>
      <c r="E36" s="110"/>
      <c r="F36" s="125" t="str">
        <f>IF(INDEX(Daten!$H$26:$H$429,MATCH(Steuerung_Eckwerte!B36,Daten!$C$26:$C$429,0))=0, " ", INDEX(Daten!$H$26:$H$429,MATCH(Steuerung_Eckwerte!B36,Daten!$C$26:$C$429,0)))</f>
        <v xml:space="preserve"> </v>
      </c>
    </row>
    <row r="37" spans="1:6" ht="15" customHeight="1">
      <c r="A37" s="105" t="s">
        <v>605</v>
      </c>
      <c r="B37" s="105" t="s">
        <v>282</v>
      </c>
      <c r="C37" s="106" t="str">
        <f t="shared" si="0"/>
        <v xml:space="preserve">JC Ansbach, Stadt (Gebietsstand Dezember 2024)  </v>
      </c>
      <c r="D37" s="51"/>
      <c r="E37" s="110"/>
      <c r="F37" s="125" t="str">
        <f>IF(INDEX(Daten!$H$26:$H$429,MATCH(Steuerung_Eckwerte!B37,Daten!$C$26:$C$429,0))=0, " ", INDEX(Daten!$H$26:$H$429,MATCH(Steuerung_Eckwerte!B37,Daten!$C$26:$C$429,0)))</f>
        <v xml:space="preserve"> </v>
      </c>
    </row>
    <row r="38" spans="1:6" ht="15" customHeight="1">
      <c r="A38" s="105" t="s">
        <v>607</v>
      </c>
      <c r="B38" s="105" t="s">
        <v>286</v>
      </c>
      <c r="C38" s="106" t="str">
        <f t="shared" si="0"/>
        <v xml:space="preserve">JC Aschaffenburg (Gebietsstand Dezember 2024)  </v>
      </c>
      <c r="D38" s="51"/>
      <c r="E38" s="110"/>
      <c r="F38" s="125" t="str">
        <f>IF(INDEX(Daten!$H$26:$H$429,MATCH(Steuerung_Eckwerte!B38,Daten!$C$26:$C$429,0))=0, " ", INDEX(Daten!$H$26:$H$429,MATCH(Steuerung_Eckwerte!B38,Daten!$C$26:$C$429,0)))</f>
        <v xml:space="preserve"> </v>
      </c>
    </row>
    <row r="39" spans="1:6" ht="15" customHeight="1">
      <c r="A39" s="105" t="s">
        <v>606</v>
      </c>
      <c r="B39" s="105" t="s">
        <v>285</v>
      </c>
      <c r="C39" s="106" t="str">
        <f t="shared" si="0"/>
        <v xml:space="preserve">JC Aschaffenburg, Stadt (Gebietsstand Dezember 2024)  </v>
      </c>
      <c r="D39" s="51"/>
      <c r="E39" s="110"/>
      <c r="F39" s="125" t="str">
        <f>IF(INDEX(Daten!$H$26:$H$429,MATCH(Steuerung_Eckwerte!B39,Daten!$C$26:$C$429,0))=0, " ", INDEX(Daten!$H$26:$H$429,MATCH(Steuerung_Eckwerte!B39,Daten!$C$26:$C$429,0)))</f>
        <v xml:space="preserve"> </v>
      </c>
    </row>
    <row r="40" spans="1:6" ht="15" customHeight="1">
      <c r="A40" s="105" t="s">
        <v>639</v>
      </c>
      <c r="B40" s="105" t="s">
        <v>330</v>
      </c>
      <c r="C40" s="106" t="str">
        <f t="shared" si="0"/>
        <v xml:space="preserve">JC Augsburg (Gebietsstand Dezember 2024)  </v>
      </c>
      <c r="D40" s="51"/>
      <c r="E40" s="110"/>
      <c r="F40" s="125" t="str">
        <f>IF(INDEX(Daten!$H$26:$H$429,MATCH(Steuerung_Eckwerte!B40,Daten!$C$26:$C$429,0))=0, " ", INDEX(Daten!$H$26:$H$429,MATCH(Steuerung_Eckwerte!B40,Daten!$C$26:$C$429,0)))</f>
        <v xml:space="preserve"> </v>
      </c>
    </row>
    <row r="41" spans="1:6" ht="15" customHeight="1">
      <c r="A41" s="105" t="s">
        <v>638</v>
      </c>
      <c r="B41" s="105" t="s">
        <v>329</v>
      </c>
      <c r="C41" s="106" t="str">
        <f t="shared" si="0"/>
        <v xml:space="preserve">JC Augsburg, Stadt (Gebietsstand Dezember 2024)  </v>
      </c>
      <c r="D41" s="51"/>
      <c r="E41" s="110"/>
      <c r="F41" s="125" t="str">
        <f>IF(INDEX(Daten!$H$26:$H$429,MATCH(Steuerung_Eckwerte!B41,Daten!$C$26:$C$429,0))=0, " ", INDEX(Daten!$H$26:$H$429,MATCH(Steuerung_Eckwerte!B41,Daten!$C$26:$C$429,0)))</f>
        <v xml:space="preserve"> </v>
      </c>
    </row>
    <row r="42" spans="1:6" ht="15" customHeight="1">
      <c r="A42" s="105" t="s">
        <v>782</v>
      </c>
      <c r="B42" s="105" t="s">
        <v>87</v>
      </c>
      <c r="C42" s="106" t="str">
        <f t="shared" si="0"/>
        <v xml:space="preserve">JC Aurich (Gebietsstand Dezember 2024)  </v>
      </c>
      <c r="D42" s="51"/>
      <c r="E42" s="110"/>
      <c r="F42" s="125" t="str">
        <f>IF(INDEX(Daten!$H$26:$H$429,MATCH(Steuerung_Eckwerte!B42,Daten!$C$26:$C$429,0))=0, " ", INDEX(Daten!$H$26:$H$429,MATCH(Steuerung_Eckwerte!B42,Daten!$C$26:$C$429,0)))</f>
        <v xml:space="preserve"> </v>
      </c>
    </row>
    <row r="43" spans="1:6" ht="15" customHeight="1">
      <c r="A43" s="105" t="s">
        <v>626</v>
      </c>
      <c r="B43" s="105" t="s">
        <v>315</v>
      </c>
      <c r="C43" s="106" t="str">
        <f t="shared" si="0"/>
        <v xml:space="preserve">JC Bad Kissingen (Gebietsstand Dezember 2024)  </v>
      </c>
      <c r="D43" s="51"/>
      <c r="E43" s="110"/>
      <c r="F43" s="125" t="str">
        <f>IF(INDEX(Daten!$H$26:$H$429,MATCH(Steuerung_Eckwerte!B43,Daten!$C$26:$C$429,0))=0, " ", INDEX(Daten!$H$26:$H$429,MATCH(Steuerung_Eckwerte!B43,Daten!$C$26:$C$429,0)))</f>
        <v xml:space="preserve"> </v>
      </c>
    </row>
    <row r="44" spans="1:6" ht="15" customHeight="1">
      <c r="A44" s="105" t="s">
        <v>551</v>
      </c>
      <c r="B44" s="105" t="s">
        <v>202</v>
      </c>
      <c r="C44" s="106" t="str">
        <f t="shared" si="0"/>
        <v xml:space="preserve">JC Bad Kreuznach (Gebietsstand Dezember 2024)  </v>
      </c>
      <c r="D44" s="51"/>
      <c r="E44" s="110"/>
      <c r="F44" s="125" t="str">
        <f>IF(INDEX(Daten!$H$26:$H$429,MATCH(Steuerung_Eckwerte!B44,Daten!$C$26:$C$429,0))=0, " ", INDEX(Daten!$H$26:$H$429,MATCH(Steuerung_Eckwerte!B44,Daten!$C$26:$C$429,0)))</f>
        <v xml:space="preserve"> </v>
      </c>
    </row>
    <row r="45" spans="1:6" ht="15" customHeight="1">
      <c r="A45" s="105" t="s">
        <v>660</v>
      </c>
      <c r="B45" s="105" t="s">
        <v>366</v>
      </c>
      <c r="C45" s="106" t="str">
        <f t="shared" si="0"/>
        <v xml:space="preserve">JC Bad Tölz-Wolfratshausen (Gebietsstand Dezember 2024)  </v>
      </c>
      <c r="D45" s="51"/>
      <c r="E45" s="110"/>
      <c r="F45" s="125" t="str">
        <f>IF(INDEX(Daten!$H$26:$H$429,MATCH(Steuerung_Eckwerte!B45,Daten!$C$26:$C$429,0))=0, " ", INDEX(Daten!$H$26:$H$429,MATCH(Steuerung_Eckwerte!B45,Daten!$C$26:$C$429,0)))</f>
        <v xml:space="preserve"> </v>
      </c>
    </row>
    <row r="46" spans="1:6" ht="15" customHeight="1">
      <c r="A46" s="105" t="s">
        <v>815</v>
      </c>
      <c r="B46" s="105" t="s">
        <v>263</v>
      </c>
      <c r="C46" s="106" t="str">
        <f t="shared" si="0"/>
        <v xml:space="preserve">JC Baden-Baden, Stadt (Gebietsstand Dezember 2024)  </v>
      </c>
      <c r="D46" s="51"/>
      <c r="E46" s="110"/>
      <c r="F46" s="125" t="str">
        <f>IF(INDEX(Daten!$H$26:$H$429,MATCH(Steuerung_Eckwerte!B46,Daten!$C$26:$C$429,0))=0, " ", INDEX(Daten!$H$26:$H$429,MATCH(Steuerung_Eckwerte!B46,Daten!$C$26:$C$429,0)))</f>
        <v xml:space="preserve"> </v>
      </c>
    </row>
    <row r="47" spans="1:6" ht="15" customHeight="1">
      <c r="A47" s="105" t="s">
        <v>833</v>
      </c>
      <c r="B47" s="105" t="s">
        <v>289</v>
      </c>
      <c r="C47" s="106" t="str">
        <f t="shared" si="0"/>
        <v xml:space="preserve">JC Bamberg (Gebietsstand Dezember 2024)  </v>
      </c>
      <c r="D47" s="51"/>
      <c r="E47" s="110"/>
      <c r="F47" s="125" t="str">
        <f>IF(INDEX(Daten!$H$26:$H$429,MATCH(Steuerung_Eckwerte!B47,Daten!$C$26:$C$429,0))=0, " ", INDEX(Daten!$H$26:$H$429,MATCH(Steuerung_Eckwerte!B47,Daten!$C$26:$C$429,0)))</f>
        <v xml:space="preserve"> </v>
      </c>
    </row>
    <row r="48" spans="1:6" ht="15" customHeight="1">
      <c r="A48" s="105" t="s">
        <v>832</v>
      </c>
      <c r="B48" s="105" t="s">
        <v>288</v>
      </c>
      <c r="C48" s="106" t="str">
        <f t="shared" si="0"/>
        <v xml:space="preserve">JC Bamberg, Stadt (Gebietsstand Dezember 2024)  </v>
      </c>
      <c r="D48" s="51"/>
      <c r="E48" s="110"/>
      <c r="F48" s="125" t="str">
        <f>IF(INDEX(Daten!$H$26:$H$429,MATCH(Steuerung_Eckwerte!B48,Daten!$C$26:$C$429,0))=0, " ", INDEX(Daten!$H$26:$H$429,MATCH(Steuerung_Eckwerte!B48,Daten!$C$26:$C$429,0)))</f>
        <v xml:space="preserve"> </v>
      </c>
    </row>
    <row r="49" spans="1:6" ht="15" customHeight="1">
      <c r="A49" s="105" t="s">
        <v>402</v>
      </c>
      <c r="B49" s="105" t="s">
        <v>11</v>
      </c>
      <c r="C49" s="106" t="str">
        <f t="shared" si="0"/>
        <v xml:space="preserve">JC Barnim (Gebietsstand Dezember 2024)  </v>
      </c>
      <c r="D49" s="51"/>
      <c r="E49" s="110"/>
      <c r="F49" s="125" t="str">
        <f>IF(INDEX(Daten!$H$26:$H$429,MATCH(Steuerung_Eckwerte!B49,Daten!$C$26:$C$429,0))=0, " ", INDEX(Daten!$H$26:$H$429,MATCH(Steuerung_Eckwerte!B49,Daten!$C$26:$C$429,0)))</f>
        <v xml:space="preserve"> </v>
      </c>
    </row>
    <row r="50" spans="1:6" ht="15" customHeight="1">
      <c r="A50" s="105" t="s">
        <v>421</v>
      </c>
      <c r="B50" s="105" t="s">
        <v>36</v>
      </c>
      <c r="C50" s="106" t="str">
        <f t="shared" si="0"/>
        <v xml:space="preserve">JC Bautzen (Gebietsstand Dezember 2024)  </v>
      </c>
      <c r="D50" s="51"/>
      <c r="E50" s="110"/>
      <c r="F50" s="125" t="str">
        <f>IF(INDEX(Daten!$H$26:$H$429,MATCH(Steuerung_Eckwerte!B50,Daten!$C$26:$C$429,0))=0, " ", INDEX(Daten!$H$26:$H$429,MATCH(Steuerung_Eckwerte!B50,Daten!$C$26:$C$429,0)))</f>
        <v xml:space="preserve"> </v>
      </c>
    </row>
    <row r="51" spans="1:6" ht="15" customHeight="1">
      <c r="A51" s="105" t="s">
        <v>610</v>
      </c>
      <c r="B51" s="105" t="s">
        <v>292</v>
      </c>
      <c r="C51" s="106" t="str">
        <f t="shared" si="0"/>
        <v xml:space="preserve">JC Bayreuth (Gebietsstand Dezember 2024)  </v>
      </c>
      <c r="D51" s="51"/>
      <c r="E51" s="110"/>
      <c r="F51" s="125" t="str">
        <f>IF(INDEX(Daten!$H$26:$H$429,MATCH(Steuerung_Eckwerte!B51,Daten!$C$26:$C$429,0))=0, " ", INDEX(Daten!$H$26:$H$429,MATCH(Steuerung_Eckwerte!B51,Daten!$C$26:$C$429,0)))</f>
        <v xml:space="preserve"> </v>
      </c>
    </row>
    <row r="52" spans="1:6" ht="15" customHeight="1">
      <c r="A52" s="105" t="s">
        <v>609</v>
      </c>
      <c r="B52" s="105" t="s">
        <v>291</v>
      </c>
      <c r="C52" s="106" t="str">
        <f t="shared" si="0"/>
        <v xml:space="preserve">JC Bayreuth, Stadt (Gebietsstand Dezember 2024)  </v>
      </c>
      <c r="D52" s="51"/>
      <c r="E52" s="110"/>
      <c r="F52" s="125" t="str">
        <f>IF(INDEX(Daten!$H$26:$H$429,MATCH(Steuerung_Eckwerte!B52,Daten!$C$26:$C$429,0))=0, " ", INDEX(Daten!$H$26:$H$429,MATCH(Steuerung_Eckwerte!B52,Daten!$C$26:$C$429,0)))</f>
        <v xml:space="preserve"> </v>
      </c>
    </row>
    <row r="53" spans="1:6" ht="15" customHeight="1">
      <c r="A53" s="105" t="s">
        <v>664</v>
      </c>
      <c r="B53" s="105" t="s">
        <v>370</v>
      </c>
      <c r="C53" s="106" t="str">
        <f t="shared" si="0"/>
        <v xml:space="preserve">JC Berchtesgadener Land (Gebietsstand Dezember 2024)  </v>
      </c>
      <c r="D53" s="51"/>
      <c r="E53" s="110"/>
      <c r="F53" s="125" t="str">
        <f>IF(INDEX(Daten!$H$26:$H$429,MATCH(Steuerung_Eckwerte!B53,Daten!$C$26:$C$429,0))=0, " ", INDEX(Daten!$H$26:$H$429,MATCH(Steuerung_Eckwerte!B53,Daten!$C$26:$C$429,0)))</f>
        <v xml:space="preserve"> </v>
      </c>
    </row>
    <row r="54" spans="1:6" ht="15" customHeight="1">
      <c r="A54" s="105" t="s">
        <v>535</v>
      </c>
      <c r="B54" s="105" t="s">
        <v>179</v>
      </c>
      <c r="C54" s="106" t="str">
        <f t="shared" si="0"/>
        <v xml:space="preserve">JC Bergstraße (Gebietsstand Dezember 2024)  </v>
      </c>
      <c r="D54" s="51"/>
      <c r="E54" s="110"/>
      <c r="F54" s="125" t="str">
        <f>IF(INDEX(Daten!$H$26:$H$429,MATCH(Steuerung_Eckwerte!B54,Daten!$C$26:$C$429,0))=0, " ", INDEX(Daten!$H$26:$H$429,MATCH(Steuerung_Eckwerte!B54,Daten!$C$26:$C$429,0)))</f>
        <v xml:space="preserve"> </v>
      </c>
    </row>
    <row r="55" spans="1:6" ht="15" customHeight="1">
      <c r="A55" s="105" t="s">
        <v>570</v>
      </c>
      <c r="B55" s="105" t="s">
        <v>233</v>
      </c>
      <c r="C55" s="106" t="str">
        <f t="shared" si="0"/>
        <v xml:space="preserve">JC Bernkastel-Wittlich (Gebietsstand Dezember 2024)  </v>
      </c>
      <c r="D55" s="51"/>
      <c r="E55" s="110"/>
      <c r="F55" s="125" t="str">
        <f>IF(INDEX(Daten!$H$26:$H$429,MATCH(Steuerung_Eckwerte!B55,Daten!$C$26:$C$429,0))=0, " ", INDEX(Daten!$H$26:$H$429,MATCH(Steuerung_Eckwerte!B55,Daten!$C$26:$C$429,0)))</f>
        <v xml:space="preserve"> </v>
      </c>
    </row>
    <row r="56" spans="1:6" ht="15" customHeight="1">
      <c r="A56" s="105" t="s">
        <v>825</v>
      </c>
      <c r="B56" s="105" t="s">
        <v>266</v>
      </c>
      <c r="C56" s="106" t="str">
        <f t="shared" si="0"/>
        <v xml:space="preserve">JC Biberach (Gebietsstand Dezember 2024)  </v>
      </c>
      <c r="D56" s="51"/>
      <c r="E56" s="110"/>
      <c r="F56" s="125" t="str">
        <f>IF(INDEX(Daten!$H$26:$H$429,MATCH(Steuerung_Eckwerte!B56,Daten!$C$26:$C$429,0))=0, " ", INDEX(Daten!$H$26:$H$429,MATCH(Steuerung_Eckwerte!B56,Daten!$C$26:$C$429,0)))</f>
        <v xml:space="preserve"> </v>
      </c>
    </row>
    <row r="57" spans="1:6" ht="15" customHeight="1">
      <c r="A57" s="105" t="s">
        <v>498</v>
      </c>
      <c r="B57" s="105" t="s">
        <v>130</v>
      </c>
      <c r="C57" s="106" t="str">
        <f t="shared" si="0"/>
        <v xml:space="preserve">JC Bielefeld, Stadt (Gebietsstand Dezember 2024)  </v>
      </c>
      <c r="D57" s="51"/>
      <c r="E57" s="110"/>
      <c r="F57" s="125" t="str">
        <f>IF(INDEX(Daten!$H$26:$H$429,MATCH(Steuerung_Eckwerte!B57,Daten!$C$26:$C$429,0))=0, " ", INDEX(Daten!$H$26:$H$429,MATCH(Steuerung_Eckwerte!B57,Daten!$C$26:$C$429,0)))</f>
        <v xml:space="preserve"> </v>
      </c>
    </row>
    <row r="58" spans="1:6" ht="15" customHeight="1">
      <c r="A58" s="105" t="s">
        <v>552</v>
      </c>
      <c r="B58" s="105" t="s">
        <v>203</v>
      </c>
      <c r="C58" s="106" t="str">
        <f t="shared" si="0"/>
        <v xml:space="preserve">JC Birkenfeld (Gebietsstand Dezember 2024)  </v>
      </c>
      <c r="D58" s="51"/>
      <c r="E58" s="110"/>
      <c r="F58" s="125" t="str">
        <f>IF(INDEX(Daten!$H$26:$H$429,MATCH(Steuerung_Eckwerte!B58,Daten!$C$26:$C$429,0))=0, " ", INDEX(Daten!$H$26:$H$429,MATCH(Steuerung_Eckwerte!B58,Daten!$C$26:$C$429,0)))</f>
        <v xml:space="preserve"> </v>
      </c>
    </row>
    <row r="59" spans="1:6" ht="15" customHeight="1">
      <c r="A59" s="105" t="s">
        <v>571</v>
      </c>
      <c r="B59" s="105" t="s">
        <v>234</v>
      </c>
      <c r="C59" s="106" t="str">
        <f t="shared" si="0"/>
        <v xml:space="preserve">JC Bitburg-Prüm (Gebietsstand Dezember 2024)  </v>
      </c>
      <c r="D59" s="51"/>
      <c r="E59" s="110"/>
      <c r="F59" s="125" t="str">
        <f>IF(INDEX(Daten!$H$26:$H$429,MATCH(Steuerung_Eckwerte!B59,Daten!$C$26:$C$429,0))=0, " ", INDEX(Daten!$H$26:$H$429,MATCH(Steuerung_Eckwerte!B59,Daten!$C$26:$C$429,0)))</f>
        <v xml:space="preserve"> </v>
      </c>
    </row>
    <row r="60" spans="1:6" ht="15" customHeight="1">
      <c r="A60" s="105" t="s">
        <v>601</v>
      </c>
      <c r="B60" s="105" t="s">
        <v>276</v>
      </c>
      <c r="C60" s="106" t="str">
        <f t="shared" si="0"/>
        <v xml:space="preserve">JC Böblingen (Gebietsstand Dezember 2024)  </v>
      </c>
      <c r="D60" s="51"/>
      <c r="E60" s="110"/>
      <c r="F60" s="125" t="str">
        <f>IF(INDEX(Daten!$H$26:$H$429,MATCH(Steuerung_Eckwerte!B60,Daten!$C$26:$C$429,0))=0, " ", INDEX(Daten!$H$26:$H$429,MATCH(Steuerung_Eckwerte!B60,Daten!$C$26:$C$429,0)))</f>
        <v xml:space="preserve"> </v>
      </c>
    </row>
    <row r="61" spans="1:6" ht="15" customHeight="1">
      <c r="A61" s="105" t="s">
        <v>499</v>
      </c>
      <c r="B61" s="105" t="s">
        <v>132</v>
      </c>
      <c r="C61" s="106" t="str">
        <f t="shared" si="0"/>
        <v xml:space="preserve">JC Bochum, Stadt (Gebietsstand Dezember 2024)  </v>
      </c>
      <c r="D61" s="51"/>
      <c r="E61" s="110"/>
      <c r="F61" s="125" t="str">
        <f>IF(INDEX(Daten!$H$26:$H$429,MATCH(Steuerung_Eckwerte!B61,Daten!$C$26:$C$429,0))=0, " ", INDEX(Daten!$H$26:$H$429,MATCH(Steuerung_Eckwerte!B61,Daten!$C$26:$C$429,0)))</f>
        <v xml:space="preserve"> </v>
      </c>
    </row>
    <row r="62" spans="1:6" ht="15" customHeight="1">
      <c r="A62" s="105" t="s">
        <v>817</v>
      </c>
      <c r="B62" s="105" t="s">
        <v>267</v>
      </c>
      <c r="C62" s="106" t="str">
        <f t="shared" si="0"/>
        <v xml:space="preserve">JC Bodenseekreis (Gebietsstand Dezember 2024)  </v>
      </c>
      <c r="D62" s="51"/>
      <c r="E62" s="110"/>
      <c r="F62" s="125" t="str">
        <f>IF(INDEX(Daten!$H$26:$H$429,MATCH(Steuerung_Eckwerte!B62,Daten!$C$26:$C$429,0))=0, " ", INDEX(Daten!$H$26:$H$429,MATCH(Steuerung_Eckwerte!B62,Daten!$C$26:$C$429,0)))</f>
        <v xml:space="preserve"> </v>
      </c>
    </row>
    <row r="63" spans="1:6" ht="15" customHeight="1">
      <c r="A63" s="105" t="s">
        <v>501</v>
      </c>
      <c r="B63" s="105" t="s">
        <v>134</v>
      </c>
      <c r="C63" s="106" t="str">
        <f t="shared" si="0"/>
        <v xml:space="preserve">JC Bonn, Stadt (Gebietsstand Dezember 2024)  </v>
      </c>
      <c r="D63" s="51"/>
      <c r="E63" s="110"/>
      <c r="F63" s="125" t="str">
        <f>IF(INDEX(Daten!$H$26:$H$429,MATCH(Steuerung_Eckwerte!B63,Daten!$C$26:$C$429,0))=0, " ", INDEX(Daten!$H$26:$H$429,MATCH(Steuerung_Eckwerte!B63,Daten!$C$26:$C$429,0)))</f>
        <v xml:space="preserve"> </v>
      </c>
    </row>
    <row r="64" spans="1:6" ht="15" customHeight="1">
      <c r="A64" s="105" t="s">
        <v>419</v>
      </c>
      <c r="B64" s="105" t="s">
        <v>30</v>
      </c>
      <c r="C64" s="106" t="str">
        <f t="shared" si="0"/>
        <v xml:space="preserve">JC Börde (Gebietsstand Dezember 2024)  </v>
      </c>
      <c r="D64" s="51"/>
      <c r="E64" s="110"/>
      <c r="F64" s="125" t="str">
        <f>IF(INDEX(Daten!$H$26:$H$429,MATCH(Steuerung_Eckwerte!B64,Daten!$C$26:$C$429,0))=0, " ", INDEX(Daten!$H$26:$H$429,MATCH(Steuerung_Eckwerte!B64,Daten!$C$26:$C$429,0)))</f>
        <v xml:space="preserve"> </v>
      </c>
    </row>
    <row r="65" spans="1:6" ht="15" customHeight="1">
      <c r="A65" s="105" t="s">
        <v>505</v>
      </c>
      <c r="B65" s="105" t="s">
        <v>138</v>
      </c>
      <c r="C65" s="106" t="str">
        <f t="shared" si="0"/>
        <v xml:space="preserve">JC Borken (Gebietsstand Dezember 2024)  </v>
      </c>
      <c r="D65" s="51"/>
      <c r="E65" s="110"/>
      <c r="F65" s="125" t="str">
        <f>IF(INDEX(Daten!$H$26:$H$429,MATCH(Steuerung_Eckwerte!B65,Daten!$C$26:$C$429,0))=0, " ", INDEX(Daten!$H$26:$H$429,MATCH(Steuerung_Eckwerte!B65,Daten!$C$26:$C$429,0)))</f>
        <v xml:space="preserve"> </v>
      </c>
    </row>
    <row r="66" spans="1:6" ht="15" customHeight="1">
      <c r="A66" s="105" t="s">
        <v>511</v>
      </c>
      <c r="B66" s="105" t="s">
        <v>148</v>
      </c>
      <c r="C66" s="106" t="str">
        <f t="shared" si="0"/>
        <v xml:space="preserve">JC Bottrop, Stadt (Gebietsstand Dezember 2024)  </v>
      </c>
      <c r="D66" s="51"/>
      <c r="E66" s="110"/>
      <c r="F66" s="125" t="str">
        <f>IF(INDEX(Daten!$H$26:$H$429,MATCH(Steuerung_Eckwerte!B66,Daten!$C$26:$C$429,0))=0, " ", INDEX(Daten!$H$26:$H$429,MATCH(Steuerung_Eckwerte!B66,Daten!$C$26:$C$429,0)))</f>
        <v xml:space="preserve"> </v>
      </c>
    </row>
    <row r="67" spans="1:6" ht="15" customHeight="1">
      <c r="A67" s="105" t="s">
        <v>410</v>
      </c>
      <c r="B67" s="105" t="s">
        <v>20</v>
      </c>
      <c r="C67" s="106" t="str">
        <f t="shared" si="0"/>
        <v xml:space="preserve">JC Brandenburg an der Havel, Stadt (Gebietsstand Dezember 2024)  </v>
      </c>
      <c r="D67" s="51"/>
      <c r="E67" s="110"/>
      <c r="F67" s="125" t="str">
        <f>IF(INDEX(Daten!$H$26:$H$429,MATCH(Steuerung_Eckwerte!B67,Daten!$C$26:$C$429,0))=0, " ", INDEX(Daten!$H$26:$H$429,MATCH(Steuerung_Eckwerte!B67,Daten!$C$26:$C$429,0)))</f>
        <v xml:space="preserve"> </v>
      </c>
    </row>
    <row r="68" spans="1:6" ht="15" customHeight="1">
      <c r="A68" s="105" t="s">
        <v>459</v>
      </c>
      <c r="B68" s="105" t="s">
        <v>78</v>
      </c>
      <c r="C68" s="106" t="str">
        <f t="shared" si="0"/>
        <v xml:space="preserve">JC Braunschweig, Stadt (Gebietsstand Dezember 2024)  </v>
      </c>
      <c r="D68" s="51"/>
      <c r="E68" s="110"/>
      <c r="F68" s="125" t="str">
        <f>IF(INDEX(Daten!$H$26:$H$429,MATCH(Steuerung_Eckwerte!B68,Daten!$C$26:$C$429,0))=0, " ", INDEX(Daten!$H$26:$H$429,MATCH(Steuerung_Eckwerte!B68,Daten!$C$26:$C$429,0)))</f>
        <v xml:space="preserve"> </v>
      </c>
    </row>
    <row r="69" spans="1:6" ht="15" customHeight="1">
      <c r="A69" s="105" t="s">
        <v>578</v>
      </c>
      <c r="B69" s="105" t="s">
        <v>242</v>
      </c>
      <c r="C69" s="106" t="str">
        <f t="shared" si="0"/>
        <v xml:space="preserve">JC Breisgau-Hochschwarzwald (Gebietsstand Dezember 2024)  </v>
      </c>
      <c r="D69" s="51"/>
      <c r="E69" s="110"/>
      <c r="F69" s="125" t="str">
        <f>IF(INDEX(Daten!$H$26:$H$429,MATCH(Steuerung_Eckwerte!B69,Daten!$C$26:$C$429,0))=0, " ", INDEX(Daten!$H$26:$H$429,MATCH(Steuerung_Eckwerte!B69,Daten!$C$26:$C$429,0)))</f>
        <v xml:space="preserve"> </v>
      </c>
    </row>
    <row r="70" spans="1:6" ht="15" customHeight="1">
      <c r="A70" s="105" t="s">
        <v>462</v>
      </c>
      <c r="B70" s="105" t="s">
        <v>82</v>
      </c>
      <c r="C70" s="106" t="str">
        <f t="shared" si="0"/>
        <v xml:space="preserve">JC Bremen, Stadt (Gebietsstand Dezember 2024)  </v>
      </c>
      <c r="D70" s="51"/>
      <c r="E70" s="110"/>
      <c r="F70" s="125" t="str">
        <f>IF(INDEX(Daten!$H$26:$H$429,MATCH(Steuerung_Eckwerte!B70,Daten!$C$26:$C$429,0))=0, " ", INDEX(Daten!$H$26:$H$429,MATCH(Steuerung_Eckwerte!B70,Daten!$C$26:$C$429,0)))</f>
        <v xml:space="preserve"> </v>
      </c>
    </row>
    <row r="71" spans="1:6" ht="15" customHeight="1">
      <c r="A71" s="105" t="s">
        <v>791</v>
      </c>
      <c r="B71" s="105" t="s">
        <v>84</v>
      </c>
      <c r="C71" s="106" t="str">
        <f t="shared" si="0"/>
        <v xml:space="preserve">JC Bremerhaven, Stadt (Gebietsstand Dezember 2024)  </v>
      </c>
      <c r="D71" s="51"/>
      <c r="E71" s="110"/>
      <c r="F71" s="125" t="str">
        <f>IF(INDEX(Daten!$H$26:$H$429,MATCH(Steuerung_Eckwerte!B71,Daten!$C$26:$C$429,0))=0, " ", INDEX(Daten!$H$26:$H$429,MATCH(Steuerung_Eckwerte!B71,Daten!$C$26:$C$429,0)))</f>
        <v xml:space="preserve"> </v>
      </c>
    </row>
    <row r="72" spans="1:6" ht="15" customHeight="1">
      <c r="A72" s="290" t="s">
        <v>1031</v>
      </c>
      <c r="B72" s="105" t="s">
        <v>31</v>
      </c>
      <c r="C72" s="106" t="str">
        <f t="shared" si="0"/>
        <v xml:space="preserve">JC Burgenlandkreis (Gebietsstand Dezember 2024)  </v>
      </c>
      <c r="D72" s="51"/>
      <c r="E72" s="110"/>
      <c r="F72" s="125" t="str">
        <f>IF(INDEX(Daten!$H$26:$H$429,MATCH(Steuerung_Eckwerte!B72,Daten!$C$26:$C$429,0))=0, " ", INDEX(Daten!$H$26:$H$429,MATCH(Steuerung_Eckwerte!B72,Daten!$C$26:$C$429,0)))</f>
        <v xml:space="preserve"> </v>
      </c>
    </row>
    <row r="73" spans="1:6" ht="15" customHeight="1">
      <c r="A73" s="105" t="s">
        <v>593</v>
      </c>
      <c r="B73" s="105" t="s">
        <v>258</v>
      </c>
      <c r="C73" s="106" t="str">
        <f t="shared" si="0"/>
        <v xml:space="preserve">JC Calw (Gebietsstand Dezember 2024)  </v>
      </c>
      <c r="D73" s="51"/>
      <c r="E73" s="110"/>
      <c r="F73" s="125" t="str">
        <f>IF(INDEX(Daten!$H$26:$H$429,MATCH(Steuerung_Eckwerte!B73,Daten!$C$26:$C$429,0))=0, " ", INDEX(Daten!$H$26:$H$429,MATCH(Steuerung_Eckwerte!B73,Daten!$C$26:$C$429,0)))</f>
        <v xml:space="preserve"> </v>
      </c>
    </row>
    <row r="74" spans="1:6" ht="15" customHeight="1">
      <c r="A74" s="105" t="s">
        <v>464</v>
      </c>
      <c r="B74" s="105" t="s">
        <v>85</v>
      </c>
      <c r="C74" s="106" t="str">
        <f t="shared" si="0"/>
        <v xml:space="preserve">JC Celle (Gebietsstand Dezember 2024)  </v>
      </c>
      <c r="D74" s="51"/>
      <c r="E74" s="110"/>
      <c r="F74" s="125" t="str">
        <f>IF(INDEX(Daten!$H$26:$H$429,MATCH(Steuerung_Eckwerte!B74,Daten!$C$26:$C$429,0))=0, " ", INDEX(Daten!$H$26:$H$429,MATCH(Steuerung_Eckwerte!B74,Daten!$C$26:$C$429,0)))</f>
        <v xml:space="preserve"> </v>
      </c>
    </row>
    <row r="75" spans="1:6" ht="15" customHeight="1">
      <c r="A75" s="105" t="s">
        <v>624</v>
      </c>
      <c r="B75" s="105" t="s">
        <v>313</v>
      </c>
      <c r="C75" s="106" t="str">
        <f t="shared" si="0"/>
        <v xml:space="preserve">JC Cham (Gebietsstand Dezember 2024)  </v>
      </c>
      <c r="D75" s="51"/>
      <c r="E75" s="110"/>
      <c r="F75" s="125" t="str">
        <f>IF(INDEX(Daten!$H$26:$H$429,MATCH(Steuerung_Eckwerte!B75,Daten!$C$26:$C$429,0))=0, " ", INDEX(Daten!$H$26:$H$429,MATCH(Steuerung_Eckwerte!B75,Daten!$C$26:$C$429,0)))</f>
        <v xml:space="preserve"> </v>
      </c>
    </row>
    <row r="76" spans="1:6" ht="15" customHeight="1">
      <c r="A76" s="105" t="s">
        <v>671</v>
      </c>
      <c r="B76" s="105" t="s">
        <v>379</v>
      </c>
      <c r="C76" s="106" t="str">
        <f t="shared" si="0"/>
        <v xml:space="preserve">JC Charlottenburg-Wilmersdorf (Gebietsstand Dezember 2024)  </v>
      </c>
      <c r="D76" s="51"/>
      <c r="E76" s="110"/>
      <c r="F76" s="125" t="str">
        <f>IF(INDEX(Daten!$H$26:$H$429,MATCH(Steuerung_Eckwerte!B76,Daten!$C$26:$C$429,0))=0, " ", INDEX(Daten!$H$26:$H$429,MATCH(Steuerung_Eckwerte!B76,Daten!$C$26:$C$429,0)))</f>
        <v xml:space="preserve"> </v>
      </c>
    </row>
    <row r="77" spans="1:6" ht="15" customHeight="1">
      <c r="A77" s="105" t="s">
        <v>423</v>
      </c>
      <c r="B77" s="105" t="s">
        <v>37</v>
      </c>
      <c r="C77" s="106" t="str">
        <f t="shared" si="0"/>
        <v xml:space="preserve">JC Chemnitz, Stadt (Gebietsstand Dezember 2024)  </v>
      </c>
      <c r="D77" s="51"/>
      <c r="E77" s="110"/>
      <c r="F77" s="125" t="str">
        <f>IF(INDEX(Daten!$H$26:$H$429,MATCH(Steuerung_Eckwerte!B77,Daten!$C$26:$C$429,0))=0, " ", INDEX(Daten!$H$26:$H$429,MATCH(Steuerung_Eckwerte!B77,Daten!$C$26:$C$429,0)))</f>
        <v xml:space="preserve"> </v>
      </c>
    </row>
    <row r="78" spans="1:6" ht="15" customHeight="1">
      <c r="A78" s="105" t="s">
        <v>490</v>
      </c>
      <c r="B78" s="105" t="s">
        <v>119</v>
      </c>
      <c r="C78" s="106" t="str">
        <f t="shared" si="0"/>
        <v xml:space="preserve">JC Cloppenburg (Gebietsstand Dezember 2024)  </v>
      </c>
      <c r="D78" s="51"/>
      <c r="E78" s="110"/>
      <c r="F78" s="125" t="str">
        <f>IF(INDEX(Daten!$H$26:$H$429,MATCH(Steuerung_Eckwerte!B78,Daten!$C$26:$C$429,0))=0, " ", INDEX(Daten!$H$26:$H$429,MATCH(Steuerung_Eckwerte!B78,Daten!$C$26:$C$429,0)))</f>
        <v xml:space="preserve"> </v>
      </c>
    </row>
    <row r="79" spans="1:6" ht="15" customHeight="1">
      <c r="A79" s="105" t="s">
        <v>613</v>
      </c>
      <c r="B79" s="105" t="s">
        <v>295</v>
      </c>
      <c r="C79" s="106" t="str">
        <f t="shared" si="0"/>
        <v xml:space="preserve">JC Coburg (Gebietsstand Dezember 2024)  </v>
      </c>
      <c r="D79" s="51"/>
      <c r="E79" s="110"/>
      <c r="F79" s="125" t="str">
        <f>IF(INDEX(Daten!$H$26:$H$429,MATCH(Steuerung_Eckwerte!B79,Daten!$C$26:$C$429,0))=0, " ", INDEX(Daten!$H$26:$H$429,MATCH(Steuerung_Eckwerte!B79,Daten!$C$26:$C$429,0)))</f>
        <v xml:space="preserve"> </v>
      </c>
    </row>
    <row r="80" spans="1:6" ht="15" customHeight="1">
      <c r="A80" s="105" t="s">
        <v>612</v>
      </c>
      <c r="B80" s="105" t="s">
        <v>294</v>
      </c>
      <c r="C80" s="106" t="str">
        <f t="shared" si="0"/>
        <v xml:space="preserve">JC Coburg, Stadt (Gebietsstand Dezember 2024)  </v>
      </c>
      <c r="D80" s="51"/>
      <c r="E80" s="110"/>
      <c r="F80" s="125" t="str">
        <f>IF(INDEX(Daten!$H$26:$H$429,MATCH(Steuerung_Eckwerte!B80,Daten!$C$26:$C$429,0))=0, " ", INDEX(Daten!$H$26:$H$429,MATCH(Steuerung_Eckwerte!B80,Daten!$C$26:$C$429,0)))</f>
        <v xml:space="preserve"> </v>
      </c>
    </row>
    <row r="81" spans="1:7" ht="15" customHeight="1">
      <c r="A81" s="105" t="s">
        <v>558</v>
      </c>
      <c r="B81" s="105" t="s">
        <v>210</v>
      </c>
      <c r="C81" s="106" t="str">
        <f t="shared" si="0"/>
        <v xml:space="preserve">JC Cochem-Zell (Gebietsstand Dezember 2024)  </v>
      </c>
      <c r="D81" s="51"/>
      <c r="E81" s="110"/>
      <c r="F81" s="125" t="str">
        <f>IF(INDEX(Daten!$H$26:$H$429,MATCH(Steuerung_Eckwerte!B81,Daten!$C$26:$C$429,0))=0, " ", INDEX(Daten!$H$26:$H$429,MATCH(Steuerung_Eckwerte!B81,Daten!$C$26:$C$429,0)))</f>
        <v xml:space="preserve"> </v>
      </c>
    </row>
    <row r="82" spans="1:7" ht="15" customHeight="1">
      <c r="A82" s="105" t="s">
        <v>506</v>
      </c>
      <c r="B82" s="105" t="s">
        <v>139</v>
      </c>
      <c r="C82" s="106" t="str">
        <f t="shared" si="0"/>
        <v xml:space="preserve">JC Coesfeld (Gebietsstand Dezember 2024)  </v>
      </c>
      <c r="D82" s="51"/>
      <c r="E82" s="110"/>
      <c r="F82" s="125" t="str">
        <f>IF(INDEX(Daten!$H$26:$H$429,MATCH(Steuerung_Eckwerte!B82,Daten!$C$26:$C$429,0))=0, " ", INDEX(Daten!$H$26:$H$429,MATCH(Steuerung_Eckwerte!B82,Daten!$C$26:$C$429,0)))</f>
        <v xml:space="preserve"> </v>
      </c>
    </row>
    <row r="83" spans="1:7" ht="15" customHeight="1">
      <c r="A83" s="105" t="s">
        <v>398</v>
      </c>
      <c r="B83" s="105" t="s">
        <v>7</v>
      </c>
      <c r="C83" s="106" t="str">
        <f t="shared" si="0"/>
        <v xml:space="preserve">JC Cottbus, Stadt (Gebietsstand Dezember 2024)  </v>
      </c>
      <c r="D83" s="51"/>
      <c r="E83" s="110"/>
      <c r="F83" s="125" t="str">
        <f>IF(INDEX(Daten!$H$26:$H$429,MATCH(Steuerung_Eckwerte!B83,Daten!$C$26:$C$429,0))=0, " ", INDEX(Daten!$H$26:$H$429,MATCH(Steuerung_Eckwerte!B83,Daten!$C$26:$C$429,0)))</f>
        <v xml:space="preserve"> </v>
      </c>
    </row>
    <row r="84" spans="1:7" ht="15" customHeight="1">
      <c r="A84" s="105" t="s">
        <v>487</v>
      </c>
      <c r="B84" s="105" t="s">
        <v>114</v>
      </c>
      <c r="C84" s="106" t="str">
        <f t="shared" si="0"/>
        <v xml:space="preserve">JC Cuxhaven (Gebietsstand Dezember 2024)  </v>
      </c>
      <c r="D84" s="51"/>
      <c r="E84" s="110"/>
      <c r="F84" s="125" t="str">
        <f>IF(INDEX(Daten!$H$26:$H$429,MATCH(Steuerung_Eckwerte!B84,Daten!$C$26:$C$429,0))=0, " ", INDEX(Daten!$H$26:$H$429,MATCH(Steuerung_Eckwerte!B84,Daten!$C$26:$C$429,0)))</f>
        <v xml:space="preserve"> </v>
      </c>
    </row>
    <row r="85" spans="1:7" ht="15" customHeight="1">
      <c r="A85" s="105" t="s">
        <v>837</v>
      </c>
      <c r="B85" s="105" t="s">
        <v>354</v>
      </c>
      <c r="C85" s="106" t="str">
        <f t="shared" si="0"/>
        <v xml:space="preserve">JC Dachau (Gebietsstand Dezember 2024)  </v>
      </c>
      <c r="D85" s="51"/>
      <c r="E85" s="110"/>
      <c r="F85" s="125" t="str">
        <f>IF(INDEX(Daten!$H$26:$H$429,MATCH(Steuerung_Eckwerte!B85,Daten!$C$26:$C$429,0))=0, " ", INDEX(Daten!$H$26:$H$429,MATCH(Steuerung_Eckwerte!B85,Daten!$C$26:$C$429,0)))</f>
        <v xml:space="preserve"> </v>
      </c>
    </row>
    <row r="86" spans="1:7" ht="15" customHeight="1">
      <c r="A86" s="105" t="s">
        <v>859</v>
      </c>
      <c r="B86" s="105" t="s">
        <v>24</v>
      </c>
      <c r="C86" s="106" t="str">
        <f t="shared" si="0"/>
        <v xml:space="preserve">JC Dahme-Spreewald (Gebietsstand Dezember 2024)  </v>
      </c>
      <c r="D86" s="51"/>
      <c r="E86" s="110"/>
      <c r="F86" s="125" t="str">
        <f>IF(INDEX(Daten!$H$26:$H$429,MATCH(Steuerung_Eckwerte!B86,Daten!$C$26:$C$429,0))=0, " ", INDEX(Daten!$H$26:$H$429,MATCH(Steuerung_Eckwerte!B86,Daten!$C$26:$C$429,0)))</f>
        <v xml:space="preserve"> </v>
      </c>
    </row>
    <row r="87" spans="1:7" ht="15" customHeight="1">
      <c r="A87" s="105" t="s">
        <v>538</v>
      </c>
      <c r="B87" s="105" t="s">
        <v>183</v>
      </c>
      <c r="C87" s="106" t="str">
        <f t="shared" si="0"/>
        <v xml:space="preserve">JC Darmstadt, Wissenschaftsstadt (Gebietsstand Dezember 2024)  </v>
      </c>
      <c r="D87" s="51"/>
      <c r="E87" s="110"/>
      <c r="F87" s="125" t="str">
        <f>IF(INDEX(Daten!$H$26:$H$429,MATCH(Steuerung_Eckwerte!B87,Daten!$C$26:$C$429,0))=0, " ", INDEX(Daten!$H$26:$H$429,MATCH(Steuerung_Eckwerte!B87,Daten!$C$26:$C$429,0)))</f>
        <v xml:space="preserve"> </v>
      </c>
    </row>
    <row r="88" spans="1:7" ht="15" customHeight="1">
      <c r="A88" s="105" t="s">
        <v>536</v>
      </c>
      <c r="B88" s="105" t="s">
        <v>180</v>
      </c>
      <c r="C88" s="106" t="str">
        <f t="shared" si="0"/>
        <v xml:space="preserve">JC Darmstadt-Dieburg (Gebietsstand Dezember 2024)  </v>
      </c>
      <c r="D88" s="51"/>
      <c r="E88" s="110"/>
      <c r="F88" s="125" t="str">
        <f>IF(INDEX(Daten!$H$26:$H$429,MATCH(Steuerung_Eckwerte!B88,Daten!$C$26:$C$429,0))=0, " ", INDEX(Daten!$H$26:$H$429,MATCH(Steuerung_Eckwerte!B88,Daten!$C$26:$C$429,0)))</f>
        <v xml:space="preserve"> </v>
      </c>
      <c r="G88" s="53"/>
    </row>
    <row r="89" spans="1:7" ht="15" customHeight="1">
      <c r="A89" s="105" t="s">
        <v>640</v>
      </c>
      <c r="B89" s="105" t="s">
        <v>331</v>
      </c>
      <c r="C89" s="106" t="str">
        <f t="shared" ref="C89:C150" si="1">CONCATENATE(B89, " ", $D$3, " ", F89)</f>
        <v xml:space="preserve">JC Deggendorf (Gebietsstand Dezember 2024)  </v>
      </c>
      <c r="D89" s="51"/>
      <c r="E89" s="110"/>
      <c r="F89" s="125" t="str">
        <f>IF(INDEX(Daten!$H$26:$H$429,MATCH(Steuerung_Eckwerte!B89,Daten!$C$26:$C$429,0))=0, " ", INDEX(Daten!$H$26:$H$429,MATCH(Steuerung_Eckwerte!B89,Daten!$C$26:$C$429,0)))</f>
        <v xml:space="preserve"> </v>
      </c>
    </row>
    <row r="90" spans="1:7" ht="15" customHeight="1">
      <c r="A90" s="105" t="s">
        <v>479</v>
      </c>
      <c r="B90" s="105" t="s">
        <v>106</v>
      </c>
      <c r="C90" s="106" t="str">
        <f t="shared" si="1"/>
        <v xml:space="preserve">JC Delmenhorst, Stadt (Gebietsstand Dezember 2024)  </v>
      </c>
      <c r="D90" s="51"/>
      <c r="E90" s="110"/>
      <c r="F90" s="125" t="str">
        <f>IF(INDEX(Daten!$H$26:$H$429,MATCH(Steuerung_Eckwerte!B90,Daten!$C$26:$C$429,0))=0, " ", INDEX(Daten!$H$26:$H$429,MATCH(Steuerung_Eckwerte!B90,Daten!$C$26:$C$429,0)))</f>
        <v xml:space="preserve"> </v>
      </c>
    </row>
    <row r="91" spans="1:7" ht="15" customHeight="1">
      <c r="A91" s="105" t="s">
        <v>413</v>
      </c>
      <c r="B91" s="105" t="s">
        <v>25</v>
      </c>
      <c r="C91" s="106" t="str">
        <f t="shared" si="1"/>
        <v xml:space="preserve">JC Dessau-Roßlau (Gebietsstand Dezember 2024)  </v>
      </c>
      <c r="D91" s="51"/>
      <c r="E91" s="110"/>
      <c r="F91" s="125" t="str">
        <f>IF(INDEX(Daten!$H$26:$H$429,MATCH(Steuerung_Eckwerte!B91,Daten!$C$26:$C$429,0))=0, " ", INDEX(Daten!$H$26:$H$429,MATCH(Steuerung_Eckwerte!B91,Daten!$C$26:$C$429,0)))</f>
        <v xml:space="preserve"> </v>
      </c>
    </row>
    <row r="92" spans="1:7" ht="15" customHeight="1">
      <c r="A92" s="105" t="s">
        <v>813</v>
      </c>
      <c r="B92" s="105" t="s">
        <v>212</v>
      </c>
      <c r="C92" s="106" t="str">
        <f t="shared" si="1"/>
        <v xml:space="preserve">JC Deutsche Weinstraße (Gebietsstand Dezember 2024)  </v>
      </c>
      <c r="D92" s="51"/>
      <c r="E92" s="110"/>
      <c r="F92" s="125" t="str">
        <f>IF(INDEX(Daten!$H$26:$H$429,MATCH(Steuerung_Eckwerte!B92,Daten!$C$26:$C$429,0))=0, " ", INDEX(Daten!$H$26:$H$429,MATCH(Steuerung_Eckwerte!B92,Daten!$C$26:$C$429,0)))</f>
        <v xml:space="preserve"> </v>
      </c>
    </row>
    <row r="93" spans="1:7" ht="15" customHeight="1">
      <c r="A93" s="105" t="s">
        <v>492</v>
      </c>
      <c r="B93" s="105" t="s">
        <v>121</v>
      </c>
      <c r="C93" s="106" t="str">
        <f t="shared" si="1"/>
        <v xml:space="preserve">JC Diepholz (Gebietsstand Dezember 2024)  </v>
      </c>
      <c r="D93" s="51"/>
      <c r="E93" s="110"/>
      <c r="F93" s="125" t="str">
        <f>IF(INDEX(Daten!$H$26:$H$429,MATCH(Steuerung_Eckwerte!B93,Daten!$C$26:$C$429,0))=0, " ", INDEX(Daten!$H$26:$H$429,MATCH(Steuerung_Eckwerte!B93,Daten!$C$26:$C$429,0)))</f>
        <v xml:space="preserve"> </v>
      </c>
    </row>
    <row r="94" spans="1:7" ht="15" customHeight="1">
      <c r="A94" s="105" t="s">
        <v>643</v>
      </c>
      <c r="B94" s="105" t="s">
        <v>334</v>
      </c>
      <c r="C94" s="106" t="str">
        <f t="shared" si="1"/>
        <v xml:space="preserve">JC Dillingen adDonau (Gebietsstand Dezember 2024)  </v>
      </c>
      <c r="D94" s="51"/>
      <c r="E94" s="110"/>
      <c r="F94" s="125" t="str">
        <f>IF(INDEX(Daten!$H$26:$H$429,MATCH(Steuerung_Eckwerte!B94,Daten!$C$26:$C$429,0))=0, " ", INDEX(Daten!$H$26:$H$429,MATCH(Steuerung_Eckwerte!B94,Daten!$C$26:$C$429,0)))</f>
        <v xml:space="preserve"> </v>
      </c>
    </row>
    <row r="95" spans="1:7" ht="15" customHeight="1">
      <c r="A95" s="105" t="s">
        <v>653</v>
      </c>
      <c r="B95" s="105" t="s">
        <v>347</v>
      </c>
      <c r="C95" s="106" t="str">
        <f t="shared" si="1"/>
        <v xml:space="preserve">JC Dingolfing-Landau (Gebietsstand Dezember 2024)  </v>
      </c>
      <c r="D95" s="51"/>
      <c r="E95" s="110"/>
      <c r="F95" s="125" t="str">
        <f>IF(INDEX(Daten!$H$26:$H$429,MATCH(Steuerung_Eckwerte!B95,Daten!$C$26:$C$429,0))=0, " ", INDEX(Daten!$H$26:$H$429,MATCH(Steuerung_Eckwerte!B95,Daten!$C$26:$C$429,0)))</f>
        <v xml:space="preserve"> </v>
      </c>
    </row>
    <row r="96" spans="1:7" ht="15" customHeight="1">
      <c r="A96" s="105" t="s">
        <v>452</v>
      </c>
      <c r="B96" s="105" t="s">
        <v>70</v>
      </c>
      <c r="C96" s="106" t="str">
        <f t="shared" si="1"/>
        <v xml:space="preserve">JC Dithmarschen (Gebietsstand Dezember 2024)  </v>
      </c>
      <c r="D96" s="51"/>
      <c r="E96" s="110"/>
      <c r="F96" s="125" t="str">
        <f>IF(INDEX(Daten!$H$26:$H$429,MATCH(Steuerung_Eckwerte!B96,Daten!$C$26:$C$429,0))=0, " ", INDEX(Daten!$H$26:$H$429,MATCH(Steuerung_Eckwerte!B96,Daten!$C$26:$C$429,0)))</f>
        <v xml:space="preserve"> </v>
      </c>
    </row>
    <row r="97" spans="1:6" ht="15" customHeight="1">
      <c r="A97" s="105" t="s">
        <v>644</v>
      </c>
      <c r="B97" s="105" t="s">
        <v>335</v>
      </c>
      <c r="C97" s="106" t="str">
        <f t="shared" si="1"/>
        <v xml:space="preserve">JC Donau-Ries (Gebietsstand Dezember 2024)  </v>
      </c>
      <c r="D97" s="51"/>
      <c r="E97" s="110"/>
      <c r="F97" s="125" t="str">
        <f>IF(INDEX(Daten!$H$26:$H$429,MATCH(Steuerung_Eckwerte!B97,Daten!$C$26:$C$429,0))=0, " ", INDEX(Daten!$H$26:$H$429,MATCH(Steuerung_Eckwerte!B97,Daten!$C$26:$C$429,0)))</f>
        <v xml:space="preserve"> </v>
      </c>
    </row>
    <row r="98" spans="1:6" ht="15" customHeight="1">
      <c r="A98" s="105" t="s">
        <v>554</v>
      </c>
      <c r="B98" s="105" t="s">
        <v>205</v>
      </c>
      <c r="C98" s="106" t="str">
        <f t="shared" si="1"/>
        <v xml:space="preserve">JC Donnersbergkreis (Gebietsstand Dezember 2024)  </v>
      </c>
      <c r="D98" s="51"/>
      <c r="E98" s="110"/>
      <c r="F98" s="125" t="str">
        <f>IF(INDEX(Daten!$H$26:$H$429,MATCH(Steuerung_Eckwerte!B98,Daten!$C$26:$C$429,0))=0, " ", INDEX(Daten!$H$26:$H$429,MATCH(Steuerung_Eckwerte!B98,Daten!$C$26:$C$429,0)))</f>
        <v xml:space="preserve"> </v>
      </c>
    </row>
    <row r="99" spans="1:6" ht="15" customHeight="1">
      <c r="A99" s="105" t="s">
        <v>507</v>
      </c>
      <c r="B99" s="105" t="s">
        <v>141</v>
      </c>
      <c r="C99" s="106" t="str">
        <f t="shared" si="1"/>
        <v xml:space="preserve">JC Dortmund, Stadt (Gebietsstand Dezember 2024)  </v>
      </c>
      <c r="D99" s="51"/>
      <c r="E99" s="110"/>
      <c r="F99" s="125" t="str">
        <f>IF(INDEX(Daten!$H$26:$H$429,MATCH(Steuerung_Eckwerte!B99,Daten!$C$26:$C$429,0))=0, " ", INDEX(Daten!$H$26:$H$429,MATCH(Steuerung_Eckwerte!B99,Daten!$C$26:$C$429,0)))</f>
        <v xml:space="preserve"> </v>
      </c>
    </row>
    <row r="100" spans="1:6" ht="15" customHeight="1">
      <c r="A100" s="105" t="s">
        <v>424</v>
      </c>
      <c r="B100" s="105" t="s">
        <v>38</v>
      </c>
      <c r="C100" s="106" t="str">
        <f t="shared" si="1"/>
        <v xml:space="preserve">JC Dresden, Stadt (Gebietsstand Dezember 2024)  </v>
      </c>
      <c r="D100" s="51"/>
      <c r="E100" s="110"/>
      <c r="F100" s="125" t="str">
        <f>IF(INDEX(Daten!$H$26:$H$429,MATCH(Steuerung_Eckwerte!B100,Daten!$C$26:$C$429,0))=0, " ", INDEX(Daten!$H$26:$H$429,MATCH(Steuerung_Eckwerte!B100,Daten!$C$26:$C$429,0)))</f>
        <v xml:space="preserve"> </v>
      </c>
    </row>
    <row r="101" spans="1:6" ht="15" customHeight="1">
      <c r="A101" s="105" t="s">
        <v>509</v>
      </c>
      <c r="B101" s="105" t="s">
        <v>145</v>
      </c>
      <c r="C101" s="106" t="str">
        <f t="shared" si="1"/>
        <v xml:space="preserve">JC Duisburg, Stadt (Gebietsstand Dezember 2024)  </v>
      </c>
      <c r="D101" s="51"/>
      <c r="E101" s="110"/>
      <c r="F101" s="125" t="str">
        <f>IF(INDEX(Daten!$H$26:$H$429,MATCH(Steuerung_Eckwerte!B101,Daten!$C$26:$C$429,0))=0, " ", INDEX(Daten!$H$26:$H$429,MATCH(Steuerung_Eckwerte!B101,Daten!$C$26:$C$429,0)))</f>
        <v xml:space="preserve"> </v>
      </c>
    </row>
    <row r="102" spans="1:6" ht="15" customHeight="1">
      <c r="A102" s="105" t="s">
        <v>792</v>
      </c>
      <c r="B102" s="105" t="s">
        <v>142</v>
      </c>
      <c r="C102" s="106" t="str">
        <f t="shared" si="1"/>
        <v xml:space="preserve">JC Düren (Gebietsstand Dezember 2024)  </v>
      </c>
      <c r="D102" s="51"/>
      <c r="E102" s="110"/>
      <c r="F102" s="125" t="str">
        <f>IF(INDEX(Daten!$H$26:$H$429,MATCH(Steuerung_Eckwerte!B102,Daten!$C$26:$C$429,0))=0, " ", INDEX(Daten!$H$26:$H$429,MATCH(Steuerung_Eckwerte!B102,Daten!$C$26:$C$429,0)))</f>
        <v xml:space="preserve"> </v>
      </c>
    </row>
    <row r="103" spans="1:6" ht="15" customHeight="1">
      <c r="A103" s="105" t="s">
        <v>508</v>
      </c>
      <c r="B103" s="105" t="s">
        <v>143</v>
      </c>
      <c r="C103" s="106" t="str">
        <f t="shared" si="1"/>
        <v xml:space="preserve">JC Düsseldorf, Stadt (Gebietsstand Dezember 2024)  </v>
      </c>
      <c r="D103" s="51"/>
      <c r="E103" s="110"/>
      <c r="F103" s="125" t="str">
        <f>IF(INDEX(Daten!$H$26:$H$429,MATCH(Steuerung_Eckwerte!B103,Daten!$C$26:$C$429,0))=0, " ", INDEX(Daten!$H$26:$H$429,MATCH(Steuerung_Eckwerte!B103,Daten!$C$26:$C$429,0)))</f>
        <v xml:space="preserve"> </v>
      </c>
    </row>
    <row r="104" spans="1:6" ht="15" customHeight="1">
      <c r="A104" s="105" t="s">
        <v>838</v>
      </c>
      <c r="B104" s="105" t="s">
        <v>355</v>
      </c>
      <c r="C104" s="106" t="str">
        <f t="shared" si="1"/>
        <v xml:space="preserve">JC Ebersberg (Gebietsstand Dezember 2024)  </v>
      </c>
      <c r="D104" s="51"/>
      <c r="E104" s="110"/>
      <c r="F104" s="125" t="str">
        <f>IF(INDEX(Daten!$H$26:$H$429,MATCH(Steuerung_Eckwerte!B104,Daten!$C$26:$C$429,0))=0, " ", INDEX(Daten!$H$26:$H$429,MATCH(Steuerung_Eckwerte!B104,Daten!$C$26:$C$429,0)))</f>
        <v xml:space="preserve"> </v>
      </c>
    </row>
    <row r="105" spans="1:6" ht="15" customHeight="1">
      <c r="A105" s="105" t="s">
        <v>439</v>
      </c>
      <c r="B105" s="105" t="s">
        <v>55</v>
      </c>
      <c r="C105" s="106" t="str">
        <f t="shared" si="1"/>
        <v>JC Eichsfeld (Gebietsstand Dezember 2024) ⁵</v>
      </c>
      <c r="D105" s="51"/>
      <c r="E105" s="110"/>
      <c r="F105" s="125" t="str">
        <f>IF(INDEX(Daten!$H$26:$H$429,MATCH(Steuerung_Eckwerte!B105,Daten!$C$26:$C$429,0))=0, " ", INDEX(Daten!$H$26:$H$429,MATCH(Steuerung_Eckwerte!B105,Daten!$C$26:$C$429,0)))</f>
        <v>⁵</v>
      </c>
    </row>
    <row r="106" spans="1:6" ht="15" customHeight="1">
      <c r="A106" s="105" t="s">
        <v>647</v>
      </c>
      <c r="B106" s="105" t="s">
        <v>338</v>
      </c>
      <c r="C106" s="106" t="str">
        <f t="shared" si="1"/>
        <v xml:space="preserve">JC Eichstätt (Gebietsstand Dezember 2024)  </v>
      </c>
      <c r="D106" s="51"/>
      <c r="E106" s="110"/>
      <c r="F106" s="125" t="str">
        <f>IF(INDEX(Daten!$H$26:$H$429,MATCH(Steuerung_Eckwerte!B106,Daten!$C$26:$C$429,0))=0, " ", INDEX(Daten!$H$26:$H$429,MATCH(Steuerung_Eckwerte!B106,Daten!$C$26:$C$429,0)))</f>
        <v xml:space="preserve"> </v>
      </c>
    </row>
    <row r="107" spans="1:6" ht="15" customHeight="1">
      <c r="A107" s="105" t="s">
        <v>399</v>
      </c>
      <c r="B107" s="105" t="s">
        <v>8</v>
      </c>
      <c r="C107" s="106" t="str">
        <f t="shared" si="1"/>
        <v xml:space="preserve">JC Elbe-Elster (Gebietsstand Dezember 2024)  </v>
      </c>
      <c r="D107" s="51"/>
      <c r="E107" s="110"/>
      <c r="F107" s="125" t="str">
        <f>IF(INDEX(Daten!$H$26:$H$429,MATCH(Steuerung_Eckwerte!B107,Daten!$C$26:$C$429,0))=0, " ", INDEX(Daten!$H$26:$H$429,MATCH(Steuerung_Eckwerte!B107,Daten!$C$26:$C$429,0)))</f>
        <v xml:space="preserve"> </v>
      </c>
    </row>
    <row r="108" spans="1:6" ht="15" customHeight="1">
      <c r="A108" s="105" t="s">
        <v>466</v>
      </c>
      <c r="B108" s="105" t="s">
        <v>86</v>
      </c>
      <c r="C108" s="106" t="str">
        <f t="shared" si="1"/>
        <v xml:space="preserve">JC Emden, Stadt (Gebietsstand Dezember 2024)  </v>
      </c>
      <c r="D108" s="51"/>
      <c r="E108" s="110"/>
      <c r="F108" s="125" t="str">
        <f>IF(INDEX(Daten!$H$26:$H$429,MATCH(Steuerung_Eckwerte!B108,Daten!$C$26:$C$429,0))=0, " ", INDEX(Daten!$H$26:$H$429,MATCH(Steuerung_Eckwerte!B108,Daten!$C$26:$C$429,0)))</f>
        <v xml:space="preserve"> </v>
      </c>
    </row>
    <row r="109" spans="1:6" ht="15" customHeight="1">
      <c r="A109" s="105" t="s">
        <v>579</v>
      </c>
      <c r="B109" s="105" t="s">
        <v>243</v>
      </c>
      <c r="C109" s="106" t="str">
        <f t="shared" si="1"/>
        <v xml:space="preserve">JC Emmendingen (Gebietsstand Dezember 2024)  </v>
      </c>
      <c r="D109" s="51"/>
      <c r="E109" s="110"/>
      <c r="F109" s="125" t="str">
        <f>IF(INDEX(Daten!$H$26:$H$429,MATCH(Steuerung_Eckwerte!B109,Daten!$C$26:$C$429,0))=0, " ", INDEX(Daten!$H$26:$H$429,MATCH(Steuerung_Eckwerte!B109,Daten!$C$26:$C$429,0)))</f>
        <v xml:space="preserve"> </v>
      </c>
    </row>
    <row r="110" spans="1:6" ht="15" customHeight="1">
      <c r="A110" s="105" t="s">
        <v>787</v>
      </c>
      <c r="B110" s="105" t="s">
        <v>100</v>
      </c>
      <c r="C110" s="106" t="str">
        <f t="shared" si="1"/>
        <v xml:space="preserve">JC Emsland (Gebietsstand Dezember 2024)  </v>
      </c>
      <c r="D110" s="51"/>
      <c r="E110" s="110"/>
      <c r="F110" s="125" t="str">
        <f>IF(INDEX(Daten!$H$26:$H$429,MATCH(Steuerung_Eckwerte!B110,Daten!$C$26:$C$429,0))=0, " ", INDEX(Daten!$H$26:$H$429,MATCH(Steuerung_Eckwerte!B110,Daten!$C$26:$C$429,0)))</f>
        <v xml:space="preserve"> </v>
      </c>
    </row>
    <row r="111" spans="1:6" ht="15" customHeight="1">
      <c r="A111" s="105" t="s">
        <v>512</v>
      </c>
      <c r="B111" s="105" t="s">
        <v>149</v>
      </c>
      <c r="C111" s="106" t="str">
        <f t="shared" si="1"/>
        <v xml:space="preserve">JC Ennepe-Ruhr-Kreis (Gebietsstand Dezember 2024)  </v>
      </c>
      <c r="D111" s="51"/>
      <c r="E111" s="110"/>
      <c r="F111" s="125" t="str">
        <f>IF(INDEX(Daten!$H$26:$H$429,MATCH(Steuerung_Eckwerte!B111,Daten!$C$26:$C$429,0))=0, " ", INDEX(Daten!$H$26:$H$429,MATCH(Steuerung_Eckwerte!B111,Daten!$C$26:$C$429,0)))</f>
        <v xml:space="preserve"> </v>
      </c>
    </row>
    <row r="112" spans="1:6" ht="15" customHeight="1">
      <c r="A112" s="105" t="s">
        <v>821</v>
      </c>
      <c r="B112" s="105" t="s">
        <v>262</v>
      </c>
      <c r="C112" s="106" t="str">
        <f t="shared" si="1"/>
        <v xml:space="preserve">JC Enzkreis (Gebietsstand Dezember 2024)  </v>
      </c>
      <c r="D112" s="51"/>
      <c r="E112" s="110"/>
      <c r="F112" s="125" t="str">
        <f>IF(INDEX(Daten!$H$26:$H$429,MATCH(Steuerung_Eckwerte!B112,Daten!$C$26:$C$429,0))=0, " ", INDEX(Daten!$H$26:$H$429,MATCH(Steuerung_Eckwerte!B112,Daten!$C$26:$C$429,0)))</f>
        <v xml:space="preserve"> </v>
      </c>
    </row>
    <row r="113" spans="1:7" ht="15" customHeight="1">
      <c r="A113" s="105" t="s">
        <v>645</v>
      </c>
      <c r="B113" s="105" t="s">
        <v>336</v>
      </c>
      <c r="C113" s="106" t="str">
        <f t="shared" si="1"/>
        <v xml:space="preserve">JC Erding (Gebietsstand Dezember 2024)  </v>
      </c>
      <c r="D113" s="51"/>
      <c r="E113" s="110"/>
      <c r="F113" s="125" t="str">
        <f>IF(INDEX(Daten!$H$26:$H$429,MATCH(Steuerung_Eckwerte!B113,Daten!$C$26:$C$429,0))=0, " ", INDEX(Daten!$H$26:$H$429,MATCH(Steuerung_Eckwerte!B113,Daten!$C$26:$C$429,0)))</f>
        <v xml:space="preserve"> </v>
      </c>
    </row>
    <row r="114" spans="1:7" ht="15" customHeight="1">
      <c r="A114" s="105" t="s">
        <v>432</v>
      </c>
      <c r="B114" s="105" t="s">
        <v>43</v>
      </c>
      <c r="C114" s="106" t="str">
        <f t="shared" si="1"/>
        <v xml:space="preserve">JC Erfurt, Stadt (Gebietsstand Dezember 2024)  </v>
      </c>
      <c r="D114" s="51"/>
      <c r="E114" s="110"/>
      <c r="F114" s="125" t="str">
        <f>IF(INDEX(Daten!$H$26:$H$429,MATCH(Steuerung_Eckwerte!B114,Daten!$C$26:$C$429,0))=0, " ", INDEX(Daten!$H$26:$H$429,MATCH(Steuerung_Eckwerte!B114,Daten!$C$26:$C$429,0)))</f>
        <v xml:space="preserve"> </v>
      </c>
      <c r="G114" s="53"/>
    </row>
    <row r="115" spans="1:7" ht="15" customHeight="1">
      <c r="A115" s="105" t="s">
        <v>900</v>
      </c>
      <c r="B115" s="105" t="s">
        <v>301</v>
      </c>
      <c r="C115" s="106" t="str">
        <f t="shared" si="1"/>
        <v xml:space="preserve">JC Erlangen, Stadt (Gebietsstand Dezember 2024)  </v>
      </c>
      <c r="D115" s="51"/>
      <c r="E115" s="110"/>
      <c r="F115" s="125" t="str">
        <f>IF(INDEX(Daten!$H$26:$H$429,MATCH(Steuerung_Eckwerte!B115,Daten!$C$26:$C$429,0))=0, " ", INDEX(Daten!$H$26:$H$429,MATCH(Steuerung_Eckwerte!B115,Daten!$C$26:$C$429,0)))</f>
        <v xml:space="preserve"> </v>
      </c>
    </row>
    <row r="116" spans="1:7" ht="15" customHeight="1">
      <c r="A116" s="105" t="s">
        <v>901</v>
      </c>
      <c r="B116" s="105" t="s">
        <v>302</v>
      </c>
      <c r="C116" s="106" t="str">
        <f t="shared" si="1"/>
        <v xml:space="preserve">JC Erlangen-Höchstadt (Gebietsstand Dezember 2024)  </v>
      </c>
      <c r="D116" s="51"/>
      <c r="E116" s="110"/>
      <c r="F116" s="125" t="str">
        <f>IF(INDEX(Daten!$H$26:$H$429,MATCH(Steuerung_Eckwerte!B116,Daten!$C$26:$C$429,0))=0, " ", INDEX(Daten!$H$26:$H$429,MATCH(Steuerung_Eckwerte!B116,Daten!$C$26:$C$429,0)))</f>
        <v xml:space="preserve"> </v>
      </c>
    </row>
    <row r="117" spans="1:7" ht="15" customHeight="1">
      <c r="A117" s="105" t="s">
        <v>863</v>
      </c>
      <c r="B117" s="105" t="s">
        <v>775</v>
      </c>
      <c r="C117" s="106" t="str">
        <f t="shared" si="1"/>
        <v xml:space="preserve">JC Erzgebirgskreis (Gebietsstand Dezember 2024)  </v>
      </c>
      <c r="D117" s="51"/>
      <c r="E117" s="110"/>
      <c r="F117" s="125" t="str">
        <f>IF(INDEX(Daten!$H$26:$H$429,MATCH(Steuerung_Eckwerte!B117,Daten!$C$26:$C$429,0))=0, " ", INDEX(Daten!$H$26:$H$429,MATCH(Steuerung_Eckwerte!B117,Daten!$C$26:$C$429,0)))</f>
        <v xml:space="preserve"> </v>
      </c>
    </row>
    <row r="118" spans="1:7" ht="15" customHeight="1">
      <c r="A118" s="105" t="s">
        <v>795</v>
      </c>
      <c r="B118" s="105" t="s">
        <v>146</v>
      </c>
      <c r="C118" s="106" t="str">
        <f t="shared" si="1"/>
        <v xml:space="preserve">JC Essen, Stadt (Gebietsstand Dezember 2024)  </v>
      </c>
      <c r="D118" s="51"/>
      <c r="E118" s="110"/>
      <c r="F118" s="125" t="str">
        <f>IF(INDEX(Daten!$H$26:$H$429,MATCH(Steuerung_Eckwerte!B118,Daten!$C$26:$C$429,0))=0, " ", INDEX(Daten!$H$26:$H$429,MATCH(Steuerung_Eckwerte!B118,Daten!$C$26:$C$429,0)))</f>
        <v xml:space="preserve"> </v>
      </c>
    </row>
    <row r="119" spans="1:7" ht="15" customHeight="1">
      <c r="A119" s="105" t="s">
        <v>581</v>
      </c>
      <c r="B119" s="105" t="s">
        <v>245</v>
      </c>
      <c r="C119" s="106" t="str">
        <f t="shared" si="1"/>
        <v xml:space="preserve">JC Esslingen (Gebietsstand Dezember 2024)  </v>
      </c>
      <c r="D119" s="51"/>
      <c r="E119" s="110"/>
      <c r="F119" s="125" t="str">
        <f>IF(INDEX(Daten!$H$26:$H$429,MATCH(Steuerung_Eckwerte!B119,Daten!$C$26:$C$429,0))=0, " ", INDEX(Daten!$H$26:$H$429,MATCH(Steuerung_Eckwerte!B119,Daten!$C$26:$C$429,0)))</f>
        <v xml:space="preserve"> </v>
      </c>
    </row>
    <row r="120" spans="1:7" ht="15" customHeight="1">
      <c r="A120" s="105" t="s">
        <v>504</v>
      </c>
      <c r="B120" s="105" t="s">
        <v>137</v>
      </c>
      <c r="C120" s="106" t="str">
        <f t="shared" si="1"/>
        <v xml:space="preserve">JC Euskirchen (Gebietsstand Dezember 2024)  </v>
      </c>
      <c r="D120" s="51"/>
      <c r="E120" s="110"/>
      <c r="F120" s="125" t="str">
        <f>IF(INDEX(Daten!$H$26:$H$429,MATCH(Steuerung_Eckwerte!B120,Daten!$C$26:$C$429,0))=0, " ", INDEX(Daten!$H$26:$H$429,MATCH(Steuerung_Eckwerte!B120,Daten!$C$26:$C$429,0)))</f>
        <v xml:space="preserve"> </v>
      </c>
    </row>
    <row r="121" spans="1:7" ht="15" customHeight="1">
      <c r="A121" s="105" t="s">
        <v>448</v>
      </c>
      <c r="B121" s="105" t="s">
        <v>66</v>
      </c>
      <c r="C121" s="106" t="str">
        <f t="shared" si="1"/>
        <v xml:space="preserve">JC Flensburg, Stadt (Gebietsstand Dezember 2024)  </v>
      </c>
      <c r="D121" s="51"/>
      <c r="E121" s="110"/>
      <c r="F121" s="125" t="str">
        <f>IF(INDEX(Daten!$H$26:$H$429,MATCH(Steuerung_Eckwerte!B121,Daten!$C$26:$C$429,0))=0, " ", INDEX(Daten!$H$26:$H$429,MATCH(Steuerung_Eckwerte!B121,Daten!$C$26:$C$429,0)))</f>
        <v xml:space="preserve"> </v>
      </c>
    </row>
    <row r="122" spans="1:7" ht="15" customHeight="1">
      <c r="A122" s="105" t="s">
        <v>834</v>
      </c>
      <c r="B122" s="105" t="s">
        <v>290</v>
      </c>
      <c r="C122" s="106" t="str">
        <f t="shared" si="1"/>
        <v xml:space="preserve">JC Forchheim (Gebietsstand Dezember 2024)  </v>
      </c>
      <c r="D122" s="51"/>
      <c r="E122" s="110"/>
      <c r="F122" s="125" t="str">
        <f>IF(INDEX(Daten!$H$26:$H$429,MATCH(Steuerung_Eckwerte!B122,Daten!$C$26:$C$429,0))=0, " ", INDEX(Daten!$H$26:$H$429,MATCH(Steuerung_Eckwerte!B122,Daten!$C$26:$C$429,0)))</f>
        <v xml:space="preserve"> </v>
      </c>
    </row>
    <row r="123" spans="1:7" ht="15" customHeight="1">
      <c r="A123" s="105" t="s">
        <v>404</v>
      </c>
      <c r="B123" s="105" t="s">
        <v>13</v>
      </c>
      <c r="C123" s="106" t="str">
        <f t="shared" si="1"/>
        <v xml:space="preserve">JC Frankfurt (Oder), Stadt (Gebietsstand Dezember 2024)  </v>
      </c>
      <c r="D123" s="51"/>
      <c r="E123" s="110"/>
      <c r="F123" s="125" t="str">
        <f>IF(INDEX(Daten!$H$26:$H$429,MATCH(Steuerung_Eckwerte!B123,Daten!$C$26:$C$429,0))=0, " ", INDEX(Daten!$H$26:$H$429,MATCH(Steuerung_Eckwerte!B123,Daten!$C$26:$C$429,0)))</f>
        <v xml:space="preserve"> </v>
      </c>
    </row>
    <row r="124" spans="1:7" ht="15" customHeight="1">
      <c r="A124" s="105" t="s">
        <v>539</v>
      </c>
      <c r="B124" s="105" t="s">
        <v>187</v>
      </c>
      <c r="C124" s="106" t="str">
        <f t="shared" si="1"/>
        <v xml:space="preserve">JC Frankfurt am Main, Stadt (Gebietsstand Dezember 2024)  </v>
      </c>
      <c r="D124" s="51"/>
      <c r="E124" s="110"/>
      <c r="F124" s="125" t="str">
        <f>IF(INDEX(Daten!$H$26:$H$429,MATCH(Steuerung_Eckwerte!B124,Daten!$C$26:$C$429,0))=0, " ", INDEX(Daten!$H$26:$H$429,MATCH(Steuerung_Eckwerte!B124,Daten!$C$26:$C$429,0)))</f>
        <v xml:space="preserve"> </v>
      </c>
    </row>
    <row r="125" spans="1:7" ht="15" customHeight="1">
      <c r="A125" s="105" t="s">
        <v>580</v>
      </c>
      <c r="B125" s="105" t="s">
        <v>244</v>
      </c>
      <c r="C125" s="106" t="str">
        <f t="shared" si="1"/>
        <v xml:space="preserve">JC Freiburg im Breisgau, Stadt (Gebietsstand Dezember 2024)  </v>
      </c>
      <c r="D125" s="51"/>
      <c r="E125" s="110"/>
      <c r="F125" s="125" t="str">
        <f>IF(INDEX(Daten!$H$26:$H$429,MATCH(Steuerung_Eckwerte!B125,Daten!$C$26:$C$429,0))=0, " ", INDEX(Daten!$H$26:$H$429,MATCH(Steuerung_Eckwerte!B125,Daten!$C$26:$C$429,0)))</f>
        <v xml:space="preserve"> </v>
      </c>
    </row>
    <row r="126" spans="1:7" ht="15" customHeight="1">
      <c r="A126" s="105" t="s">
        <v>646</v>
      </c>
      <c r="B126" s="105" t="s">
        <v>337</v>
      </c>
      <c r="C126" s="106" t="str">
        <f t="shared" si="1"/>
        <v xml:space="preserve">JC Freising (Gebietsstand Dezember 2024)  </v>
      </c>
      <c r="D126" s="51"/>
      <c r="E126" s="110"/>
      <c r="F126" s="125" t="str">
        <f>IF(INDEX(Daten!$H$26:$H$429,MATCH(Steuerung_Eckwerte!B126,Daten!$C$26:$C$429,0))=0, " ", INDEX(Daten!$H$26:$H$429,MATCH(Steuerung_Eckwerte!B126,Daten!$C$26:$C$429,0)))</f>
        <v xml:space="preserve"> </v>
      </c>
    </row>
    <row r="127" spans="1:7" ht="15" customHeight="1">
      <c r="A127" s="105" t="s">
        <v>594</v>
      </c>
      <c r="B127" s="105" t="s">
        <v>259</v>
      </c>
      <c r="C127" s="106" t="str">
        <f t="shared" si="1"/>
        <v xml:space="preserve">JC Freudenstadt (Gebietsstand Dezember 2024)  </v>
      </c>
      <c r="D127" s="51"/>
      <c r="E127" s="110"/>
      <c r="F127" s="125" t="str">
        <f>IF(INDEX(Daten!$H$26:$H$429,MATCH(Steuerung_Eckwerte!B127,Daten!$C$26:$C$429,0))=0, " ", INDEX(Daten!$H$26:$H$429,MATCH(Steuerung_Eckwerte!B127,Daten!$C$26:$C$429,0)))</f>
        <v xml:space="preserve"> </v>
      </c>
    </row>
    <row r="128" spans="1:7" ht="15" customHeight="1">
      <c r="A128" s="105" t="s">
        <v>657</v>
      </c>
      <c r="B128" s="105" t="s">
        <v>360</v>
      </c>
      <c r="C128" s="106" t="str">
        <f t="shared" si="1"/>
        <v xml:space="preserve">JC Freyung-Grafenau (Gebietsstand Dezember 2024)  </v>
      </c>
      <c r="D128" s="51"/>
      <c r="E128" s="110"/>
      <c r="F128" s="125" t="str">
        <f>IF(INDEX(Daten!$H$26:$H$429,MATCH(Steuerung_Eckwerte!B128,Daten!$C$26:$C$429,0))=0, " ", INDEX(Daten!$H$26:$H$429,MATCH(Steuerung_Eckwerte!B128,Daten!$C$26:$C$429,0)))</f>
        <v xml:space="preserve"> </v>
      </c>
    </row>
    <row r="129" spans="1:6" ht="15" customHeight="1">
      <c r="A129" s="105" t="s">
        <v>675</v>
      </c>
      <c r="B129" s="105" t="s">
        <v>383</v>
      </c>
      <c r="C129" s="106" t="str">
        <f t="shared" si="1"/>
        <v xml:space="preserve">JC Friedrichshain-Kreuzberg (Gebietsstand Dezember 2024)  </v>
      </c>
      <c r="D129" s="51"/>
      <c r="E129" s="110"/>
      <c r="F129" s="125" t="str">
        <f>IF(INDEX(Daten!$H$26:$H$429,MATCH(Steuerung_Eckwerte!B129,Daten!$C$26:$C$429,0))=0, " ", INDEX(Daten!$H$26:$H$429,MATCH(Steuerung_Eckwerte!B129,Daten!$C$26:$C$429,0)))</f>
        <v xml:space="preserve"> </v>
      </c>
    </row>
    <row r="130" spans="1:6" ht="15" customHeight="1">
      <c r="A130" s="105" t="s">
        <v>789</v>
      </c>
      <c r="B130" s="105" t="s">
        <v>123</v>
      </c>
      <c r="C130" s="106" t="str">
        <f t="shared" si="1"/>
        <v xml:space="preserve">JC Friesland (Gebietsstand Dezember 2024)  </v>
      </c>
      <c r="D130" s="51"/>
      <c r="E130" s="110"/>
      <c r="F130" s="125" t="str">
        <f>IF(INDEX(Daten!$H$26:$H$429,MATCH(Steuerung_Eckwerte!B130,Daten!$C$26:$C$429,0))=0, " ", INDEX(Daten!$H$26:$H$429,MATCH(Steuerung_Eckwerte!B130,Daten!$C$26:$C$429,0)))</f>
        <v xml:space="preserve"> </v>
      </c>
    </row>
    <row r="131" spans="1:6" ht="15" customHeight="1">
      <c r="A131" s="105" t="s">
        <v>801</v>
      </c>
      <c r="B131" s="105" t="s">
        <v>188</v>
      </c>
      <c r="C131" s="106" t="str">
        <f t="shared" si="1"/>
        <v xml:space="preserve">JC Fulda (Gebietsstand Dezember 2024)  </v>
      </c>
      <c r="D131" s="51"/>
      <c r="E131" s="110"/>
      <c r="F131" s="125" t="str">
        <f>IF(INDEX(Daten!$H$26:$H$429,MATCH(Steuerung_Eckwerte!B131,Daten!$C$26:$C$429,0))=0, " ", INDEX(Daten!$H$26:$H$429,MATCH(Steuerung_Eckwerte!B131,Daten!$C$26:$C$429,0)))</f>
        <v xml:space="preserve"> </v>
      </c>
    </row>
    <row r="132" spans="1:6" ht="15" customHeight="1">
      <c r="A132" s="105" t="s">
        <v>848</v>
      </c>
      <c r="B132" s="105" t="s">
        <v>356</v>
      </c>
      <c r="C132" s="106" t="str">
        <f t="shared" si="1"/>
        <v xml:space="preserve">JC Fürstenfeldbruck (Gebietsstand Dezember 2024)  </v>
      </c>
      <c r="D132" s="51"/>
      <c r="E132" s="110"/>
      <c r="F132" s="125" t="str">
        <f>IF(INDEX(Daten!$H$26:$H$429,MATCH(Steuerung_Eckwerte!B132,Daten!$C$26:$C$429,0))=0, " ", INDEX(Daten!$H$26:$H$429,MATCH(Steuerung_Eckwerte!B132,Daten!$C$26:$C$429,0)))</f>
        <v xml:space="preserve"> </v>
      </c>
    </row>
    <row r="133" spans="1:6" ht="15" customHeight="1">
      <c r="A133" s="105" t="s">
        <v>899</v>
      </c>
      <c r="B133" s="105" t="s">
        <v>304</v>
      </c>
      <c r="C133" s="106" t="str">
        <f t="shared" si="1"/>
        <v xml:space="preserve">JC Fürth, Land (Gebietsstand Dezember 2024)  </v>
      </c>
      <c r="D133" s="51"/>
      <c r="E133" s="110"/>
      <c r="F133" s="125" t="str">
        <f>IF(INDEX(Daten!$H$26:$H$429,MATCH(Steuerung_Eckwerte!B133,Daten!$C$26:$C$429,0))=0, " ", INDEX(Daten!$H$26:$H$429,MATCH(Steuerung_Eckwerte!B133,Daten!$C$26:$C$429,0)))</f>
        <v xml:space="preserve"> </v>
      </c>
    </row>
    <row r="134" spans="1:6" ht="15" customHeight="1">
      <c r="A134" s="105" t="s">
        <v>898</v>
      </c>
      <c r="B134" s="105" t="s">
        <v>303</v>
      </c>
      <c r="C134" s="106" t="str">
        <f t="shared" si="1"/>
        <v xml:space="preserve">JC Fürth, Stadt (Gebietsstand Dezember 2024)  </v>
      </c>
      <c r="D134" s="51"/>
      <c r="E134" s="110"/>
      <c r="F134" s="125" t="str">
        <f>IF(INDEX(Daten!$H$26:$H$429,MATCH(Steuerung_Eckwerte!B134,Daten!$C$26:$C$429,0))=0, " ", INDEX(Daten!$H$26:$H$429,MATCH(Steuerung_Eckwerte!B134,Daten!$C$26:$C$429,0)))</f>
        <v xml:space="preserve"> </v>
      </c>
    </row>
    <row r="135" spans="1:6" ht="15" customHeight="1">
      <c r="A135" s="105" t="s">
        <v>666</v>
      </c>
      <c r="B135" s="105" t="s">
        <v>372</v>
      </c>
      <c r="C135" s="106" t="str">
        <f t="shared" si="1"/>
        <v xml:space="preserve">JC Garmisch-Partenkirchen (Gebietsstand Dezember 2024)  </v>
      </c>
      <c r="D135" s="51"/>
      <c r="E135" s="110"/>
      <c r="F135" s="125" t="str">
        <f>IF(INDEX(Daten!$H$26:$H$429,MATCH(Steuerung_Eckwerte!B135,Daten!$C$26:$C$429,0))=0, " ", INDEX(Daten!$H$26:$H$429,MATCH(Steuerung_Eckwerte!B135,Daten!$C$26:$C$429,0)))</f>
        <v xml:space="preserve"> </v>
      </c>
    </row>
    <row r="136" spans="1:6" ht="15" customHeight="1">
      <c r="A136" s="105" t="s">
        <v>510</v>
      </c>
      <c r="B136" s="105" t="s">
        <v>147</v>
      </c>
      <c r="C136" s="106" t="str">
        <f t="shared" si="1"/>
        <v xml:space="preserve">JC Gelsenkirchen, Stadt (Gebietsstand Dezember 2024)  </v>
      </c>
      <c r="D136" s="51"/>
      <c r="E136" s="110"/>
      <c r="F136" s="125" t="str">
        <f>IF(INDEX(Daten!$H$26:$H$429,MATCH(Steuerung_Eckwerte!B136,Daten!$C$26:$C$429,0))=0, " ", INDEX(Daten!$H$26:$H$429,MATCH(Steuerung_Eckwerte!B136,Daten!$C$26:$C$429,0)))</f>
        <v xml:space="preserve"> </v>
      </c>
    </row>
    <row r="137" spans="1:6" ht="15" customHeight="1">
      <c r="A137" s="105" t="s">
        <v>436</v>
      </c>
      <c r="B137" s="105" t="s">
        <v>46</v>
      </c>
      <c r="C137" s="106" t="str">
        <f t="shared" si="1"/>
        <v xml:space="preserve">JC Gera, Stadt (Gebietsstand Dezember 2024)  </v>
      </c>
      <c r="D137" s="51"/>
      <c r="E137" s="110"/>
      <c r="F137" s="125" t="str">
        <f>IF(INDEX(Daten!$H$26:$H$429,MATCH(Steuerung_Eckwerte!B137,Daten!$C$26:$C$429,0))=0, " ", INDEX(Daten!$H$26:$H$429,MATCH(Steuerung_Eckwerte!B137,Daten!$C$26:$C$429,0)))</f>
        <v xml:space="preserve"> </v>
      </c>
    </row>
    <row r="138" spans="1:6" ht="15" customHeight="1">
      <c r="A138" s="105" t="s">
        <v>565</v>
      </c>
      <c r="B138" s="105" t="s">
        <v>224</v>
      </c>
      <c r="C138" s="106" t="str">
        <f t="shared" si="1"/>
        <v xml:space="preserve">JC Germersheim (Gebietsstand Dezember 2024)  </v>
      </c>
      <c r="D138" s="51"/>
      <c r="E138" s="110"/>
      <c r="F138" s="125" t="str">
        <f>IF(INDEX(Daten!$H$26:$H$429,MATCH(Steuerung_Eckwerte!B138,Daten!$C$26:$C$429,0))=0, " ", INDEX(Daten!$H$26:$H$429,MATCH(Steuerung_Eckwerte!B138,Daten!$C$26:$C$429,0)))</f>
        <v xml:space="preserve"> </v>
      </c>
    </row>
    <row r="139" spans="1:6" ht="15" customHeight="1">
      <c r="A139" s="105" t="s">
        <v>540</v>
      </c>
      <c r="B139" s="105" t="s">
        <v>189</v>
      </c>
      <c r="C139" s="106" t="str">
        <f t="shared" si="1"/>
        <v xml:space="preserve">JC Gießen (Gebietsstand Dezember 2024)  </v>
      </c>
      <c r="D139" s="51"/>
      <c r="E139" s="110"/>
      <c r="F139" s="125" t="str">
        <f>IF(INDEX(Daten!$H$26:$H$429,MATCH(Steuerung_Eckwerte!B139,Daten!$C$26:$C$429,0))=0, " ", INDEX(Daten!$H$26:$H$429,MATCH(Steuerung_Eckwerte!B139,Daten!$C$26:$C$429,0)))</f>
        <v xml:space="preserve"> </v>
      </c>
    </row>
    <row r="140" spans="1:6" ht="15" customHeight="1">
      <c r="A140" s="105" t="s">
        <v>473</v>
      </c>
      <c r="B140" s="105" t="s">
        <v>97</v>
      </c>
      <c r="C140" s="106" t="str">
        <f t="shared" si="1"/>
        <v xml:space="preserve">JC Gifhorn (Gebietsstand Dezember 2024)  </v>
      </c>
      <c r="D140" s="51"/>
      <c r="E140" s="110"/>
      <c r="F140" s="125" t="str">
        <f>IF(INDEX(Daten!$H$26:$H$429,MATCH(Steuerung_Eckwerte!B140,Daten!$C$26:$C$429,0))=0, " ", INDEX(Daten!$H$26:$H$429,MATCH(Steuerung_Eckwerte!B140,Daten!$C$26:$C$429,0)))</f>
        <v xml:space="preserve"> </v>
      </c>
    </row>
    <row r="141" spans="1:6" ht="15" customHeight="1">
      <c r="A141" s="105" t="s">
        <v>582</v>
      </c>
      <c r="B141" s="105" t="s">
        <v>246</v>
      </c>
      <c r="C141" s="106" t="str">
        <f t="shared" si="1"/>
        <v xml:space="preserve">JC Göppingen (Gebietsstand Dezember 2024)  </v>
      </c>
      <c r="D141" s="51"/>
      <c r="E141" s="110"/>
      <c r="F141" s="125" t="str">
        <f>IF(INDEX(Daten!$H$26:$H$429,MATCH(Steuerung_Eckwerte!B141,Daten!$C$26:$C$429,0))=0, " ", INDEX(Daten!$H$26:$H$429,MATCH(Steuerung_Eckwerte!B141,Daten!$C$26:$C$429,0)))</f>
        <v xml:space="preserve"> </v>
      </c>
    </row>
    <row r="142" spans="1:6" ht="15" customHeight="1">
      <c r="A142" s="105" t="s">
        <v>422</v>
      </c>
      <c r="B142" s="105" t="s">
        <v>757</v>
      </c>
      <c r="C142" s="106" t="str">
        <f t="shared" si="1"/>
        <v xml:space="preserve">JC Görlitz (Gebietsstand Dezember 2024)  </v>
      </c>
      <c r="D142" s="51"/>
      <c r="E142" s="110"/>
      <c r="F142" s="125" t="str">
        <f>IF(INDEX(Daten!$H$26:$H$429,MATCH(Steuerung_Eckwerte!B142,Daten!$C$26:$C$429,0))=0, " ", INDEX(Daten!$H$26:$H$429,MATCH(Steuerung_Eckwerte!B142,Daten!$C$26:$C$429,0)))</f>
        <v xml:space="preserve"> </v>
      </c>
    </row>
    <row r="143" spans="1:6" ht="15" customHeight="1">
      <c r="A143" s="105" t="s">
        <v>779</v>
      </c>
      <c r="B143" s="105" t="s">
        <v>89</v>
      </c>
      <c r="C143" s="106" t="str">
        <f t="shared" si="1"/>
        <v xml:space="preserve">JC Goslar (Gebietsstand Dezember 2024)  </v>
      </c>
      <c r="D143" s="51"/>
      <c r="E143" s="110"/>
      <c r="F143" s="125" t="str">
        <f>IF(INDEX(Daten!$H$26:$H$429,MATCH(Steuerung_Eckwerte!B143,Daten!$C$26:$C$429,0))=0, " ", INDEX(Daten!$H$26:$H$429,MATCH(Steuerung_Eckwerte!B143,Daten!$C$26:$C$429,0)))</f>
        <v xml:space="preserve"> </v>
      </c>
    </row>
    <row r="144" spans="1:6" ht="15" customHeight="1">
      <c r="A144" s="290" t="s">
        <v>1029</v>
      </c>
      <c r="B144" s="105" t="s">
        <v>49</v>
      </c>
      <c r="C144" s="106" t="str">
        <f t="shared" si="1"/>
        <v xml:space="preserve">JC Gotha (Gebietsstand Dezember 2024)  </v>
      </c>
      <c r="D144" s="51"/>
      <c r="E144" s="110"/>
      <c r="F144" s="125" t="str">
        <f>IF(INDEX(Daten!$H$26:$H$429,MATCH(Steuerung_Eckwerte!B144,Daten!$C$26:$C$429,0))=0, " ", INDEX(Daten!$H$26:$H$429,MATCH(Steuerung_Eckwerte!B144,Daten!$C$26:$C$429,0)))</f>
        <v xml:space="preserve"> </v>
      </c>
    </row>
    <row r="145" spans="1:7" ht="15" customHeight="1">
      <c r="A145" s="105" t="s">
        <v>467</v>
      </c>
      <c r="B145" s="105" t="s">
        <v>90</v>
      </c>
      <c r="C145" s="106" t="str">
        <f t="shared" si="1"/>
        <v xml:space="preserve">JC Göttingen (Gebietsstand Dezember 2024)  </v>
      </c>
      <c r="D145" s="51"/>
      <c r="E145" s="110"/>
      <c r="F145" s="125" t="str">
        <f>IF(INDEX(Daten!$H$26:$H$429,MATCH(Steuerung_Eckwerte!B145,Daten!$C$26:$C$429,0))=0, " ", INDEX(Daten!$H$26:$H$429,MATCH(Steuerung_Eckwerte!B145,Daten!$C$26:$C$429,0)))</f>
        <v xml:space="preserve"> </v>
      </c>
    </row>
    <row r="146" spans="1:7" ht="15" customHeight="1">
      <c r="A146" s="105" t="s">
        <v>478</v>
      </c>
      <c r="B146" s="105" t="s">
        <v>105</v>
      </c>
      <c r="C146" s="106" t="str">
        <f t="shared" si="1"/>
        <v xml:space="preserve">JC Grafschaft Bentheim (Gebietsstand Dezember 2024)  </v>
      </c>
      <c r="D146" s="51"/>
      <c r="E146" s="110"/>
      <c r="F146" s="125" t="str">
        <f>IF(INDEX(Daten!$H$26:$H$429,MATCH(Steuerung_Eckwerte!B146,Daten!$C$26:$C$429,0))=0, " ", INDEX(Daten!$H$26:$H$429,MATCH(Steuerung_Eckwerte!B146,Daten!$C$26:$C$429,0)))</f>
        <v xml:space="preserve"> </v>
      </c>
    </row>
    <row r="147" spans="1:7" ht="15" customHeight="1">
      <c r="A147" s="105" t="s">
        <v>868</v>
      </c>
      <c r="B147" s="105" t="s">
        <v>47</v>
      </c>
      <c r="C147" s="106" t="str">
        <f t="shared" si="1"/>
        <v xml:space="preserve">JC Greiz (Gebietsstand Dezember 2024)  </v>
      </c>
      <c r="D147" s="51"/>
      <c r="E147" s="110"/>
      <c r="F147" s="125" t="str">
        <f>IF(INDEX(Daten!$H$26:$H$429,MATCH(Steuerung_Eckwerte!B147,Daten!$C$26:$C$429,0))=0, " ", INDEX(Daten!$H$26:$H$429,MATCH(Steuerung_Eckwerte!B147,Daten!$C$26:$C$429,0)))</f>
        <v xml:space="preserve"> </v>
      </c>
    </row>
    <row r="148" spans="1:7" ht="15" customHeight="1">
      <c r="A148" s="105" t="s">
        <v>894</v>
      </c>
      <c r="B148" s="105" t="s">
        <v>182</v>
      </c>
      <c r="C148" s="106" t="str">
        <f t="shared" si="1"/>
        <v xml:space="preserve">JC Groß-Gerau (Gebietsstand Dezember 2024)  </v>
      </c>
      <c r="D148" s="51"/>
      <c r="E148" s="110"/>
      <c r="F148" s="125" t="str">
        <f>IF(INDEX(Daten!$H$26:$H$429,MATCH(Steuerung_Eckwerte!B148,Daten!$C$26:$C$429,0))=0, " ", INDEX(Daten!$H$26:$H$429,MATCH(Steuerung_Eckwerte!B148,Daten!$C$26:$C$429,0)))</f>
        <v xml:space="preserve"> </v>
      </c>
      <c r="G148" s="53"/>
    </row>
    <row r="149" spans="1:7" ht="15" customHeight="1">
      <c r="A149" s="105" t="s">
        <v>835</v>
      </c>
      <c r="B149" s="105" t="s">
        <v>350</v>
      </c>
      <c r="C149" s="106" t="str">
        <f t="shared" si="1"/>
        <v xml:space="preserve">JC Günzburg (Gebietsstand Dezember 2024)  </v>
      </c>
      <c r="D149" s="51"/>
      <c r="E149" s="110"/>
      <c r="F149" s="125" t="str">
        <f>IF(INDEX(Daten!$H$26:$H$429,MATCH(Steuerung_Eckwerte!B149,Daten!$C$26:$C$429,0))=0, " ", INDEX(Daten!$H$26:$H$429,MATCH(Steuerung_Eckwerte!B149,Daten!$C$26:$C$429,0)))</f>
        <v xml:space="preserve"> </v>
      </c>
    </row>
    <row r="150" spans="1:7" ht="15" customHeight="1">
      <c r="A150" s="105" t="s">
        <v>793</v>
      </c>
      <c r="B150" s="105" t="s">
        <v>131</v>
      </c>
      <c r="C150" s="106" t="str">
        <f t="shared" si="1"/>
        <v xml:space="preserve">JC Gütersloh (Gebietsstand Dezember 2024)  </v>
      </c>
      <c r="D150" s="51"/>
      <c r="E150" s="110"/>
      <c r="F150" s="125" t="str">
        <f>IF(INDEX(Daten!$H$26:$H$429,MATCH(Steuerung_Eckwerte!B150,Daten!$C$26:$C$429,0))=0, " ", INDEX(Daten!$H$26:$H$429,MATCH(Steuerung_Eckwerte!B150,Daten!$C$26:$C$429,0)))</f>
        <v xml:space="preserve"> </v>
      </c>
    </row>
    <row r="151" spans="1:7" ht="15" customHeight="1">
      <c r="A151" s="105" t="s">
        <v>513</v>
      </c>
      <c r="B151" s="105" t="s">
        <v>150</v>
      </c>
      <c r="C151" s="106" t="str">
        <f t="shared" ref="C151:C215" si="2">CONCATENATE(B151, " ", $D$3, " ", F151)</f>
        <v xml:space="preserve">JC Hagen, Stadt (Gebietsstand Dezember 2024)  </v>
      </c>
      <c r="D151" s="51"/>
      <c r="E151" s="110"/>
      <c r="F151" s="125" t="str">
        <f>IF(INDEX(Daten!$H$26:$H$429,MATCH(Steuerung_Eckwerte!B151,Daten!$C$26:$C$429,0))=0, " ", INDEX(Daten!$H$26:$H$429,MATCH(Steuerung_Eckwerte!B151,Daten!$C$26:$C$429,0)))</f>
        <v xml:space="preserve"> </v>
      </c>
    </row>
    <row r="152" spans="1:7" ht="15" customHeight="1">
      <c r="A152" s="105" t="s">
        <v>416</v>
      </c>
      <c r="B152" s="105" t="s">
        <v>27</v>
      </c>
      <c r="C152" s="106" t="str">
        <f t="shared" si="2"/>
        <v xml:space="preserve">JC Halle (Saale), Stadt (Gebietsstand Dezember 2024)  </v>
      </c>
      <c r="D152" s="51"/>
      <c r="E152" s="110"/>
      <c r="F152" s="125" t="str">
        <f>IF(INDEX(Daten!$H$26:$H$429,MATCH(Steuerung_Eckwerte!B152,Daten!$C$26:$C$429,0))=0, " ", INDEX(Daten!$H$26:$H$429,MATCH(Steuerung_Eckwerte!B152,Daten!$C$26:$C$429,0)))</f>
        <v xml:space="preserve"> </v>
      </c>
    </row>
    <row r="153" spans="1:7" ht="15" customHeight="1">
      <c r="A153" s="105" t="s">
        <v>451</v>
      </c>
      <c r="B153" s="105" t="s">
        <v>69</v>
      </c>
      <c r="C153" s="106" t="str">
        <f t="shared" si="2"/>
        <v xml:space="preserve">JC Hamburg, Freie und Hansestadt (Gebietsstand Dezember 2024)  </v>
      </c>
      <c r="D153" s="51"/>
      <c r="E153" s="110"/>
      <c r="F153" s="125" t="str">
        <f>IF(INDEX(Daten!$H$26:$H$429,MATCH(Steuerung_Eckwerte!B153,Daten!$C$26:$C$429,0))=0, " ", INDEX(Daten!$H$26:$H$429,MATCH(Steuerung_Eckwerte!B153,Daten!$C$26:$C$429,0)))</f>
        <v xml:space="preserve"> </v>
      </c>
    </row>
    <row r="154" spans="1:7" ht="15" customHeight="1">
      <c r="A154" s="105" t="s">
        <v>470</v>
      </c>
      <c r="B154" s="105" t="s">
        <v>93</v>
      </c>
      <c r="C154" s="106" t="str">
        <f t="shared" si="2"/>
        <v xml:space="preserve">JC Hameln-Pyrmont (Gebietsstand Dezember 2024)  </v>
      </c>
      <c r="D154" s="51"/>
      <c r="E154" s="110"/>
      <c r="F154" s="125" t="str">
        <f>IF(INDEX(Daten!$H$26:$H$429,MATCH(Steuerung_Eckwerte!B154,Daten!$C$26:$C$429,0))=0, " ", INDEX(Daten!$H$26:$H$429,MATCH(Steuerung_Eckwerte!B154,Daten!$C$26:$C$429,0)))</f>
        <v xml:space="preserve"> </v>
      </c>
    </row>
    <row r="155" spans="1:7" ht="15" customHeight="1">
      <c r="A155" s="105" t="s">
        <v>514</v>
      </c>
      <c r="B155" s="105" t="s">
        <v>151</v>
      </c>
      <c r="C155" s="106" t="str">
        <f t="shared" si="2"/>
        <v xml:space="preserve">JC Hamm, Stadt (Gebietsstand Dezember 2024)  </v>
      </c>
      <c r="D155" s="51"/>
      <c r="E155" s="110"/>
      <c r="F155" s="125" t="str">
        <f>IF(INDEX(Daten!$H$26:$H$429,MATCH(Steuerung_Eckwerte!B155,Daten!$C$26:$C$429,0))=0, " ", INDEX(Daten!$H$26:$H$429,MATCH(Steuerung_Eckwerte!B155,Daten!$C$26:$C$429,0)))</f>
        <v xml:space="preserve"> </v>
      </c>
    </row>
    <row r="156" spans="1:7" ht="15" customHeight="1">
      <c r="A156" s="105" t="s">
        <v>477</v>
      </c>
      <c r="B156" s="105" t="s">
        <v>103</v>
      </c>
      <c r="C156" s="106" t="str">
        <f t="shared" si="2"/>
        <v xml:space="preserve">JC Harburg (Gebietsstand Dezember 2024)  </v>
      </c>
      <c r="D156" s="51"/>
      <c r="E156" s="110"/>
      <c r="F156" s="125" t="str">
        <f>IF(INDEX(Daten!$H$26:$H$429,MATCH(Steuerung_Eckwerte!B156,Daten!$C$26:$C$429,0))=0, " ", INDEX(Daten!$H$26:$H$429,MATCH(Steuerung_Eckwerte!B156,Daten!$C$26:$C$429,0)))</f>
        <v xml:space="preserve"> </v>
      </c>
    </row>
    <row r="157" spans="1:7" ht="15" customHeight="1">
      <c r="A157" s="105" t="s">
        <v>415</v>
      </c>
      <c r="B157" s="105" t="s">
        <v>762</v>
      </c>
      <c r="C157" s="106" t="str">
        <f t="shared" si="2"/>
        <v xml:space="preserve">JC Harz (Gebietsstand Dezember 2024)  </v>
      </c>
      <c r="D157" s="51"/>
      <c r="E157" s="110"/>
      <c r="F157" s="125" t="str">
        <f>IF(INDEX(Daten!$H$26:$H$429,MATCH(Steuerung_Eckwerte!B157,Daten!$C$26:$C$429,0))=0, " ", INDEX(Daten!$H$26:$H$429,MATCH(Steuerung_Eckwerte!B157,Daten!$C$26:$C$429,0)))</f>
        <v xml:space="preserve"> </v>
      </c>
    </row>
    <row r="158" spans="1:7" ht="15" customHeight="1">
      <c r="A158" s="105" t="s">
        <v>627</v>
      </c>
      <c r="B158" s="105" t="s">
        <v>316</v>
      </c>
      <c r="C158" s="106" t="str">
        <f t="shared" si="2"/>
        <v xml:space="preserve">JC Haßberge (Gebietsstand Dezember 2024)  </v>
      </c>
      <c r="D158" s="51"/>
      <c r="E158" s="110"/>
      <c r="F158" s="125" t="str">
        <f>IF(INDEX(Daten!$H$26:$H$429,MATCH(Steuerung_Eckwerte!B158,Daten!$C$26:$C$429,0))=0, " ", INDEX(Daten!$H$26:$H$429,MATCH(Steuerung_Eckwerte!B158,Daten!$C$26:$C$429,0)))</f>
        <v xml:space="preserve"> </v>
      </c>
    </row>
    <row r="159" spans="1:7" ht="15" customHeight="1">
      <c r="A159" s="105" t="s">
        <v>860</v>
      </c>
      <c r="B159" s="105" t="s">
        <v>19</v>
      </c>
      <c r="C159" s="106" t="str">
        <f t="shared" si="2"/>
        <v xml:space="preserve">JC Havelland (Gebietsstand Dezember 2024)  </v>
      </c>
      <c r="D159" s="51"/>
      <c r="E159" s="110"/>
      <c r="F159" s="125" t="str">
        <f>IF(INDEX(Daten!$H$26:$H$429,MATCH(Steuerung_Eckwerte!B159,Daten!$C$26:$C$429,0))=0, " ", INDEX(Daten!$H$26:$H$429,MATCH(Steuerung_Eckwerte!B159,Daten!$C$26:$C$429,0)))</f>
        <v xml:space="preserve"> </v>
      </c>
    </row>
    <row r="160" spans="1:7" ht="15" customHeight="1">
      <c r="A160" s="105" t="s">
        <v>465</v>
      </c>
      <c r="B160" s="105" t="s">
        <v>733</v>
      </c>
      <c r="C160" s="106" t="str">
        <f t="shared" si="2"/>
        <v xml:space="preserve">JC Heidekreis (Gebietsstand Dezember 2024)  </v>
      </c>
      <c r="D160" s="51"/>
      <c r="E160" s="110"/>
      <c r="F160" s="125" t="str">
        <f>IF(INDEX(Daten!$H$26:$H$429,MATCH(Steuerung_Eckwerte!B160,Daten!$C$26:$C$429,0))=0, " ", INDEX(Daten!$H$26:$H$429,MATCH(Steuerung_Eckwerte!B160,Daten!$C$26:$C$429,0)))</f>
        <v xml:space="preserve"> </v>
      </c>
    </row>
    <row r="161" spans="1:7" ht="15" customHeight="1">
      <c r="A161" s="105" t="s">
        <v>583</v>
      </c>
      <c r="B161" s="105" t="s">
        <v>247</v>
      </c>
      <c r="C161" s="106" t="str">
        <f t="shared" si="2"/>
        <v xml:space="preserve">JC Heidelberg, Stadt (Gebietsstand Dezember 2024)  </v>
      </c>
      <c r="D161" s="51"/>
      <c r="E161" s="110"/>
      <c r="F161" s="125" t="str">
        <f>IF(INDEX(Daten!$H$26:$H$429,MATCH(Steuerung_Eckwerte!B161,Daten!$C$26:$C$429,0))=0, " ", INDEX(Daten!$H$26:$H$429,MATCH(Steuerung_Eckwerte!B161,Daten!$C$26:$C$429,0)))</f>
        <v xml:space="preserve"> </v>
      </c>
    </row>
    <row r="162" spans="1:7" ht="15" customHeight="1">
      <c r="A162" s="105" t="s">
        <v>575</v>
      </c>
      <c r="B162" s="105" t="s">
        <v>239</v>
      </c>
      <c r="C162" s="106" t="str">
        <f t="shared" si="2"/>
        <v xml:space="preserve">JC Heidenheim (Gebietsstand Dezember 2024)  </v>
      </c>
      <c r="D162" s="51"/>
      <c r="E162" s="110"/>
      <c r="F162" s="125" t="str">
        <f>IF(INDEX(Daten!$H$26:$H$429,MATCH(Steuerung_Eckwerte!B162,Daten!$C$26:$C$429,0))=0, " ", INDEX(Daten!$H$26:$H$429,MATCH(Steuerung_Eckwerte!B162,Daten!$C$26:$C$429,0)))</f>
        <v xml:space="preserve"> </v>
      </c>
      <c r="G162" s="53"/>
    </row>
    <row r="163" spans="1:7" ht="15" customHeight="1">
      <c r="A163" s="105" t="s">
        <v>586</v>
      </c>
      <c r="B163" s="105" t="s">
        <v>250</v>
      </c>
      <c r="C163" s="106" t="str">
        <f t="shared" si="2"/>
        <v xml:space="preserve">JC Heilbronn (Gebietsstand Dezember 2024)  </v>
      </c>
      <c r="D163" s="51"/>
      <c r="E163" s="110"/>
      <c r="F163" s="125" t="str">
        <f>IF(INDEX(Daten!$H$26:$H$429,MATCH(Steuerung_Eckwerte!B163,Daten!$C$26:$C$429,0))=0, " ", INDEX(Daten!$H$26:$H$429,MATCH(Steuerung_Eckwerte!B163,Daten!$C$26:$C$429,0)))</f>
        <v xml:space="preserve"> </v>
      </c>
    </row>
    <row r="164" spans="1:7" ht="15" customHeight="1">
      <c r="A164" s="105" t="s">
        <v>585</v>
      </c>
      <c r="B164" s="105" t="s">
        <v>249</v>
      </c>
      <c r="C164" s="106" t="str">
        <f t="shared" si="2"/>
        <v xml:space="preserve">JC Heilbronn, Stadt (Gebietsstand Dezember 2024)  </v>
      </c>
      <c r="D164" s="51"/>
      <c r="E164" s="110"/>
      <c r="F164" s="125" t="str">
        <f>IF(INDEX(Daten!$H$26:$H$429,MATCH(Steuerung_Eckwerte!B164,Daten!$C$26:$C$429,0))=0, " ", INDEX(Daten!$H$26:$H$429,MATCH(Steuerung_Eckwerte!B164,Daten!$C$26:$C$429,0)))</f>
        <v xml:space="preserve"> </v>
      </c>
    </row>
    <row r="165" spans="1:7" ht="15" customHeight="1">
      <c r="A165" s="105" t="s">
        <v>493</v>
      </c>
      <c r="B165" s="105" t="s">
        <v>124</v>
      </c>
      <c r="C165" s="106" t="str">
        <f t="shared" si="2"/>
        <v xml:space="preserve">JC Heinsberg (Gebietsstand Dezember 2024)  </v>
      </c>
      <c r="D165" s="51"/>
      <c r="E165" s="110"/>
      <c r="F165" s="125" t="str">
        <f>IF(INDEX(Daten!$H$26:$H$429,MATCH(Steuerung_Eckwerte!B165,Daten!$C$26:$C$429,0))=0, " ", INDEX(Daten!$H$26:$H$429,MATCH(Steuerung_Eckwerte!B165,Daten!$C$26:$C$429,0)))</f>
        <v xml:space="preserve"> </v>
      </c>
    </row>
    <row r="166" spans="1:7" ht="15" customHeight="1">
      <c r="A166" s="105" t="s">
        <v>472</v>
      </c>
      <c r="B166" s="105" t="s">
        <v>96</v>
      </c>
      <c r="C166" s="106" t="str">
        <f t="shared" si="2"/>
        <v xml:space="preserve">JC Helmstedt (Gebietsstand Dezember 2024)  </v>
      </c>
      <c r="D166" s="51"/>
      <c r="E166" s="110"/>
      <c r="F166" s="125" t="str">
        <f>IF(INDEX(Daten!$H$26:$H$429,MATCH(Steuerung_Eckwerte!B166,Daten!$C$26:$C$429,0))=0, " ", INDEX(Daten!$H$26:$H$429,MATCH(Steuerung_Eckwerte!B166,Daten!$C$26:$C$429,0)))</f>
        <v xml:space="preserve"> </v>
      </c>
    </row>
    <row r="167" spans="1:7" ht="15" customHeight="1">
      <c r="A167" s="105" t="s">
        <v>516</v>
      </c>
      <c r="B167" s="105" t="s">
        <v>153</v>
      </c>
      <c r="C167" s="106" t="str">
        <f t="shared" si="2"/>
        <v xml:space="preserve">JC Herford (Gebietsstand Dezember 2024)  </v>
      </c>
      <c r="D167" s="51"/>
      <c r="E167" s="110"/>
      <c r="F167" s="125" t="str">
        <f>IF(INDEX(Daten!$H$26:$H$429,MATCH(Steuerung_Eckwerte!B167,Daten!$C$26:$C$429,0))=0, " ", INDEX(Daten!$H$26:$H$429,MATCH(Steuerung_Eckwerte!B167,Daten!$C$26:$C$429,0)))</f>
        <v xml:space="preserve"> </v>
      </c>
    </row>
    <row r="168" spans="1:7" ht="15" customHeight="1">
      <c r="A168" s="105" t="s">
        <v>500</v>
      </c>
      <c r="B168" s="105" t="s">
        <v>133</v>
      </c>
      <c r="C168" s="106" t="str">
        <f t="shared" si="2"/>
        <v xml:space="preserve">JC Herne, Stadt (Gebietsstand Dezember 2024)  </v>
      </c>
      <c r="D168" s="51"/>
      <c r="E168" s="110"/>
      <c r="F168" s="125" t="str">
        <f>IF(INDEX(Daten!$H$26:$H$429,MATCH(Steuerung_Eckwerte!B168,Daten!$C$26:$C$429,0))=0, " ", INDEX(Daten!$H$26:$H$429,MATCH(Steuerung_Eckwerte!B168,Daten!$C$26:$C$429,0)))</f>
        <v xml:space="preserve"> </v>
      </c>
    </row>
    <row r="169" spans="1:7" ht="15" customHeight="1">
      <c r="A169" s="105" t="s">
        <v>534</v>
      </c>
      <c r="B169" s="105" t="s">
        <v>177</v>
      </c>
      <c r="C169" s="106" t="str">
        <f t="shared" si="2"/>
        <v xml:space="preserve">JC Hersfeld-Rotenburg (Gebietsstand Dezember 2024)  </v>
      </c>
      <c r="D169" s="51"/>
      <c r="E169" s="110"/>
      <c r="F169" s="125" t="str">
        <f>IF(INDEX(Daten!$H$26:$H$429,MATCH(Steuerung_Eckwerte!B169,Daten!$C$26:$C$429,0))=0, " ", INDEX(Daten!$H$26:$H$429,MATCH(Steuerung_Eckwerte!B169,Daten!$C$26:$C$429,0)))</f>
        <v xml:space="preserve"> </v>
      </c>
    </row>
    <row r="170" spans="1:7" ht="15" customHeight="1">
      <c r="A170" s="105" t="s">
        <v>446</v>
      </c>
      <c r="B170" s="105" t="s">
        <v>63</v>
      </c>
      <c r="C170" s="106" t="str">
        <f t="shared" si="2"/>
        <v xml:space="preserve">JC Herzogtum Lauenburg (Gebietsstand Dezember 2024)  </v>
      </c>
      <c r="D170" s="51"/>
      <c r="E170" s="110"/>
      <c r="F170" s="125" t="str">
        <f>IF(INDEX(Daten!$H$26:$H$429,MATCH(Steuerung_Eckwerte!B170,Daten!$C$26:$C$429,0))=0, " ", INDEX(Daten!$H$26:$H$429,MATCH(Steuerung_Eckwerte!B170,Daten!$C$26:$C$429,0)))</f>
        <v xml:space="preserve"> </v>
      </c>
    </row>
    <row r="171" spans="1:7" ht="15" customHeight="1">
      <c r="A171" s="105" t="s">
        <v>442</v>
      </c>
      <c r="B171" s="105" t="s">
        <v>58</v>
      </c>
      <c r="C171" s="106" t="str">
        <f t="shared" si="2"/>
        <v xml:space="preserve">JC Hildburghausen (Gebietsstand Dezember 2024)  </v>
      </c>
      <c r="D171" s="51"/>
      <c r="E171" s="110"/>
      <c r="F171" s="125" t="str">
        <f>IF(INDEX(Daten!$H$26:$H$429,MATCH(Steuerung_Eckwerte!B171,Daten!$C$26:$C$429,0))=0, " ", INDEX(Daten!$H$26:$H$429,MATCH(Steuerung_Eckwerte!B171,Daten!$C$26:$C$429,0)))</f>
        <v xml:space="preserve"> </v>
      </c>
    </row>
    <row r="172" spans="1:7" ht="15" customHeight="1">
      <c r="A172" s="105" t="s">
        <v>475</v>
      </c>
      <c r="B172" s="105" t="s">
        <v>99</v>
      </c>
      <c r="C172" s="106" t="str">
        <f t="shared" si="2"/>
        <v xml:space="preserve">JC Hildesheim (Gebietsstand Dezember 2024)  </v>
      </c>
      <c r="D172" s="51"/>
      <c r="E172" s="110"/>
      <c r="F172" s="125" t="str">
        <f>IF(INDEX(Daten!$H$26:$H$429,MATCH(Steuerung_Eckwerte!B172,Daten!$C$26:$C$429,0))=0, " ", INDEX(Daten!$H$26:$H$429,MATCH(Steuerung_Eckwerte!B172,Daten!$C$26:$C$429,0)))</f>
        <v xml:space="preserve"> </v>
      </c>
    </row>
    <row r="173" spans="1:7" ht="15" customHeight="1">
      <c r="A173" s="105" t="s">
        <v>799</v>
      </c>
      <c r="B173" s="105" t="s">
        <v>159</v>
      </c>
      <c r="C173" s="106" t="str">
        <f t="shared" si="2"/>
        <v xml:space="preserve">JC Hochsauerlandkreis (Gebietsstand Dezember 2024)  </v>
      </c>
      <c r="D173" s="51"/>
      <c r="E173" s="110"/>
      <c r="F173" s="125" t="str">
        <f>IF(INDEX(Daten!$H$26:$H$429,MATCH(Steuerung_Eckwerte!B173,Daten!$C$26:$C$429,0))=0, " ", INDEX(Daten!$H$26:$H$429,MATCH(Steuerung_Eckwerte!B173,Daten!$C$26:$C$429,0)))</f>
        <v xml:space="preserve"> </v>
      </c>
    </row>
    <row r="174" spans="1:7" ht="15" customHeight="1">
      <c r="A174" s="105" t="s">
        <v>892</v>
      </c>
      <c r="B174" s="105" t="s">
        <v>184</v>
      </c>
      <c r="C174" s="106" t="str">
        <f t="shared" si="2"/>
        <v xml:space="preserve">JC Hochtaunuskreis (Gebietsstand Dezember 2024)  </v>
      </c>
      <c r="D174" s="51"/>
      <c r="E174" s="110"/>
      <c r="F174" s="125" t="str">
        <f>IF(INDEX(Daten!$H$26:$H$429,MATCH(Steuerung_Eckwerte!B174,Daten!$C$26:$C$429,0))=0, " ", INDEX(Daten!$H$26:$H$429,MATCH(Steuerung_Eckwerte!B174,Daten!$C$26:$C$429,0)))</f>
        <v xml:space="preserve"> </v>
      </c>
    </row>
    <row r="175" spans="1:7" ht="15" customHeight="1">
      <c r="A175" s="105" t="s">
        <v>830</v>
      </c>
      <c r="B175" s="105" t="s">
        <v>299</v>
      </c>
      <c r="C175" s="106" t="str">
        <f t="shared" si="2"/>
        <v xml:space="preserve">JC Hof (Gebietsstand Dezember 2024)  </v>
      </c>
      <c r="D175" s="51"/>
      <c r="E175" s="110"/>
      <c r="F175" s="125" t="str">
        <f>IF(INDEX(Daten!$H$26:$H$429,MATCH(Steuerung_Eckwerte!B175,Daten!$C$26:$C$429,0))=0, " ", INDEX(Daten!$H$26:$H$429,MATCH(Steuerung_Eckwerte!B175,Daten!$C$26:$C$429,0)))</f>
        <v xml:space="preserve"> </v>
      </c>
    </row>
    <row r="176" spans="1:7" ht="15" customHeight="1">
      <c r="A176" s="105" t="s">
        <v>829</v>
      </c>
      <c r="B176" s="105" t="s">
        <v>298</v>
      </c>
      <c r="C176" s="106" t="str">
        <f t="shared" si="2"/>
        <v xml:space="preserve">JC Hof, Stadt (Gebietsstand Dezember 2024)  </v>
      </c>
      <c r="D176" s="51"/>
      <c r="E176" s="110"/>
      <c r="F176" s="125" t="str">
        <f>IF(INDEX(Daten!$H$26:$H$429,MATCH(Steuerung_Eckwerte!B176,Daten!$C$26:$C$429,0))=0, " ", INDEX(Daten!$H$26:$H$429,MATCH(Steuerung_Eckwerte!B176,Daten!$C$26:$C$429,0)))</f>
        <v xml:space="preserve"> </v>
      </c>
    </row>
    <row r="177" spans="1:6" ht="15" customHeight="1">
      <c r="A177" s="105" t="s">
        <v>599</v>
      </c>
      <c r="B177" s="105" t="s">
        <v>273</v>
      </c>
      <c r="C177" s="106" t="str">
        <f t="shared" si="2"/>
        <v xml:space="preserve">JC Hohenlohekreis (Gebietsstand Dezember 2024)  </v>
      </c>
      <c r="D177" s="51"/>
      <c r="E177" s="110"/>
      <c r="F177" s="125" t="str">
        <f>IF(INDEX(Daten!$H$26:$H$429,MATCH(Steuerung_Eckwerte!B177,Daten!$C$26:$C$429,0))=0, " ", INDEX(Daten!$H$26:$H$429,MATCH(Steuerung_Eckwerte!B177,Daten!$C$26:$C$429,0)))</f>
        <v xml:space="preserve"> </v>
      </c>
    </row>
    <row r="178" spans="1:6" ht="15" customHeight="1">
      <c r="A178" s="105" t="s">
        <v>469</v>
      </c>
      <c r="B178" s="105" t="s">
        <v>92</v>
      </c>
      <c r="C178" s="106" t="str">
        <f t="shared" si="2"/>
        <v xml:space="preserve">JC Holzminden (Gebietsstand Dezember 2024)  </v>
      </c>
      <c r="D178" s="51"/>
      <c r="E178" s="110"/>
      <c r="F178" s="125" t="str">
        <f>IF(INDEX(Daten!$H$26:$H$429,MATCH(Steuerung_Eckwerte!B178,Daten!$C$26:$C$429,0))=0, " ", INDEX(Daten!$H$26:$H$429,MATCH(Steuerung_Eckwerte!B178,Daten!$C$26:$C$429,0)))</f>
        <v xml:space="preserve"> </v>
      </c>
    </row>
    <row r="179" spans="1:6" ht="15" customHeight="1">
      <c r="A179" s="105" t="s">
        <v>527</v>
      </c>
      <c r="B179" s="105" t="s">
        <v>166</v>
      </c>
      <c r="C179" s="106" t="str">
        <f t="shared" si="2"/>
        <v xml:space="preserve">JC Höxter (Gebietsstand Dezember 2024)  </v>
      </c>
      <c r="D179" s="51"/>
      <c r="E179" s="110"/>
      <c r="F179" s="125" t="str">
        <f>IF(INDEX(Daten!$H$26:$H$429,MATCH(Steuerung_Eckwerte!B179,Daten!$C$26:$C$429,0))=0, " ", INDEX(Daten!$H$26:$H$429,MATCH(Steuerung_Eckwerte!B179,Daten!$C$26:$C$429,0)))</f>
        <v xml:space="preserve"> </v>
      </c>
    </row>
    <row r="180" spans="1:6" ht="15" customHeight="1">
      <c r="A180" s="105" t="s">
        <v>433</v>
      </c>
      <c r="B180" s="105" t="s">
        <v>44</v>
      </c>
      <c r="C180" s="106" t="str">
        <f t="shared" si="2"/>
        <v xml:space="preserve">JC Ilm-Kreis (Gebietsstand Dezember 2024)  </v>
      </c>
      <c r="D180" s="51"/>
      <c r="E180" s="110"/>
      <c r="F180" s="125" t="str">
        <f>IF(INDEX(Daten!$H$26:$H$429,MATCH(Steuerung_Eckwerte!B180,Daten!$C$26:$C$429,0))=0, " ", INDEX(Daten!$H$26:$H$429,MATCH(Steuerung_Eckwerte!B180,Daten!$C$26:$C$429,0)))</f>
        <v xml:space="preserve"> </v>
      </c>
    </row>
    <row r="181" spans="1:6" ht="15" customHeight="1">
      <c r="A181" s="105" t="s">
        <v>839</v>
      </c>
      <c r="B181" s="105" t="s">
        <v>339</v>
      </c>
      <c r="C181" s="106" t="str">
        <f t="shared" si="2"/>
        <v xml:space="preserve">JC Ingolstadt, Stadt (Gebietsstand Dezember 2024)  </v>
      </c>
      <c r="D181" s="51"/>
      <c r="E181" s="110"/>
      <c r="F181" s="125" t="str">
        <f>IF(INDEX(Daten!$H$26:$H$429,MATCH(Steuerung_Eckwerte!B181,Daten!$C$26:$C$429,0))=0, " ", INDEX(Daten!$H$26:$H$429,MATCH(Steuerung_Eckwerte!B181,Daten!$C$26:$C$429,0)))</f>
        <v xml:space="preserve"> </v>
      </c>
    </row>
    <row r="182" spans="1:6" ht="15" customHeight="1">
      <c r="A182" s="290" t="s">
        <v>1026</v>
      </c>
      <c r="B182" s="105" t="s">
        <v>51</v>
      </c>
      <c r="C182" s="106" t="str">
        <f t="shared" si="2"/>
        <v xml:space="preserve">JC Jena, Stadt (Gebietsstand Dezember 2024)  </v>
      </c>
      <c r="D182" s="51"/>
      <c r="E182" s="110"/>
      <c r="F182" s="125" t="str">
        <f>IF(INDEX(Daten!$H$26:$H$429,MATCH(Steuerung_Eckwerte!B182,Daten!$C$26:$C$429,0))=0, " ", INDEX(Daten!$H$26:$H$429,MATCH(Steuerung_Eckwerte!B182,Daten!$C$26:$C$429,0)))</f>
        <v xml:space="preserve"> </v>
      </c>
    </row>
    <row r="183" spans="1:6" ht="15" customHeight="1">
      <c r="A183" s="105" t="s">
        <v>418</v>
      </c>
      <c r="B183" s="105" t="s">
        <v>29</v>
      </c>
      <c r="C183" s="106" t="str">
        <f t="shared" si="2"/>
        <v xml:space="preserve">JC Jerichower Land (Gebietsstand Dezember 2024)  </v>
      </c>
      <c r="D183" s="51"/>
      <c r="E183" s="110"/>
      <c r="F183" s="125" t="str">
        <f>IF(INDEX(Daten!$H$26:$H$429,MATCH(Steuerung_Eckwerte!B183,Daten!$C$26:$C$429,0))=0, " ", INDEX(Daten!$H$26:$H$429,MATCH(Steuerung_Eckwerte!B183,Daten!$C$26:$C$429,0)))</f>
        <v xml:space="preserve"> </v>
      </c>
    </row>
    <row r="184" spans="1:6" ht="15" customHeight="1">
      <c r="A184" s="105" t="s">
        <v>556</v>
      </c>
      <c r="B184" s="105" t="s">
        <v>207</v>
      </c>
      <c r="C184" s="106" t="str">
        <f t="shared" si="2"/>
        <v xml:space="preserve">JC Kaiserslautern (Gebietsstand Dezember 2024)  </v>
      </c>
      <c r="D184" s="51"/>
      <c r="E184" s="110"/>
      <c r="F184" s="125" t="str">
        <f>IF(INDEX(Daten!$H$26:$H$429,MATCH(Steuerung_Eckwerte!B184,Daten!$C$26:$C$429,0))=0, " ", INDEX(Daten!$H$26:$H$429,MATCH(Steuerung_Eckwerte!B184,Daten!$C$26:$C$429,0)))</f>
        <v xml:space="preserve"> </v>
      </c>
    </row>
    <row r="185" spans="1:6" ht="15" customHeight="1">
      <c r="A185" s="105" t="s">
        <v>555</v>
      </c>
      <c r="B185" s="105" t="s">
        <v>206</v>
      </c>
      <c r="C185" s="106" t="str">
        <f t="shared" si="2"/>
        <v xml:space="preserve">JC Kaiserslautern, Stadt (Gebietsstand Dezember 2024)  </v>
      </c>
      <c r="D185" s="51"/>
      <c r="E185" s="110"/>
      <c r="F185" s="125" t="str">
        <f>IF(INDEX(Daten!$H$26:$H$429,MATCH(Steuerung_Eckwerte!B185,Daten!$C$26:$C$429,0))=0, " ", INDEX(Daten!$H$26:$H$429,MATCH(Steuerung_Eckwerte!B185,Daten!$C$26:$C$429,0)))</f>
        <v xml:space="preserve"> </v>
      </c>
    </row>
    <row r="186" spans="1:6" ht="15" customHeight="1">
      <c r="A186" s="105" t="s">
        <v>588</v>
      </c>
      <c r="B186" s="105" t="s">
        <v>252</v>
      </c>
      <c r="C186" s="106" t="str">
        <f t="shared" si="2"/>
        <v xml:space="preserve">JC Karlsruhe (Gebietsstand Dezember 2024)  </v>
      </c>
      <c r="D186" s="51"/>
      <c r="E186" s="110"/>
      <c r="F186" s="125" t="str">
        <f>IF(INDEX(Daten!$H$26:$H$429,MATCH(Steuerung_Eckwerte!B186,Daten!$C$26:$C$429,0))=0, " ", INDEX(Daten!$H$26:$H$429,MATCH(Steuerung_Eckwerte!B186,Daten!$C$26:$C$429,0)))</f>
        <v xml:space="preserve"> </v>
      </c>
    </row>
    <row r="187" spans="1:6" ht="15" customHeight="1">
      <c r="A187" s="105" t="s">
        <v>587</v>
      </c>
      <c r="B187" s="105" t="s">
        <v>251</v>
      </c>
      <c r="C187" s="106" t="str">
        <f t="shared" si="2"/>
        <v xml:space="preserve">JC Karlsruhe, Stadt (Gebietsstand Dezember 2024)  </v>
      </c>
      <c r="D187" s="51"/>
      <c r="E187" s="110"/>
      <c r="F187" s="125" t="str">
        <f>IF(INDEX(Daten!$H$26:$H$429,MATCH(Steuerung_Eckwerte!B187,Daten!$C$26:$C$429,0))=0, " ", INDEX(Daten!$H$26:$H$429,MATCH(Steuerung_Eckwerte!B187,Daten!$C$26:$C$429,0)))</f>
        <v xml:space="preserve"> </v>
      </c>
    </row>
    <row r="188" spans="1:6" ht="15" customHeight="1">
      <c r="A188" s="105" t="s">
        <v>545</v>
      </c>
      <c r="B188" s="105" t="s">
        <v>194</v>
      </c>
      <c r="C188" s="106" t="str">
        <f t="shared" si="2"/>
        <v xml:space="preserve">JC Kassel (Gebietsstand Dezember 2024)  </v>
      </c>
      <c r="D188" s="51"/>
      <c r="E188" s="110"/>
      <c r="F188" s="125" t="str">
        <f>IF(INDEX(Daten!$H$26:$H$429,MATCH(Steuerung_Eckwerte!B188,Daten!$C$26:$C$429,0))=0, " ", INDEX(Daten!$H$26:$H$429,MATCH(Steuerung_Eckwerte!B188,Daten!$C$26:$C$429,0)))</f>
        <v xml:space="preserve"> </v>
      </c>
    </row>
    <row r="189" spans="1:6" ht="15" customHeight="1">
      <c r="A189" s="105" t="s">
        <v>544</v>
      </c>
      <c r="B189" s="105" t="s">
        <v>193</v>
      </c>
      <c r="C189" s="106" t="str">
        <f t="shared" si="2"/>
        <v xml:space="preserve">JC Kassel, documenta-Stadt (Gebietsstand Dezember 2024)  </v>
      </c>
      <c r="D189" s="51"/>
      <c r="E189" s="110"/>
      <c r="F189" s="125" t="str">
        <f>IF(INDEX(Daten!$H$26:$H$429,MATCH(Steuerung_Eckwerte!B189,Daten!$C$26:$C$429,0))=0, " ", INDEX(Daten!$H$26:$H$429,MATCH(Steuerung_Eckwerte!B189,Daten!$C$26:$C$429,0)))</f>
        <v xml:space="preserve"> </v>
      </c>
    </row>
    <row r="190" spans="1:6" ht="15" customHeight="1">
      <c r="A190" s="105" t="s">
        <v>843</v>
      </c>
      <c r="B190" s="105" t="s">
        <v>342</v>
      </c>
      <c r="C190" s="106" t="str">
        <f t="shared" si="2"/>
        <v xml:space="preserve">JC Kaufbeuren, Stadt (Gebietsstand Dezember 2024)  </v>
      </c>
      <c r="D190" s="51"/>
      <c r="E190" s="110"/>
      <c r="F190" s="125" t="str">
        <f>IF(INDEX(Daten!$H$26:$H$429,MATCH(Steuerung_Eckwerte!B190,Daten!$C$26:$C$429,0))=0, " ", INDEX(Daten!$H$26:$H$429,MATCH(Steuerung_Eckwerte!B190,Daten!$C$26:$C$429,0)))</f>
        <v xml:space="preserve"> </v>
      </c>
    </row>
    <row r="191" spans="1:6" ht="15" customHeight="1">
      <c r="A191" s="105" t="s">
        <v>622</v>
      </c>
      <c r="B191" s="105" t="s">
        <v>311</v>
      </c>
      <c r="C191" s="106" t="str">
        <f t="shared" si="2"/>
        <v xml:space="preserve">JC Kelheim (Gebietsstand Dezember 2024)  </v>
      </c>
      <c r="D191" s="51"/>
      <c r="E191" s="110"/>
      <c r="F191" s="125" t="str">
        <f>IF(INDEX(Daten!$H$26:$H$429,MATCH(Steuerung_Eckwerte!B191,Daten!$C$26:$C$429,0))=0, " ", INDEX(Daten!$H$26:$H$429,MATCH(Steuerung_Eckwerte!B191,Daten!$C$26:$C$429,0)))</f>
        <v xml:space="preserve"> </v>
      </c>
    </row>
    <row r="192" spans="1:6" ht="15" customHeight="1">
      <c r="A192" s="105" t="s">
        <v>650</v>
      </c>
      <c r="B192" s="105" t="s">
        <v>343</v>
      </c>
      <c r="C192" s="106" t="str">
        <f t="shared" si="2"/>
        <v xml:space="preserve">JC Kempten (Allgäu), Stadt (Gebietsstand Dezember 2024)  </v>
      </c>
      <c r="D192" s="51"/>
      <c r="E192" s="110"/>
      <c r="F192" s="125" t="str">
        <f>IF(INDEX(Daten!$H$26:$H$429,MATCH(Steuerung_Eckwerte!B192,Daten!$C$26:$C$429,0))=0, " ", INDEX(Daten!$H$26:$H$429,MATCH(Steuerung_Eckwerte!B192,Daten!$C$26:$C$429,0)))</f>
        <v xml:space="preserve"> </v>
      </c>
    </row>
    <row r="193" spans="1:6" ht="15" customHeight="1">
      <c r="A193" s="105" t="s">
        <v>453</v>
      </c>
      <c r="B193" s="105" t="s">
        <v>71</v>
      </c>
      <c r="C193" s="106" t="str">
        <f t="shared" si="2"/>
        <v xml:space="preserve">JC Kiel, Landeshauptstadt (Gebietsstand Dezember 2024)  </v>
      </c>
      <c r="D193" s="51"/>
      <c r="E193" s="110"/>
      <c r="F193" s="125" t="str">
        <f>IF(INDEX(Daten!$H$26:$H$429,MATCH(Steuerung_Eckwerte!B193,Daten!$C$26:$C$429,0))=0, " ", INDEX(Daten!$H$26:$H$429,MATCH(Steuerung_Eckwerte!B193,Daten!$C$26:$C$429,0)))</f>
        <v xml:space="preserve"> </v>
      </c>
    </row>
    <row r="194" spans="1:6" ht="15" customHeight="1">
      <c r="A194" s="105" t="s">
        <v>633</v>
      </c>
      <c r="B194" s="105" t="s">
        <v>324</v>
      </c>
      <c r="C194" s="106" t="str">
        <f t="shared" si="2"/>
        <v xml:space="preserve">JC Kitzingen (Gebietsstand Dezember 2024)  </v>
      </c>
      <c r="D194" s="51"/>
      <c r="E194" s="110"/>
      <c r="F194" s="125" t="str">
        <f>IF(INDEX(Daten!$H$26:$H$429,MATCH(Steuerung_Eckwerte!B194,Daten!$C$26:$C$429,0))=0, " ", INDEX(Daten!$H$26:$H$429,MATCH(Steuerung_Eckwerte!B194,Daten!$C$26:$C$429,0)))</f>
        <v xml:space="preserve"> </v>
      </c>
    </row>
    <row r="195" spans="1:6" ht="15" customHeight="1">
      <c r="A195" s="105" t="s">
        <v>533</v>
      </c>
      <c r="B195" s="105" t="s">
        <v>175</v>
      </c>
      <c r="C195" s="106" t="str">
        <f t="shared" si="2"/>
        <v xml:space="preserve">JC Kleve (Gebietsstand Dezember 2024)  </v>
      </c>
      <c r="D195" s="51"/>
      <c r="E195" s="110"/>
      <c r="F195" s="125" t="str">
        <f>IF(INDEX(Daten!$H$26:$H$429,MATCH(Steuerung_Eckwerte!B195,Daten!$C$26:$C$429,0))=0, " ", INDEX(Daten!$H$26:$H$429,MATCH(Steuerung_Eckwerte!B195,Daten!$C$26:$C$429,0)))</f>
        <v xml:space="preserve"> </v>
      </c>
    </row>
    <row r="196" spans="1:6" ht="15" customHeight="1">
      <c r="A196" s="105" t="s">
        <v>557</v>
      </c>
      <c r="B196" s="105" t="s">
        <v>209</v>
      </c>
      <c r="C196" s="106" t="str">
        <f t="shared" si="2"/>
        <v xml:space="preserve">JC Koblenz, Stadt (Gebietsstand Dezember 2024)  </v>
      </c>
      <c r="D196" s="51"/>
      <c r="E196" s="110"/>
      <c r="F196" s="125" t="str">
        <f>IF(INDEX(Daten!$H$26:$H$429,MATCH(Steuerung_Eckwerte!B196,Daten!$C$26:$C$429,0))=0, " ", INDEX(Daten!$H$26:$H$429,MATCH(Steuerung_Eckwerte!B196,Daten!$C$26:$C$429,0)))</f>
        <v xml:space="preserve"> </v>
      </c>
    </row>
    <row r="197" spans="1:6" ht="15" customHeight="1">
      <c r="A197" s="105" t="s">
        <v>519</v>
      </c>
      <c r="B197" s="105" t="s">
        <v>156</v>
      </c>
      <c r="C197" s="106" t="str">
        <f t="shared" si="2"/>
        <v xml:space="preserve">JC Köln, Stadt (Gebietsstand Dezember 2024)  </v>
      </c>
      <c r="D197" s="51"/>
      <c r="E197" s="110"/>
      <c r="F197" s="125" t="str">
        <f>IF(INDEX(Daten!$H$26:$H$429,MATCH(Steuerung_Eckwerte!B197,Daten!$C$26:$C$429,0))=0, " ", INDEX(Daten!$H$26:$H$429,MATCH(Steuerung_Eckwerte!B197,Daten!$C$26:$C$429,0)))</f>
        <v xml:space="preserve"> </v>
      </c>
    </row>
    <row r="198" spans="1:6" ht="15" customHeight="1">
      <c r="A198" s="105" t="s">
        <v>589</v>
      </c>
      <c r="B198" s="105" t="s">
        <v>253</v>
      </c>
      <c r="C198" s="106" t="str">
        <f t="shared" si="2"/>
        <v xml:space="preserve">JC Konstanz (Gebietsstand Dezember 2024)  </v>
      </c>
      <c r="D198" s="51"/>
      <c r="E198" s="110"/>
      <c r="F198" s="125" t="str">
        <f>IF(INDEX(Daten!$H$26:$H$429,MATCH(Steuerung_Eckwerte!B198,Daten!$C$26:$C$429,0))=0, " ", INDEX(Daten!$H$26:$H$429,MATCH(Steuerung_Eckwerte!B198,Daten!$C$26:$C$429,0)))</f>
        <v xml:space="preserve"> </v>
      </c>
    </row>
    <row r="199" spans="1:6" ht="15" customHeight="1">
      <c r="A199" s="105" t="s">
        <v>520</v>
      </c>
      <c r="B199" s="105" t="s">
        <v>157</v>
      </c>
      <c r="C199" s="106" t="str">
        <f t="shared" si="2"/>
        <v xml:space="preserve">JC Krefeld (Gebietsstand Dezember 2024)  </v>
      </c>
      <c r="D199" s="51"/>
      <c r="E199" s="110"/>
      <c r="F199" s="125" t="str">
        <f>IF(INDEX(Daten!$H$26:$H$429,MATCH(Steuerung_Eckwerte!B199,Daten!$C$26:$C$429,0))=0, " ", INDEX(Daten!$H$26:$H$429,MATCH(Steuerung_Eckwerte!B199,Daten!$C$26:$C$429,0)))</f>
        <v xml:space="preserve"> </v>
      </c>
    </row>
    <row r="200" spans="1:6" ht="15" customHeight="1">
      <c r="A200" s="105" t="s">
        <v>614</v>
      </c>
      <c r="B200" s="105" t="s">
        <v>296</v>
      </c>
      <c r="C200" s="106" t="str">
        <f t="shared" si="2"/>
        <v xml:space="preserve">JC Kronach (Gebietsstand Dezember 2024)  </v>
      </c>
      <c r="D200" s="51"/>
      <c r="E200" s="110"/>
      <c r="F200" s="125" t="str">
        <f>IF(INDEX(Daten!$H$26:$H$429,MATCH(Steuerung_Eckwerte!B200,Daten!$C$26:$C$429,0))=0, " ", INDEX(Daten!$H$26:$H$429,MATCH(Steuerung_Eckwerte!B200,Daten!$C$26:$C$429,0)))</f>
        <v xml:space="preserve"> </v>
      </c>
    </row>
    <row r="201" spans="1:6" ht="15" customHeight="1">
      <c r="A201" s="105" t="s">
        <v>611</v>
      </c>
      <c r="B201" s="105" t="s">
        <v>293</v>
      </c>
      <c r="C201" s="106" t="str">
        <f t="shared" si="2"/>
        <v xml:space="preserve">JC Kulmbach (Gebietsstand Dezember 2024)  </v>
      </c>
      <c r="D201" s="51"/>
      <c r="E201" s="110"/>
      <c r="F201" s="125" t="str">
        <f>IF(INDEX(Daten!$H$26:$H$429,MATCH(Steuerung_Eckwerte!B201,Daten!$C$26:$C$429,0))=0, " ", INDEX(Daten!$H$26:$H$429,MATCH(Steuerung_Eckwerte!B201,Daten!$C$26:$C$429,0)))</f>
        <v xml:space="preserve"> </v>
      </c>
    </row>
    <row r="202" spans="1:6" ht="15" customHeight="1">
      <c r="A202" s="105" t="s">
        <v>809</v>
      </c>
      <c r="B202" s="105" t="s">
        <v>208</v>
      </c>
      <c r="C202" s="106" t="str">
        <f t="shared" si="2"/>
        <v xml:space="preserve">JC Kusel (Gebietsstand Dezember 2024)  </v>
      </c>
      <c r="D202" s="51"/>
      <c r="E202" s="110"/>
      <c r="F202" s="125" t="str">
        <f>IF(INDEX(Daten!$H$26:$H$429,MATCH(Steuerung_Eckwerte!B202,Daten!$C$26:$C$429,0))=0, " ", INDEX(Daten!$H$26:$H$429,MATCH(Steuerung_Eckwerte!B202,Daten!$C$26:$C$429,0)))</f>
        <v xml:space="preserve"> </v>
      </c>
    </row>
    <row r="203" spans="1:6" ht="15" customHeight="1">
      <c r="A203" s="105" t="s">
        <v>440</v>
      </c>
      <c r="B203" s="105" t="s">
        <v>56</v>
      </c>
      <c r="C203" s="106" t="str">
        <f t="shared" si="2"/>
        <v xml:space="preserve">JC Kyffhäuserkreis (Gebietsstand Dezember 2024)  </v>
      </c>
      <c r="D203" s="51"/>
      <c r="E203" s="110"/>
      <c r="F203" s="125" t="str">
        <f>IF(INDEX(Daten!$H$26:$H$429,MATCH(Steuerung_Eckwerte!B203,Daten!$C$26:$C$429,0))=0, " ", INDEX(Daten!$H$26:$H$429,MATCH(Steuerung_Eckwerte!B203,Daten!$C$26:$C$429,0)))</f>
        <v xml:space="preserve"> </v>
      </c>
    </row>
    <row r="204" spans="1:6" ht="15" customHeight="1">
      <c r="A204" s="105" t="s">
        <v>804</v>
      </c>
      <c r="B204" s="105" t="s">
        <v>199</v>
      </c>
      <c r="C204" s="106" t="str">
        <f t="shared" si="2"/>
        <v xml:space="preserve">JC Lahn-Dill-Kreis (Gebietsstand Dezember 2024)  </v>
      </c>
      <c r="D204" s="51"/>
      <c r="E204" s="110"/>
      <c r="F204" s="125" t="str">
        <f>IF(INDEX(Daten!$H$26:$H$429,MATCH(Steuerung_Eckwerte!B204,Daten!$C$26:$C$429,0))=0, " ", INDEX(Daten!$H$26:$H$429,MATCH(Steuerung_Eckwerte!B204,Daten!$C$26:$C$429,0)))</f>
        <v xml:space="preserve"> </v>
      </c>
    </row>
    <row r="205" spans="1:6" ht="15" customHeight="1">
      <c r="A205" s="105" t="s">
        <v>566</v>
      </c>
      <c r="B205" s="105" t="s">
        <v>225</v>
      </c>
      <c r="C205" s="106" t="str">
        <f t="shared" si="2"/>
        <v xml:space="preserve">JC Landau-Südliche Weinstraße (Gebietsstand Dezember 2024)  </v>
      </c>
      <c r="D205" s="51"/>
      <c r="E205" s="110"/>
      <c r="F205" s="125" t="str">
        <f>IF(INDEX(Daten!$H$26:$H$429,MATCH(Steuerung_Eckwerte!B205,Daten!$C$26:$C$429,0))=0, " ", INDEX(Daten!$H$26:$H$429,MATCH(Steuerung_Eckwerte!B205,Daten!$C$26:$C$429,0)))</f>
        <v xml:space="preserve"> </v>
      </c>
    </row>
    <row r="206" spans="1:6" ht="15" customHeight="1">
      <c r="A206" s="105" t="s">
        <v>394</v>
      </c>
      <c r="B206" s="105" t="s">
        <v>978</v>
      </c>
      <c r="C206" s="106" t="str">
        <f>CONCATENATE(B206, " ", $D$3, " ", F206)</f>
        <v xml:space="preserve">JC Landkreis Rostock (Gebietsstand Dezember 2024)  </v>
      </c>
      <c r="D206" s="51"/>
      <c r="E206" s="110"/>
      <c r="F206" s="125" t="str">
        <f>IF(INDEX(Daten!$H$26:$H$429,MATCH(Steuerung_Eckwerte!B206,Daten!$C$26:$C$429,0))=0, " ", INDEX(Daten!$H$26:$H$429,MATCH(Steuerung_Eckwerte!B206,Daten!$C$26:$C$429,0)))</f>
        <v xml:space="preserve"> </v>
      </c>
    </row>
    <row r="207" spans="1:6" ht="15" customHeight="1">
      <c r="A207" s="105" t="s">
        <v>667</v>
      </c>
      <c r="B207" s="105" t="s">
        <v>373</v>
      </c>
      <c r="C207" s="106" t="str">
        <f t="shared" si="2"/>
        <v xml:space="preserve">JC Landsberg am Lech (Gebietsstand Dezember 2024)  </v>
      </c>
      <c r="D207" s="51"/>
      <c r="E207" s="110"/>
      <c r="F207" s="125" t="str">
        <f>IF(INDEX(Daten!$H$26:$H$429,MATCH(Steuerung_Eckwerte!B207,Daten!$C$26:$C$429,0))=0, " ", INDEX(Daten!$H$26:$H$429,MATCH(Steuerung_Eckwerte!B207,Daten!$C$26:$C$429,0)))</f>
        <v xml:space="preserve"> </v>
      </c>
    </row>
    <row r="208" spans="1:6" ht="15" customHeight="1">
      <c r="A208" s="105" t="s">
        <v>655</v>
      </c>
      <c r="B208" s="105" t="s">
        <v>349</v>
      </c>
      <c r="C208" s="106" t="str">
        <f t="shared" si="2"/>
        <v xml:space="preserve">JC Landshut (Gebietsstand Dezember 2024)  </v>
      </c>
      <c r="D208" s="51"/>
      <c r="E208" s="110"/>
      <c r="F208" s="125" t="str">
        <f>IF(INDEX(Daten!$H$26:$H$429,MATCH(Steuerung_Eckwerte!B208,Daten!$C$26:$C$429,0))=0, " ", INDEX(Daten!$H$26:$H$429,MATCH(Steuerung_Eckwerte!B208,Daten!$C$26:$C$429,0)))</f>
        <v xml:space="preserve"> </v>
      </c>
    </row>
    <row r="209" spans="1:6" ht="15" customHeight="1">
      <c r="A209" s="105" t="s">
        <v>654</v>
      </c>
      <c r="B209" s="105" t="s">
        <v>348</v>
      </c>
      <c r="C209" s="106" t="str">
        <f t="shared" si="2"/>
        <v xml:space="preserve">JC Landshut, Stadt (Gebietsstand Dezember 2024)  </v>
      </c>
      <c r="D209" s="51"/>
      <c r="E209" s="110"/>
      <c r="F209" s="125" t="str">
        <f>IF(INDEX(Daten!$H$26:$H$429,MATCH(Steuerung_Eckwerte!B209,Daten!$C$26:$C$429,0))=0, " ", INDEX(Daten!$H$26:$H$429,MATCH(Steuerung_Eckwerte!B209,Daten!$C$26:$C$429,0)))</f>
        <v xml:space="preserve"> </v>
      </c>
    </row>
    <row r="210" spans="1:6" ht="15" customHeight="1">
      <c r="A210" s="105" t="s">
        <v>780</v>
      </c>
      <c r="B210" s="105" t="s">
        <v>101</v>
      </c>
      <c r="C210" s="106" t="str">
        <f t="shared" si="2"/>
        <v xml:space="preserve">JC Leer (Gebietsstand Dezember 2024)  </v>
      </c>
      <c r="D210" s="51"/>
      <c r="E210" s="110"/>
      <c r="F210" s="125" t="str">
        <f>IF(INDEX(Daten!$H$26:$H$429,MATCH(Steuerung_Eckwerte!B210,Daten!$C$26:$C$429,0))=0, " ", INDEX(Daten!$H$26:$H$429,MATCH(Steuerung_Eckwerte!B210,Daten!$C$26:$C$429,0)))</f>
        <v xml:space="preserve"> </v>
      </c>
    </row>
    <row r="211" spans="1:6" ht="15" customHeight="1">
      <c r="A211" s="105" t="s">
        <v>427</v>
      </c>
      <c r="B211" s="105" t="s">
        <v>776</v>
      </c>
      <c r="C211" s="106" t="str">
        <f t="shared" si="2"/>
        <v xml:space="preserve">JC Leipzig (Gebietsstand Dezember 2024)  </v>
      </c>
      <c r="D211" s="51"/>
      <c r="E211" s="110"/>
      <c r="F211" s="125" t="str">
        <f>IF(INDEX(Daten!$H$26:$H$429,MATCH(Steuerung_Eckwerte!B211,Daten!$C$26:$C$429,0))=0, " ", INDEX(Daten!$H$26:$H$429,MATCH(Steuerung_Eckwerte!B211,Daten!$C$26:$C$429,0)))</f>
        <v xml:space="preserve"> </v>
      </c>
    </row>
    <row r="212" spans="1:6" ht="15" customHeight="1">
      <c r="A212" s="105" t="s">
        <v>425</v>
      </c>
      <c r="B212" s="105" t="s">
        <v>39</v>
      </c>
      <c r="C212" s="106" t="str">
        <f t="shared" si="2"/>
        <v xml:space="preserve">JC Leipzig, Stadt (Gebietsstand Dezember 2024)  </v>
      </c>
      <c r="D212" s="51"/>
      <c r="E212" s="110"/>
      <c r="F212" s="125" t="str">
        <f>IF(INDEX(Daten!$H$26:$H$429,MATCH(Steuerung_Eckwerte!B212,Daten!$C$26:$C$429,0))=0, " ", INDEX(Daten!$H$26:$H$429,MATCH(Steuerung_Eckwerte!B212,Daten!$C$26:$C$429,0)))</f>
        <v xml:space="preserve"> </v>
      </c>
    </row>
    <row r="213" spans="1:6" ht="15" customHeight="1">
      <c r="A213" s="105" t="s">
        <v>495</v>
      </c>
      <c r="B213" s="105" t="s">
        <v>127</v>
      </c>
      <c r="C213" s="106" t="str">
        <f t="shared" si="2"/>
        <v xml:space="preserve">JC Leverkusen, Stadt (Gebietsstand Dezember 2024)  </v>
      </c>
      <c r="D213" s="51"/>
      <c r="E213" s="110"/>
      <c r="F213" s="125" t="str">
        <f>IF(INDEX(Daten!$H$26:$H$429,MATCH(Steuerung_Eckwerte!B213,Daten!$C$26:$C$429,0))=0, " ", INDEX(Daten!$H$26:$H$429,MATCH(Steuerung_Eckwerte!B213,Daten!$C$26:$C$429,0)))</f>
        <v xml:space="preserve"> </v>
      </c>
    </row>
    <row r="214" spans="1:6" ht="15" customHeight="1">
      <c r="A214" s="105" t="s">
        <v>858</v>
      </c>
      <c r="B214" s="105" t="s">
        <v>386</v>
      </c>
      <c r="C214" s="106" t="str">
        <f t="shared" si="2"/>
        <v xml:space="preserve">JC Lichtenberg (Gebietsstand Dezember 2024)  </v>
      </c>
      <c r="D214" s="51"/>
      <c r="E214" s="110"/>
      <c r="F214" s="125" t="str">
        <f>IF(INDEX(Daten!$H$26:$H$429,MATCH(Steuerung_Eckwerte!B214,Daten!$C$26:$C$429,0))=0, " ", INDEX(Daten!$H$26:$H$429,MATCH(Steuerung_Eckwerte!B214,Daten!$C$26:$C$429,0)))</f>
        <v xml:space="preserve"> </v>
      </c>
    </row>
    <row r="215" spans="1:6" ht="15" customHeight="1">
      <c r="A215" s="105" t="s">
        <v>615</v>
      </c>
      <c r="B215" s="105" t="s">
        <v>297</v>
      </c>
      <c r="C215" s="106" t="str">
        <f t="shared" si="2"/>
        <v xml:space="preserve">JC Lichtenfels (Gebietsstand Dezember 2024)  </v>
      </c>
      <c r="D215" s="51"/>
      <c r="E215" s="110"/>
      <c r="F215" s="125" t="str">
        <f>IF(INDEX(Daten!$H$26:$H$429,MATCH(Steuerung_Eckwerte!B215,Daten!$C$26:$C$429,0))=0, " ", INDEX(Daten!$H$26:$H$429,MATCH(Steuerung_Eckwerte!B215,Daten!$C$26:$C$429,0)))</f>
        <v xml:space="preserve"> </v>
      </c>
    </row>
    <row r="216" spans="1:6" ht="15" customHeight="1">
      <c r="A216" s="105" t="s">
        <v>547</v>
      </c>
      <c r="B216" s="105" t="s">
        <v>196</v>
      </c>
      <c r="C216" s="106" t="str">
        <f t="shared" ref="C216:C279" si="3">CONCATENATE(B216, " ", $D$3, " ", F216)</f>
        <v xml:space="preserve">JC Limburg-Weilburg (Gebietsstand Dezember 2024)  </v>
      </c>
      <c r="D216" s="51"/>
      <c r="E216" s="110"/>
      <c r="F216" s="125" t="str">
        <f>IF(INDEX(Daten!$H$26:$H$429,MATCH(Steuerung_Eckwerte!B216,Daten!$C$26:$C$429,0))=0, " ", INDEX(Daten!$H$26:$H$429,MATCH(Steuerung_Eckwerte!B216,Daten!$C$26:$C$429,0)))</f>
        <v xml:space="preserve"> </v>
      </c>
    </row>
    <row r="217" spans="1:6" ht="15" customHeight="1">
      <c r="A217" s="105" t="s">
        <v>651</v>
      </c>
      <c r="B217" s="105" t="s">
        <v>344</v>
      </c>
      <c r="C217" s="106" t="str">
        <f t="shared" si="3"/>
        <v xml:space="preserve">JC Lindau (Bodensee) (Gebietsstand Dezember 2024)  </v>
      </c>
      <c r="D217" s="51"/>
      <c r="E217" s="110"/>
      <c r="F217" s="125" t="str">
        <f>IF(INDEX(Daten!$H$26:$H$429,MATCH(Steuerung_Eckwerte!B217,Daten!$C$26:$C$429,0))=0, " ", INDEX(Daten!$H$26:$H$429,MATCH(Steuerung_Eckwerte!B217,Daten!$C$26:$C$429,0)))</f>
        <v xml:space="preserve"> </v>
      </c>
    </row>
    <row r="218" spans="1:6" ht="15" customHeight="1">
      <c r="A218" s="105" t="s">
        <v>794</v>
      </c>
      <c r="B218" s="105" t="s">
        <v>140</v>
      </c>
      <c r="C218" s="106" t="str">
        <f t="shared" si="3"/>
        <v xml:space="preserve">JC Lippe (Gebietsstand Dezember 2024)  </v>
      </c>
      <c r="D218" s="51"/>
      <c r="E218" s="110"/>
      <c r="F218" s="125" t="str">
        <f>IF(INDEX(Daten!$H$26:$H$429,MATCH(Steuerung_Eckwerte!B218,Daten!$C$26:$C$429,0))=0, " ", INDEX(Daten!$H$26:$H$429,MATCH(Steuerung_Eckwerte!B218,Daten!$C$26:$C$429,0)))</f>
        <v xml:space="preserve"> </v>
      </c>
    </row>
    <row r="219" spans="1:6" ht="15" customHeight="1">
      <c r="A219" s="105" t="s">
        <v>590</v>
      </c>
      <c r="B219" s="105" t="s">
        <v>254</v>
      </c>
      <c r="C219" s="106" t="str">
        <f t="shared" si="3"/>
        <v xml:space="preserve">JC Lörrach (Gebietsstand Dezember 2024)  </v>
      </c>
      <c r="D219" s="51"/>
      <c r="E219" s="110"/>
      <c r="F219" s="125" t="str">
        <f>IF(INDEX(Daten!$H$26:$H$429,MATCH(Steuerung_Eckwerte!B219,Daten!$C$26:$C$429,0))=0, " ", INDEX(Daten!$H$26:$H$429,MATCH(Steuerung_Eckwerte!B219,Daten!$C$26:$C$429,0)))</f>
        <v xml:space="preserve"> </v>
      </c>
    </row>
    <row r="220" spans="1:6" ht="15" customHeight="1">
      <c r="A220" s="105" t="s">
        <v>455</v>
      </c>
      <c r="B220" s="105" t="s">
        <v>73</v>
      </c>
      <c r="C220" s="106" t="str">
        <f t="shared" si="3"/>
        <v xml:space="preserve">JC Lübeck, Hansestadt (Gebietsstand Dezember 2024)  </v>
      </c>
      <c r="D220" s="51"/>
      <c r="E220" s="110"/>
      <c r="F220" s="125" t="str">
        <f>IF(INDEX(Daten!$H$26:$H$429,MATCH(Steuerung_Eckwerte!B220,Daten!$C$26:$C$429,0))=0, " ", INDEX(Daten!$H$26:$H$429,MATCH(Steuerung_Eckwerte!B220,Daten!$C$26:$C$429,0)))</f>
        <v xml:space="preserve"> </v>
      </c>
    </row>
    <row r="221" spans="1:6" ht="15" customHeight="1">
      <c r="A221" s="105" t="s">
        <v>785</v>
      </c>
      <c r="B221" s="105" t="s">
        <v>116</v>
      </c>
      <c r="C221" s="106" t="str">
        <f t="shared" si="3"/>
        <v xml:space="preserve">JC Lüchow-Dannenberg (Gebietsstand Dezember 2024)  </v>
      </c>
      <c r="D221" s="51"/>
      <c r="E221" s="110"/>
      <c r="F221" s="125" t="str">
        <f>IF(INDEX(Daten!$H$26:$H$429,MATCH(Steuerung_Eckwerte!B221,Daten!$C$26:$C$429,0))=0, " ", INDEX(Daten!$H$26:$H$429,MATCH(Steuerung_Eckwerte!B221,Daten!$C$26:$C$429,0)))</f>
        <v xml:space="preserve"> </v>
      </c>
    </row>
    <row r="222" spans="1:6" ht="15" customHeight="1">
      <c r="A222" s="105" t="s">
        <v>819</v>
      </c>
      <c r="B222" s="105" t="s">
        <v>256</v>
      </c>
      <c r="C222" s="106" t="str">
        <f t="shared" si="3"/>
        <v xml:space="preserve">JC Ludwigsburg (Gebietsstand Dezember 2024)  </v>
      </c>
      <c r="D222" s="51"/>
      <c r="E222" s="110"/>
      <c r="F222" s="125" t="str">
        <f>IF(INDEX(Daten!$H$26:$H$429,MATCH(Steuerung_Eckwerte!B222,Daten!$C$26:$C$429,0))=0, " ", INDEX(Daten!$H$26:$H$429,MATCH(Steuerung_Eckwerte!B222,Daten!$C$26:$C$429,0)))</f>
        <v xml:space="preserve"> </v>
      </c>
    </row>
    <row r="223" spans="1:6" ht="15" customHeight="1">
      <c r="A223" s="105" t="s">
        <v>397</v>
      </c>
      <c r="B223" s="105" t="s">
        <v>774</v>
      </c>
      <c r="C223" s="106" t="str">
        <f t="shared" si="3"/>
        <v xml:space="preserve">JC Ludwigslust-Parchim (Gebietsstand Dezember 2024)  </v>
      </c>
      <c r="D223" s="51"/>
      <c r="E223" s="110"/>
      <c r="F223" s="125" t="str">
        <f>IF(INDEX(Daten!$H$26:$H$429,MATCH(Steuerung_Eckwerte!B223,Daten!$C$26:$C$429,0))=0, " ", INDEX(Daten!$H$26:$H$429,MATCH(Steuerung_Eckwerte!B223,Daten!$C$26:$C$429,0)))</f>
        <v xml:space="preserve"> </v>
      </c>
    </row>
    <row r="224" spans="1:6" ht="15" customHeight="1">
      <c r="A224" s="105" t="s">
        <v>476</v>
      </c>
      <c r="B224" s="105" t="s">
        <v>102</v>
      </c>
      <c r="C224" s="106" t="str">
        <f t="shared" si="3"/>
        <v xml:space="preserve">JC Lüneburg (Gebietsstand Dezember 2024)  </v>
      </c>
      <c r="D224" s="51"/>
      <c r="E224" s="110"/>
      <c r="F224" s="125" t="str">
        <f>IF(INDEX(Daten!$H$26:$H$429,MATCH(Steuerung_Eckwerte!B224,Daten!$C$26:$C$429,0))=0, " ", INDEX(Daten!$H$26:$H$429,MATCH(Steuerung_Eckwerte!B224,Daten!$C$26:$C$429,0)))</f>
        <v xml:space="preserve"> </v>
      </c>
    </row>
    <row r="225" spans="1:6" ht="15" customHeight="1">
      <c r="A225" s="105" t="s">
        <v>417</v>
      </c>
      <c r="B225" s="105" t="s">
        <v>28</v>
      </c>
      <c r="C225" s="106" t="str">
        <f t="shared" si="3"/>
        <v xml:space="preserve">JC Magdeburg, Landeshauptstadt (Gebietsstand Dezember 2024)  </v>
      </c>
      <c r="D225" s="51"/>
      <c r="E225" s="110"/>
      <c r="F225" s="125" t="str">
        <f>IF(INDEX(Daten!$H$26:$H$429,MATCH(Steuerung_Eckwerte!B225,Daten!$C$26:$C$429,0))=0, " ", INDEX(Daten!$H$26:$H$429,MATCH(Steuerung_Eckwerte!B225,Daten!$C$26:$C$429,0)))</f>
        <v xml:space="preserve"> </v>
      </c>
    </row>
    <row r="226" spans="1:6" ht="15" customHeight="1">
      <c r="A226" s="105" t="s">
        <v>543</v>
      </c>
      <c r="B226" s="105" t="s">
        <v>192</v>
      </c>
      <c r="C226" s="106" t="str">
        <f t="shared" si="3"/>
        <v xml:space="preserve">JC Main-Kinzig-Kreis (Gebietsstand Dezember 2024)  </v>
      </c>
      <c r="D226" s="51"/>
      <c r="E226" s="110"/>
      <c r="F226" s="125" t="str">
        <f>IF(INDEX(Daten!$H$26:$H$429,MATCH(Steuerung_Eckwerte!B226,Daten!$C$26:$C$429,0))=0, " ", INDEX(Daten!$H$26:$H$429,MATCH(Steuerung_Eckwerte!B226,Daten!$C$26:$C$429,0)))</f>
        <v xml:space="preserve"> </v>
      </c>
    </row>
    <row r="227" spans="1:6" ht="15" customHeight="1">
      <c r="A227" s="105" t="s">
        <v>636</v>
      </c>
      <c r="B227" s="105" t="s">
        <v>327</v>
      </c>
      <c r="C227" s="106" t="str">
        <f t="shared" si="3"/>
        <v xml:space="preserve">JC Main-Spessart (Gebietsstand Dezember 2024)  </v>
      </c>
      <c r="D227" s="51"/>
      <c r="E227" s="110"/>
      <c r="F227" s="125" t="str">
        <f>IF(INDEX(Daten!$H$26:$H$429,MATCH(Steuerung_Eckwerte!B227,Daten!$C$26:$C$429,0))=0, " ", INDEX(Daten!$H$26:$H$429,MATCH(Steuerung_Eckwerte!B227,Daten!$C$26:$C$429,0)))</f>
        <v xml:space="preserve"> </v>
      </c>
    </row>
    <row r="228" spans="1:6" ht="15" customHeight="1">
      <c r="A228" s="105" t="s">
        <v>823</v>
      </c>
      <c r="B228" s="105" t="s">
        <v>277</v>
      </c>
      <c r="C228" s="106" t="str">
        <f t="shared" si="3"/>
        <v xml:space="preserve">JC Main-Tauber-Kreis (Gebietsstand Dezember 2024)  </v>
      </c>
      <c r="D228" s="51"/>
      <c r="E228" s="110"/>
      <c r="F228" s="125" t="str">
        <f>IF(INDEX(Daten!$H$26:$H$429,MATCH(Steuerung_Eckwerte!B228,Daten!$C$26:$C$429,0))=0, " ", INDEX(Daten!$H$26:$H$429,MATCH(Steuerung_Eckwerte!B228,Daten!$C$26:$C$429,0)))</f>
        <v xml:space="preserve"> </v>
      </c>
    </row>
    <row r="229" spans="1:6" ht="15" customHeight="1">
      <c r="A229" s="105" t="s">
        <v>893</v>
      </c>
      <c r="B229" s="105" t="s">
        <v>185</v>
      </c>
      <c r="C229" s="106" t="str">
        <f t="shared" si="3"/>
        <v xml:space="preserve">JC Main-Taunus-Kreis (Gebietsstand Dezember 2024)  </v>
      </c>
      <c r="D229" s="51"/>
      <c r="E229" s="110"/>
      <c r="F229" s="125" t="str">
        <f>IF(INDEX(Daten!$H$26:$H$429,MATCH(Steuerung_Eckwerte!B229,Daten!$C$26:$C$429,0))=0, " ", INDEX(Daten!$H$26:$H$429,MATCH(Steuerung_Eckwerte!B229,Daten!$C$26:$C$429,0)))</f>
        <v xml:space="preserve"> </v>
      </c>
    </row>
    <row r="230" spans="1:6" ht="15" customHeight="1">
      <c r="A230" s="105" t="s">
        <v>561</v>
      </c>
      <c r="B230" s="105" t="s">
        <v>214</v>
      </c>
      <c r="C230" s="106" t="str">
        <f t="shared" si="3"/>
        <v xml:space="preserve">JC Mainz, Stadt (Gebietsstand Dezember 2024)  </v>
      </c>
      <c r="D230" s="51"/>
      <c r="E230" s="110"/>
      <c r="F230" s="125" t="str">
        <f>IF(INDEX(Daten!$H$26:$H$429,MATCH(Steuerung_Eckwerte!B230,Daten!$C$26:$C$429,0))=0, " ", INDEX(Daten!$H$26:$H$429,MATCH(Steuerung_Eckwerte!B230,Daten!$C$26:$C$429,0)))</f>
        <v xml:space="preserve"> </v>
      </c>
    </row>
    <row r="231" spans="1:6" ht="15" customHeight="1">
      <c r="A231" s="105" t="s">
        <v>812</v>
      </c>
      <c r="B231" s="105" t="s">
        <v>215</v>
      </c>
      <c r="C231" s="106" t="str">
        <f t="shared" si="3"/>
        <v xml:space="preserve">JC Mainz-Bingen (Gebietsstand Dezember 2024)  </v>
      </c>
      <c r="D231" s="51"/>
      <c r="E231" s="110"/>
      <c r="F231" s="125" t="str">
        <f>IF(INDEX(Daten!$H$26:$H$429,MATCH(Steuerung_Eckwerte!B231,Daten!$C$26:$C$429,0))=0, " ", INDEX(Daten!$H$26:$H$429,MATCH(Steuerung_Eckwerte!B231,Daten!$C$26:$C$429,0)))</f>
        <v xml:space="preserve"> </v>
      </c>
    </row>
    <row r="232" spans="1:6" ht="15" customHeight="1">
      <c r="A232" s="105" t="s">
        <v>592</v>
      </c>
      <c r="B232" s="105" t="s">
        <v>257</v>
      </c>
      <c r="C232" s="106" t="str">
        <f t="shared" si="3"/>
        <v xml:space="preserve">JC Mannheim, Universitätsstadt (Gebietsstand Dezember 2024)  </v>
      </c>
      <c r="D232" s="51"/>
      <c r="E232" s="110"/>
      <c r="F232" s="125" t="str">
        <f>IF(INDEX(Daten!$H$26:$H$429,MATCH(Steuerung_Eckwerte!B232,Daten!$C$26:$C$429,0))=0, " ", INDEX(Daten!$H$26:$H$429,MATCH(Steuerung_Eckwerte!B232,Daten!$C$26:$C$429,0)))</f>
        <v xml:space="preserve"> </v>
      </c>
    </row>
    <row r="233" spans="1:6" ht="15" customHeight="1">
      <c r="A233" s="290" t="s">
        <v>1032</v>
      </c>
      <c r="B233" s="105" t="s">
        <v>764</v>
      </c>
      <c r="C233" s="106" t="str">
        <f t="shared" si="3"/>
        <v xml:space="preserve">JC Mansfeld-Südharz (Gebietsstand Dezember 2024)  </v>
      </c>
      <c r="D233" s="51"/>
      <c r="E233" s="110"/>
      <c r="F233" s="125" t="str">
        <f>IF(INDEX(Daten!$H$26:$H$429,MATCH(Steuerung_Eckwerte!B233,Daten!$C$26:$C$429,0))=0, " ", INDEX(Daten!$H$26:$H$429,MATCH(Steuerung_Eckwerte!B233,Daten!$C$26:$C$429,0)))</f>
        <v xml:space="preserve"> </v>
      </c>
    </row>
    <row r="234" spans="1:6" ht="15" customHeight="1">
      <c r="A234" s="105" t="s">
        <v>548</v>
      </c>
      <c r="B234" s="105" t="s">
        <v>197</v>
      </c>
      <c r="C234" s="106" t="str">
        <f t="shared" si="3"/>
        <v xml:space="preserve">JC Marburg-Biedenkopf (Gebietsstand Dezember 2024)  </v>
      </c>
      <c r="D234" s="51"/>
      <c r="E234" s="110"/>
      <c r="F234" s="125" t="str">
        <f>IF(INDEX(Daten!$H$26:$H$429,MATCH(Steuerung_Eckwerte!B234,Daten!$C$26:$C$429,0))=0, " ", INDEX(Daten!$H$26:$H$429,MATCH(Steuerung_Eckwerte!B234,Daten!$C$26:$C$429,0)))</f>
        <v xml:space="preserve"> </v>
      </c>
    </row>
    <row r="235" spans="1:6" ht="15" customHeight="1">
      <c r="A235" s="105" t="s">
        <v>518</v>
      </c>
      <c r="B235" s="105" t="s">
        <v>155</v>
      </c>
      <c r="C235" s="106" t="str">
        <f t="shared" si="3"/>
        <v xml:space="preserve">JC Märkischer Kreis (Gebietsstand Dezember 2024)  </v>
      </c>
      <c r="D235" s="51"/>
      <c r="E235" s="110"/>
      <c r="F235" s="125" t="str">
        <f>IF(INDEX(Daten!$H$26:$H$429,MATCH(Steuerung_Eckwerte!B235,Daten!$C$26:$C$429,0))=0, " ", INDEX(Daten!$H$26:$H$429,MATCH(Steuerung_Eckwerte!B235,Daten!$C$26:$C$429,0)))</f>
        <v xml:space="preserve"> </v>
      </c>
    </row>
    <row r="236" spans="1:6" ht="15" customHeight="1">
      <c r="A236" s="105" t="s">
        <v>406</v>
      </c>
      <c r="B236" s="105" t="s">
        <v>15</v>
      </c>
      <c r="C236" s="106" t="str">
        <f t="shared" si="3"/>
        <v xml:space="preserve">JC Märkisch-Oderland (Gebietsstand Dezember 2024)  </v>
      </c>
      <c r="D236" s="51"/>
      <c r="E236" s="110"/>
      <c r="F236" s="125" t="str">
        <f>IF(INDEX(Daten!$H$26:$H$429,MATCH(Steuerung_Eckwerte!B236,Daten!$C$26:$C$429,0))=0, " ", INDEX(Daten!$H$26:$H$429,MATCH(Steuerung_Eckwerte!B236,Daten!$C$26:$C$429,0)))</f>
        <v xml:space="preserve"> </v>
      </c>
    </row>
    <row r="237" spans="1:6" ht="15" customHeight="1">
      <c r="A237" s="105" t="s">
        <v>857</v>
      </c>
      <c r="B237" s="105" t="s">
        <v>385</v>
      </c>
      <c r="C237" s="106" t="str">
        <f t="shared" si="3"/>
        <v xml:space="preserve">JC Marzahn-Hellersdorf (Gebietsstand Dezember 2024)  </v>
      </c>
      <c r="D237" s="51"/>
      <c r="E237" s="110"/>
      <c r="F237" s="125" t="str">
        <f>IF(INDEX(Daten!$H$26:$H$429,MATCH(Steuerung_Eckwerte!B237,Daten!$C$26:$C$429,0))=0, " ", INDEX(Daten!$H$26:$H$429,MATCH(Steuerung_Eckwerte!B237,Daten!$C$26:$C$429,0)))</f>
        <v xml:space="preserve"> </v>
      </c>
    </row>
    <row r="238" spans="1:6" ht="15" customHeight="1">
      <c r="A238" s="105" t="s">
        <v>811</v>
      </c>
      <c r="B238" s="105" t="s">
        <v>218</v>
      </c>
      <c r="C238" s="106" t="str">
        <f t="shared" si="3"/>
        <v xml:space="preserve">JC Mayen-Koblenz (Gebietsstand Dezember 2024)  </v>
      </c>
      <c r="D238" s="51"/>
      <c r="E238" s="110"/>
      <c r="F238" s="125" t="str">
        <f>IF(INDEX(Daten!$H$26:$H$429,MATCH(Steuerung_Eckwerte!B238,Daten!$C$26:$C$429,0))=0, " ", INDEX(Daten!$H$26:$H$429,MATCH(Steuerung_Eckwerte!B238,Daten!$C$26:$C$429,0)))</f>
        <v xml:space="preserve"> </v>
      </c>
    </row>
    <row r="239" spans="1:6" ht="15" customHeight="1">
      <c r="A239" s="105" t="s">
        <v>392</v>
      </c>
      <c r="B239" s="105" t="s">
        <v>911</v>
      </c>
      <c r="C239" s="106" t="str">
        <f t="shared" si="3"/>
        <v xml:space="preserve">JC Mecklenburgische Seenplatte Nord (Gebietsstand Dezember 2024)  </v>
      </c>
      <c r="D239" s="51"/>
      <c r="E239" s="110"/>
      <c r="F239" s="125" t="str">
        <f>IF(INDEX(Daten!$H$26:$H$429,MATCH(Steuerung_Eckwerte!B239,Daten!$C$26:$C$429,0))=0, " ", INDEX(Daten!$H$26:$H$429,MATCH(Steuerung_Eckwerte!B239,Daten!$C$26:$C$429,0)))</f>
        <v xml:space="preserve"> </v>
      </c>
    </row>
    <row r="240" spans="1:6" ht="15" customHeight="1">
      <c r="A240" s="105" t="s">
        <v>391</v>
      </c>
      <c r="B240" s="105" t="s">
        <v>912</v>
      </c>
      <c r="C240" s="106" t="str">
        <f t="shared" si="3"/>
        <v xml:space="preserve">JC Mecklenburgische Seenplatte Süd (Gebietsstand Dezember 2024)  </v>
      </c>
      <c r="D240" s="51"/>
      <c r="E240" s="110"/>
      <c r="F240" s="125" t="str">
        <f>IF(INDEX(Daten!$H$26:$H$429,MATCH(Steuerung_Eckwerte!B240,Daten!$C$26:$C$429,0))=0, " ", INDEX(Daten!$H$26:$H$429,MATCH(Steuerung_Eckwerte!B240,Daten!$C$26:$C$429,0)))</f>
        <v xml:space="preserve"> </v>
      </c>
    </row>
    <row r="241" spans="1:6" ht="15" customHeight="1">
      <c r="A241" s="105" t="s">
        <v>430</v>
      </c>
      <c r="B241" s="105" t="s">
        <v>42</v>
      </c>
      <c r="C241" s="106" t="str">
        <f t="shared" si="3"/>
        <v xml:space="preserve">JC Meißen (Gebietsstand Dezember 2024)  </v>
      </c>
      <c r="D241" s="51"/>
      <c r="E241" s="110"/>
      <c r="F241" s="125" t="str">
        <f>IF(INDEX(Daten!$H$26:$H$429,MATCH(Steuerung_Eckwerte!B241,Daten!$C$26:$C$429,0))=0, " ", INDEX(Daten!$H$26:$H$429,MATCH(Steuerung_Eckwerte!B241,Daten!$C$26:$C$429,0)))</f>
        <v xml:space="preserve"> </v>
      </c>
    </row>
    <row r="242" spans="1:6" ht="15" customHeight="1">
      <c r="A242" s="105" t="s">
        <v>840</v>
      </c>
      <c r="B242" s="105" t="s">
        <v>351</v>
      </c>
      <c r="C242" s="106" t="str">
        <f t="shared" si="3"/>
        <v xml:space="preserve">JC Memmingen, Stadt (Gebietsstand Dezember 2024)  </v>
      </c>
      <c r="D242" s="51"/>
      <c r="E242" s="110"/>
      <c r="F242" s="125" t="str">
        <f>IF(INDEX(Daten!$H$26:$H$429,MATCH(Steuerung_Eckwerte!B242,Daten!$C$26:$C$429,0))=0, " ", INDEX(Daten!$H$26:$H$429,MATCH(Steuerung_Eckwerte!B242,Daten!$C$26:$C$429,0)))</f>
        <v xml:space="preserve"> </v>
      </c>
    </row>
    <row r="243" spans="1:6" ht="15" customHeight="1">
      <c r="A243" s="105" t="s">
        <v>853</v>
      </c>
      <c r="B243" s="105" t="s">
        <v>231</v>
      </c>
      <c r="C243" s="106" t="str">
        <f t="shared" si="3"/>
        <v xml:space="preserve">JC Merzig-Wadern (Gebietsstand Dezember 2024)  </v>
      </c>
      <c r="D243" s="51"/>
      <c r="E243" s="110"/>
      <c r="F243" s="125" t="str">
        <f>IF(INDEX(Daten!$H$26:$H$429,MATCH(Steuerung_Eckwerte!B243,Daten!$C$26:$C$429,0))=0, " ", INDEX(Daten!$H$26:$H$429,MATCH(Steuerung_Eckwerte!B243,Daten!$C$26:$C$429,0)))</f>
        <v xml:space="preserve"> </v>
      </c>
    </row>
    <row r="244" spans="1:6" ht="15" customHeight="1">
      <c r="A244" s="105" t="s">
        <v>889</v>
      </c>
      <c r="B244" s="105" t="s">
        <v>144</v>
      </c>
      <c r="C244" s="106" t="str">
        <f t="shared" si="3"/>
        <v xml:space="preserve">JC Mettmann (Gebietsstand Dezember 2024)  </v>
      </c>
      <c r="D244" s="51"/>
      <c r="E244" s="110"/>
      <c r="F244" s="125" t="str">
        <f>IF(INDEX(Daten!$H$26:$H$429,MATCH(Steuerung_Eckwerte!B244,Daten!$C$26:$C$429,0))=0, " ", INDEX(Daten!$H$26:$H$429,MATCH(Steuerung_Eckwerte!B244,Daten!$C$26:$C$429,0)))</f>
        <v xml:space="preserve"> </v>
      </c>
    </row>
    <row r="245" spans="1:6" ht="15" customHeight="1">
      <c r="A245" s="105" t="s">
        <v>661</v>
      </c>
      <c r="B245" s="105" t="s">
        <v>367</v>
      </c>
      <c r="C245" s="106" t="str">
        <f t="shared" si="3"/>
        <v xml:space="preserve">JC Miesbach (Gebietsstand Dezember 2024)  </v>
      </c>
      <c r="D245" s="51"/>
      <c r="E245" s="110"/>
      <c r="F245" s="125" t="str">
        <f>IF(INDEX(Daten!$H$26:$H$429,MATCH(Steuerung_Eckwerte!B245,Daten!$C$26:$C$429,0))=0, " ", INDEX(Daten!$H$26:$H$429,MATCH(Steuerung_Eckwerte!B245,Daten!$C$26:$C$429,0)))</f>
        <v xml:space="preserve"> </v>
      </c>
    </row>
    <row r="246" spans="1:6" ht="15" customHeight="1">
      <c r="A246" s="105" t="s">
        <v>608</v>
      </c>
      <c r="B246" s="105" t="s">
        <v>287</v>
      </c>
      <c r="C246" s="106" t="str">
        <f t="shared" si="3"/>
        <v xml:space="preserve">JC Miltenberg (Gebietsstand Dezember 2024)  </v>
      </c>
      <c r="D246" s="51"/>
      <c r="E246" s="110"/>
      <c r="F246" s="125" t="str">
        <f>IF(INDEX(Daten!$H$26:$H$429,MATCH(Steuerung_Eckwerte!B246,Daten!$C$26:$C$429,0))=0, " ", INDEX(Daten!$H$26:$H$429,MATCH(Steuerung_Eckwerte!B246,Daten!$C$26:$C$429,0)))</f>
        <v xml:space="preserve"> </v>
      </c>
    </row>
    <row r="247" spans="1:6" ht="15" customHeight="1">
      <c r="A247" s="105" t="s">
        <v>517</v>
      </c>
      <c r="B247" s="105" t="s">
        <v>154</v>
      </c>
      <c r="C247" s="106" t="str">
        <f t="shared" si="3"/>
        <v xml:space="preserve">JC Minden-Lübbecke (Gebietsstand Dezember 2024)  </v>
      </c>
      <c r="D247" s="51"/>
      <c r="E247" s="110"/>
      <c r="F247" s="125" t="str">
        <f>IF(INDEX(Daten!$H$26:$H$429,MATCH(Steuerung_Eckwerte!B247,Daten!$C$26:$C$429,0))=0, " ", INDEX(Daten!$H$26:$H$429,MATCH(Steuerung_Eckwerte!B247,Daten!$C$26:$C$429,0)))</f>
        <v xml:space="preserve"> </v>
      </c>
    </row>
    <row r="248" spans="1:6" ht="15" customHeight="1">
      <c r="A248" s="105" t="s">
        <v>676</v>
      </c>
      <c r="B248" s="105" t="s">
        <v>384</v>
      </c>
      <c r="C248" s="106" t="str">
        <f t="shared" si="3"/>
        <v xml:space="preserve">JC Mitte (Gebietsstand Dezember 2024)  </v>
      </c>
      <c r="D248" s="51"/>
      <c r="E248" s="110"/>
      <c r="F248" s="125" t="str">
        <f>IF(INDEX(Daten!$H$26:$H$429,MATCH(Steuerung_Eckwerte!B248,Daten!$C$26:$C$429,0))=0, " ", INDEX(Daten!$H$26:$H$429,MATCH(Steuerung_Eckwerte!B248,Daten!$C$26:$C$429,0)))</f>
        <v xml:space="preserve"> </v>
      </c>
    </row>
    <row r="249" spans="1:6" ht="15" customHeight="1">
      <c r="A249" s="105" t="s">
        <v>904</v>
      </c>
      <c r="B249" s="105" t="s">
        <v>758</v>
      </c>
      <c r="C249" s="106" t="str">
        <f t="shared" si="3"/>
        <v xml:space="preserve">JC Mittelsachsen (Gebietsstand Dezember 2024)  </v>
      </c>
      <c r="D249" s="51"/>
      <c r="E249" s="110"/>
      <c r="F249" s="125" t="str">
        <f>IF(INDEX(Daten!$H$26:$H$429,MATCH(Steuerung_Eckwerte!B249,Daten!$C$26:$C$429,0))=0, " ", INDEX(Daten!$H$26:$H$429,MATCH(Steuerung_Eckwerte!B249,Daten!$C$26:$C$429,0)))</f>
        <v xml:space="preserve"> </v>
      </c>
    </row>
    <row r="250" spans="1:6" ht="15" customHeight="1">
      <c r="A250" s="105" t="s">
        <v>522</v>
      </c>
      <c r="B250" s="105" t="s">
        <v>160</v>
      </c>
      <c r="C250" s="106" t="str">
        <f t="shared" si="3"/>
        <v xml:space="preserve">JC Mönchengladbach, Stadt (Gebietsstand Dezember 2024)  </v>
      </c>
      <c r="D250" s="51"/>
      <c r="E250" s="110"/>
      <c r="F250" s="125" t="str">
        <f>IF(INDEX(Daten!$H$26:$H$429,MATCH(Steuerung_Eckwerte!B250,Daten!$C$26:$C$429,0))=0, " ", INDEX(Daten!$H$26:$H$429,MATCH(Steuerung_Eckwerte!B250,Daten!$C$26:$C$429,0)))</f>
        <v xml:space="preserve"> </v>
      </c>
    </row>
    <row r="251" spans="1:6" ht="15" customHeight="1">
      <c r="A251" s="105" t="s">
        <v>847</v>
      </c>
      <c r="B251" s="105" t="s">
        <v>364</v>
      </c>
      <c r="C251" s="106" t="str">
        <f t="shared" si="3"/>
        <v xml:space="preserve">JC Mühldorf am Inn (Gebietsstand Dezember 2024)  </v>
      </c>
      <c r="D251" s="51"/>
      <c r="E251" s="110"/>
      <c r="F251" s="125" t="str">
        <f>IF(INDEX(Daten!$H$26:$H$429,MATCH(Steuerung_Eckwerte!B251,Daten!$C$26:$C$429,0))=0, " ", INDEX(Daten!$H$26:$H$429,MATCH(Steuerung_Eckwerte!B251,Daten!$C$26:$C$429,0)))</f>
        <v xml:space="preserve"> </v>
      </c>
    </row>
    <row r="252" spans="1:6" ht="15" customHeight="1">
      <c r="A252" s="105" t="s">
        <v>524</v>
      </c>
      <c r="B252" s="105" t="s">
        <v>163</v>
      </c>
      <c r="C252" s="106" t="str">
        <f t="shared" si="3"/>
        <v xml:space="preserve">JC Mülheim an der Ruhr, Stadt (Gebietsstand Dezember 2024)  </v>
      </c>
      <c r="D252" s="51"/>
      <c r="E252" s="110"/>
      <c r="F252" s="125" t="str">
        <f>IF(INDEX(Daten!$H$26:$H$429,MATCH(Steuerung_Eckwerte!B252,Daten!$C$26:$C$429,0))=0, " ", INDEX(Daten!$H$26:$H$429,MATCH(Steuerung_Eckwerte!B252,Daten!$C$26:$C$429,0)))</f>
        <v xml:space="preserve"> </v>
      </c>
    </row>
    <row r="253" spans="1:6" ht="15" customHeight="1">
      <c r="A253" s="105" t="s">
        <v>845</v>
      </c>
      <c r="B253" s="105" t="s">
        <v>358</v>
      </c>
      <c r="C253" s="106" t="str">
        <f t="shared" si="3"/>
        <v xml:space="preserve">JC München (Gebietsstand Dezember 2024)  </v>
      </c>
      <c r="D253" s="51"/>
      <c r="E253" s="110"/>
      <c r="F253" s="125" t="str">
        <f>IF(INDEX(Daten!$H$26:$H$429,MATCH(Steuerung_Eckwerte!B253,Daten!$C$26:$C$429,0))=0, " ", INDEX(Daten!$H$26:$H$429,MATCH(Steuerung_Eckwerte!B253,Daten!$C$26:$C$429,0)))</f>
        <v xml:space="preserve"> </v>
      </c>
    </row>
    <row r="254" spans="1:6" ht="15" customHeight="1">
      <c r="A254" s="105" t="s">
        <v>656</v>
      </c>
      <c r="B254" s="105" t="s">
        <v>357</v>
      </c>
      <c r="C254" s="106" t="str">
        <f t="shared" si="3"/>
        <v xml:space="preserve">JC München, Landeshauptstadt (Gebietsstand Dezember 2024)  </v>
      </c>
      <c r="D254" s="51"/>
      <c r="E254" s="110"/>
      <c r="F254" s="125" t="str">
        <f>IF(INDEX(Daten!$H$26:$H$429,MATCH(Steuerung_Eckwerte!B254,Daten!$C$26:$C$429,0))=0, " ", INDEX(Daten!$H$26:$H$429,MATCH(Steuerung_Eckwerte!B254,Daten!$C$26:$C$429,0)))</f>
        <v xml:space="preserve"> </v>
      </c>
    </row>
    <row r="255" spans="1:6" ht="15" customHeight="1">
      <c r="A255" s="105" t="s">
        <v>797</v>
      </c>
      <c r="B255" s="105" t="s">
        <v>162</v>
      </c>
      <c r="C255" s="106" t="str">
        <f t="shared" si="3"/>
        <v xml:space="preserve">JC Münster, Stadt (Gebietsstand Dezember 2024)  </v>
      </c>
      <c r="D255" s="51"/>
      <c r="E255" s="110"/>
      <c r="F255" s="125" t="str">
        <f>IF(INDEX(Daten!$H$26:$H$429,MATCH(Steuerung_Eckwerte!B255,Daten!$C$26:$C$429,0))=0, " ", INDEX(Daten!$H$26:$H$429,MATCH(Steuerung_Eckwerte!B255,Daten!$C$26:$C$429,0)))</f>
        <v xml:space="preserve"> </v>
      </c>
    </row>
    <row r="256" spans="1:6" ht="15" customHeight="1">
      <c r="A256" s="105" t="s">
        <v>822</v>
      </c>
      <c r="B256" s="105" t="s">
        <v>278</v>
      </c>
      <c r="C256" s="106" t="str">
        <f t="shared" si="3"/>
        <v xml:space="preserve">JC Neckar-Odenwald-Kreis (Gebietsstand Dezember 2024)  </v>
      </c>
      <c r="D256" s="51"/>
      <c r="E256" s="110"/>
      <c r="F256" s="125" t="str">
        <f>IF(INDEX(Daten!$H$26:$H$429,MATCH(Steuerung_Eckwerte!B256,Daten!$C$26:$C$429,0))=0, " ", INDEX(Daten!$H$26:$H$429,MATCH(Steuerung_Eckwerte!B256,Daten!$C$26:$C$429,0)))</f>
        <v xml:space="preserve"> </v>
      </c>
    </row>
    <row r="257" spans="1:6" ht="15" customHeight="1">
      <c r="A257" s="105" t="s">
        <v>648</v>
      </c>
      <c r="B257" s="105" t="s">
        <v>340</v>
      </c>
      <c r="C257" s="106" t="str">
        <f t="shared" si="3"/>
        <v xml:space="preserve">JC Neuburg-Schrobenhausen (Gebietsstand Dezember 2024)  </v>
      </c>
      <c r="D257" s="51"/>
      <c r="E257" s="110"/>
      <c r="F257" s="125" t="str">
        <f>IF(INDEX(Daten!$H$26:$H$429,MATCH(Steuerung_Eckwerte!B257,Daten!$C$26:$C$429,0))=0, " ", INDEX(Daten!$H$26:$H$429,MATCH(Steuerung_Eckwerte!B257,Daten!$C$26:$C$429,0)))</f>
        <v xml:space="preserve"> </v>
      </c>
    </row>
    <row r="258" spans="1:6" ht="15" customHeight="1">
      <c r="A258" s="105" t="s">
        <v>669</v>
      </c>
      <c r="B258" s="105" t="s">
        <v>375</v>
      </c>
      <c r="C258" s="106" t="str">
        <f t="shared" si="3"/>
        <v xml:space="preserve">JC Neukölln (Gebietsstand Dezember 2024)  </v>
      </c>
      <c r="D258" s="51"/>
      <c r="E258" s="110"/>
      <c r="F258" s="125" t="str">
        <f>IF(INDEX(Daten!$H$26:$H$429,MATCH(Steuerung_Eckwerte!B258,Daten!$C$26:$C$429,0))=0, " ", INDEX(Daten!$H$26:$H$429,MATCH(Steuerung_Eckwerte!B258,Daten!$C$26:$C$429,0)))</f>
        <v xml:space="preserve"> </v>
      </c>
    </row>
    <row r="259" spans="1:6" ht="15" customHeight="1">
      <c r="A259" s="105" t="s">
        <v>619</v>
      </c>
      <c r="B259" s="105" t="s">
        <v>308</v>
      </c>
      <c r="C259" s="106" t="str">
        <f t="shared" si="3"/>
        <v xml:space="preserve">JC Neumarkt idOPf (Gebietsstand Dezember 2024)  </v>
      </c>
      <c r="D259" s="51"/>
      <c r="E259" s="110"/>
      <c r="F259" s="125" t="str">
        <f>IF(INDEX(Daten!$H$26:$H$429,MATCH(Steuerung_Eckwerte!B259,Daten!$C$26:$C$429,0))=0, " ", INDEX(Daten!$H$26:$H$429,MATCH(Steuerung_Eckwerte!B259,Daten!$C$26:$C$429,0)))</f>
        <v xml:space="preserve"> </v>
      </c>
    </row>
    <row r="260" spans="1:6" ht="15" customHeight="1">
      <c r="A260" s="105" t="s">
        <v>457</v>
      </c>
      <c r="B260" s="105" t="s">
        <v>75</v>
      </c>
      <c r="C260" s="106" t="str">
        <f t="shared" si="3"/>
        <v xml:space="preserve">JC Neumünster, Stadt (Gebietsstand Dezember 2024)  </v>
      </c>
      <c r="D260" s="51"/>
      <c r="E260" s="110"/>
      <c r="F260" s="125" t="str">
        <f>IF(INDEX(Daten!$H$26:$H$429,MATCH(Steuerung_Eckwerte!B260,Daten!$C$26:$C$429,0))=0, " ", INDEX(Daten!$H$26:$H$429,MATCH(Steuerung_Eckwerte!B260,Daten!$C$26:$C$429,0)))</f>
        <v xml:space="preserve"> </v>
      </c>
    </row>
    <row r="261" spans="1:6" ht="15" customHeight="1">
      <c r="A261" s="105" t="s">
        <v>850</v>
      </c>
      <c r="B261" s="105" t="s">
        <v>221</v>
      </c>
      <c r="C261" s="106" t="str">
        <f t="shared" si="3"/>
        <v xml:space="preserve">JC Neunkirchen (Gebietsstand Dezember 2024)  </v>
      </c>
      <c r="D261" s="51"/>
      <c r="E261" s="110"/>
      <c r="F261" s="125" t="str">
        <f>IF(INDEX(Daten!$H$26:$H$429,MATCH(Steuerung_Eckwerte!B261,Daten!$C$26:$C$429,0))=0, " ", INDEX(Daten!$H$26:$H$429,MATCH(Steuerung_Eckwerte!B261,Daten!$C$26:$C$429,0)))</f>
        <v xml:space="preserve"> </v>
      </c>
    </row>
    <row r="262" spans="1:6" ht="15" customHeight="1">
      <c r="A262" s="105" t="s">
        <v>902</v>
      </c>
      <c r="B262" s="105" t="s">
        <v>284</v>
      </c>
      <c r="C262" s="106" t="str">
        <f t="shared" si="3"/>
        <v xml:space="preserve">JC Neustadt adAisch-Bad Windsheim (Gebietsstand Dezember 2024)  </v>
      </c>
      <c r="D262" s="51"/>
      <c r="E262" s="110"/>
      <c r="F262" s="125" t="str">
        <f>IF(INDEX(Daten!$H$26:$H$429,MATCH(Steuerung_Eckwerte!B262,Daten!$C$26:$C$429,0))=0, " ", INDEX(Daten!$H$26:$H$429,MATCH(Steuerung_Eckwerte!B262,Daten!$C$26:$C$429,0)))</f>
        <v xml:space="preserve"> </v>
      </c>
    </row>
    <row r="263" spans="1:6" ht="15" customHeight="1">
      <c r="A263" s="105" t="s">
        <v>631</v>
      </c>
      <c r="B263" s="105" t="s">
        <v>320</v>
      </c>
      <c r="C263" s="106" t="str">
        <f t="shared" si="3"/>
        <v xml:space="preserve">JC Neustadt-Weiden (Gebietsstand Dezember 2024)  </v>
      </c>
      <c r="D263" s="51"/>
      <c r="E263" s="110"/>
      <c r="F263" s="125" t="str">
        <f>IF(INDEX(Daten!$H$26:$H$429,MATCH(Steuerung_Eckwerte!B263,Daten!$C$26:$C$429,0))=0, " ", INDEX(Daten!$H$26:$H$429,MATCH(Steuerung_Eckwerte!B263,Daten!$C$26:$C$429,0)))</f>
        <v xml:space="preserve"> </v>
      </c>
    </row>
    <row r="264" spans="1:6" ht="15" customHeight="1">
      <c r="A264" s="105" t="s">
        <v>836</v>
      </c>
      <c r="B264" s="105" t="s">
        <v>352</v>
      </c>
      <c r="C264" s="106" t="str">
        <f t="shared" si="3"/>
        <v xml:space="preserve">JC Neu-Ulm (Gebietsstand Dezember 2024)  </v>
      </c>
      <c r="D264" s="51"/>
      <c r="E264" s="110"/>
      <c r="F264" s="125" t="str">
        <f>IF(INDEX(Daten!$H$26:$H$429,MATCH(Steuerung_Eckwerte!B264,Daten!$C$26:$C$429,0))=0, " ", INDEX(Daten!$H$26:$H$429,MATCH(Steuerung_Eckwerte!B264,Daten!$C$26:$C$429,0)))</f>
        <v xml:space="preserve"> </v>
      </c>
    </row>
    <row r="265" spans="1:6" ht="15" customHeight="1">
      <c r="A265" s="105" t="s">
        <v>568</v>
      </c>
      <c r="B265" s="105" t="s">
        <v>227</v>
      </c>
      <c r="C265" s="106" t="str">
        <f t="shared" si="3"/>
        <v xml:space="preserve">JC Neuwied (Gebietsstand Dezember 2024)  </v>
      </c>
      <c r="D265" s="51"/>
      <c r="E265" s="110"/>
      <c r="F265" s="125" t="str">
        <f>IF(INDEX(Daten!$H$26:$H$429,MATCH(Steuerung_Eckwerte!B265,Daten!$C$26:$C$429,0))=0, " ", INDEX(Daten!$H$26:$H$429,MATCH(Steuerung_Eckwerte!B265,Daten!$C$26:$C$429,0)))</f>
        <v xml:space="preserve"> </v>
      </c>
    </row>
    <row r="266" spans="1:6" ht="15" customHeight="1">
      <c r="A266" s="105" t="s">
        <v>790</v>
      </c>
      <c r="B266" s="105" t="s">
        <v>104</v>
      </c>
      <c r="C266" s="106" t="str">
        <f t="shared" si="3"/>
        <v xml:space="preserve">JC Nienburg (Weser) (Gebietsstand Dezember 2024)  </v>
      </c>
      <c r="D266" s="51"/>
      <c r="E266" s="110"/>
      <c r="F266" s="125" t="str">
        <f>IF(INDEX(Daten!$H$26:$H$429,MATCH(Steuerung_Eckwerte!B266,Daten!$C$26:$C$429,0))=0, " ", INDEX(Daten!$H$26:$H$429,MATCH(Steuerung_Eckwerte!B266,Daten!$C$26:$C$429,0)))</f>
        <v xml:space="preserve"> </v>
      </c>
    </row>
    <row r="267" spans="1:6" ht="15" customHeight="1">
      <c r="A267" s="105" t="s">
        <v>450</v>
      </c>
      <c r="B267" s="105" t="s">
        <v>68</v>
      </c>
      <c r="C267" s="106" t="str">
        <f t="shared" si="3"/>
        <v xml:space="preserve">JC Nordfriesland (Gebietsstand Dezember 2024)  </v>
      </c>
      <c r="D267" s="51"/>
      <c r="E267" s="110"/>
      <c r="F267" s="125" t="str">
        <f>IF(INDEX(Daten!$H$26:$H$429,MATCH(Steuerung_Eckwerte!B267,Daten!$C$26:$C$429,0))=0, " ", INDEX(Daten!$H$26:$H$429,MATCH(Steuerung_Eckwerte!B267,Daten!$C$26:$C$429,0)))</f>
        <v xml:space="preserve"> </v>
      </c>
    </row>
    <row r="268" spans="1:6" ht="15" customHeight="1">
      <c r="A268" s="105" t="s">
        <v>438</v>
      </c>
      <c r="B268" s="105" t="s">
        <v>54</v>
      </c>
      <c r="C268" s="106" t="str">
        <f t="shared" si="3"/>
        <v xml:space="preserve">JC Nordhausen (Gebietsstand Dezember 2024)  </v>
      </c>
      <c r="D268" s="51"/>
      <c r="E268" s="110"/>
      <c r="F268" s="125" t="str">
        <f>IF(INDEX(Daten!$H$26:$H$429,MATCH(Steuerung_Eckwerte!B268,Daten!$C$26:$C$429,0))=0, " ", INDEX(Daten!$H$26:$H$429,MATCH(Steuerung_Eckwerte!B268,Daten!$C$26:$C$429,0)))</f>
        <v xml:space="preserve"> </v>
      </c>
    </row>
    <row r="269" spans="1:6" ht="15" customHeight="1">
      <c r="A269" s="105" t="s">
        <v>426</v>
      </c>
      <c r="B269" s="105" t="s">
        <v>759</v>
      </c>
      <c r="C269" s="106" t="str">
        <f t="shared" si="3"/>
        <v xml:space="preserve">JC Nordsachsen (Gebietsstand Dezember 2024)  </v>
      </c>
      <c r="D269" s="51"/>
      <c r="E269" s="110"/>
      <c r="F269" s="125" t="str">
        <f>IF(INDEX(Daten!$H$26:$H$429,MATCH(Steuerung_Eckwerte!B269,Daten!$C$26:$C$429,0))=0, " ", INDEX(Daten!$H$26:$H$429,MATCH(Steuerung_Eckwerte!B269,Daten!$C$26:$C$429,0)))</f>
        <v xml:space="preserve"> </v>
      </c>
    </row>
    <row r="270" spans="1:6" ht="15" customHeight="1">
      <c r="A270" s="105" t="s">
        <v>396</v>
      </c>
      <c r="B270" s="105" t="s">
        <v>6</v>
      </c>
      <c r="C270" s="106" t="str">
        <f t="shared" si="3"/>
        <v xml:space="preserve">JC Nordwestmecklenburg (Gebietsstand Dezember 2024)  </v>
      </c>
      <c r="D270" s="51"/>
      <c r="E270" s="110"/>
      <c r="F270" s="125" t="str">
        <f>IF(INDEX(Daten!$H$26:$H$429,MATCH(Steuerung_Eckwerte!B270,Daten!$C$26:$C$429,0))=0, " ", INDEX(Daten!$H$26:$H$429,MATCH(Steuerung_Eckwerte!B270,Daten!$C$26:$C$429,0)))</f>
        <v xml:space="preserve"> </v>
      </c>
    </row>
    <row r="271" spans="1:6" ht="15" customHeight="1">
      <c r="A271" s="105" t="s">
        <v>468</v>
      </c>
      <c r="B271" s="105" t="s">
        <v>91</v>
      </c>
      <c r="C271" s="106" t="str">
        <f t="shared" si="3"/>
        <v xml:space="preserve">JC Northeim (Gebietsstand Dezember 2024)  </v>
      </c>
      <c r="D271" s="51"/>
      <c r="E271" s="110"/>
      <c r="F271" s="125" t="str">
        <f>IF(INDEX(Daten!$H$26:$H$429,MATCH(Steuerung_Eckwerte!B271,Daten!$C$26:$C$429,0))=0, " ", INDEX(Daten!$H$26:$H$429,MATCH(Steuerung_Eckwerte!B271,Daten!$C$26:$C$429,0)))</f>
        <v xml:space="preserve"> </v>
      </c>
    </row>
    <row r="272" spans="1:6" ht="15" customHeight="1">
      <c r="A272" s="105" t="s">
        <v>616</v>
      </c>
      <c r="B272" s="105" t="s">
        <v>305</v>
      </c>
      <c r="C272" s="106" t="str">
        <f t="shared" si="3"/>
        <v xml:space="preserve">JC Nürnberg, Stadt (Gebietsstand Dezember 2024)  </v>
      </c>
      <c r="D272" s="51"/>
      <c r="E272" s="110"/>
      <c r="F272" s="125" t="str">
        <f>IF(INDEX(Daten!$H$26:$H$429,MATCH(Steuerung_Eckwerte!B272,Daten!$C$26:$C$429,0))=0, " ", INDEX(Daten!$H$26:$H$429,MATCH(Steuerung_Eckwerte!B272,Daten!$C$26:$C$429,0)))</f>
        <v xml:space="preserve"> </v>
      </c>
    </row>
    <row r="273" spans="1:6" ht="15" customHeight="1">
      <c r="A273" s="105" t="s">
        <v>617</v>
      </c>
      <c r="B273" s="105" t="s">
        <v>306</v>
      </c>
      <c r="C273" s="106" t="str">
        <f t="shared" si="3"/>
        <v xml:space="preserve">JC Nürnberger Land (Gebietsstand Dezember 2024)  </v>
      </c>
      <c r="D273" s="51"/>
      <c r="E273" s="110"/>
      <c r="F273" s="125" t="str">
        <f>IF(INDEX(Daten!$H$26:$H$429,MATCH(Steuerung_Eckwerte!B273,Daten!$C$26:$C$429,0))=0, " ", INDEX(Daten!$H$26:$H$429,MATCH(Steuerung_Eckwerte!B273,Daten!$C$26:$C$429,0)))</f>
        <v xml:space="preserve"> </v>
      </c>
    </row>
    <row r="274" spans="1:6" ht="15" customHeight="1">
      <c r="A274" s="105" t="s">
        <v>842</v>
      </c>
      <c r="B274" s="105" t="s">
        <v>345</v>
      </c>
      <c r="C274" s="106" t="str">
        <f t="shared" si="3"/>
        <v xml:space="preserve">JC Oberallgäu (Gebietsstand Dezember 2024)  </v>
      </c>
      <c r="D274" s="51"/>
      <c r="E274" s="110"/>
      <c r="F274" s="125" t="str">
        <f>IF(INDEX(Daten!$H$26:$H$429,MATCH(Steuerung_Eckwerte!B274,Daten!$C$26:$C$429,0))=0, " ", INDEX(Daten!$H$26:$H$429,MATCH(Steuerung_Eckwerte!B274,Daten!$C$26:$C$429,0)))</f>
        <v xml:space="preserve"> </v>
      </c>
    </row>
    <row r="275" spans="1:6" ht="15" customHeight="1">
      <c r="A275" s="105" t="s">
        <v>496</v>
      </c>
      <c r="B275" s="105" t="s">
        <v>128</v>
      </c>
      <c r="C275" s="106" t="str">
        <f t="shared" si="3"/>
        <v xml:space="preserve">JC Oberbergischer Kreis (Gebietsstand Dezember 2024)  </v>
      </c>
      <c r="D275" s="51"/>
      <c r="E275" s="110"/>
      <c r="F275" s="125" t="str">
        <f>IF(INDEX(Daten!$H$26:$H$429,MATCH(Steuerung_Eckwerte!B275,Daten!$C$26:$C$429,0))=0, " ", INDEX(Daten!$H$26:$H$429,MATCH(Steuerung_Eckwerte!B275,Daten!$C$26:$C$429,0)))</f>
        <v xml:space="preserve"> </v>
      </c>
    </row>
    <row r="276" spans="1:6" ht="15" customHeight="1">
      <c r="A276" s="105" t="s">
        <v>525</v>
      </c>
      <c r="B276" s="105" t="s">
        <v>164</v>
      </c>
      <c r="C276" s="106" t="str">
        <f t="shared" si="3"/>
        <v xml:space="preserve">JC Oberhausen, Stadt (Gebietsstand Dezember 2024)  </v>
      </c>
      <c r="D276" s="51"/>
      <c r="E276" s="110"/>
      <c r="F276" s="125" t="str">
        <f>IF(INDEX(Daten!$H$26:$H$429,MATCH(Steuerung_Eckwerte!B276,Daten!$C$26:$C$429,0))=0, " ", INDEX(Daten!$H$26:$H$429,MATCH(Steuerung_Eckwerte!B276,Daten!$C$26:$C$429,0)))</f>
        <v xml:space="preserve"> </v>
      </c>
    </row>
    <row r="277" spans="1:6" ht="15" customHeight="1">
      <c r="A277" s="105" t="s">
        <v>409</v>
      </c>
      <c r="B277" s="105" t="s">
        <v>18</v>
      </c>
      <c r="C277" s="106" t="str">
        <f t="shared" si="3"/>
        <v xml:space="preserve">JC Oberhavel (Gebietsstand Dezember 2024)  </v>
      </c>
      <c r="D277" s="51"/>
      <c r="E277" s="110"/>
      <c r="F277" s="125" t="str">
        <f>IF(INDEX(Daten!$H$26:$H$429,MATCH(Steuerung_Eckwerte!B277,Daten!$C$26:$C$429,0))=0, " ", INDEX(Daten!$H$26:$H$429,MATCH(Steuerung_Eckwerte!B277,Daten!$C$26:$C$429,0)))</f>
        <v xml:space="preserve"> </v>
      </c>
    </row>
    <row r="278" spans="1:6" ht="15" customHeight="1">
      <c r="A278" s="105" t="s">
        <v>400</v>
      </c>
      <c r="B278" s="105" t="s">
        <v>9</v>
      </c>
      <c r="C278" s="106" t="str">
        <f t="shared" si="3"/>
        <v xml:space="preserve">JC Oberspreewald-Lausitz (Gebietsstand Dezember 2024)  </v>
      </c>
      <c r="D278" s="51"/>
      <c r="E278" s="110"/>
      <c r="F278" s="125" t="str">
        <f>IF(INDEX(Daten!$H$26:$H$429,MATCH(Steuerung_Eckwerte!B278,Daten!$C$26:$C$429,0))=0, " ", INDEX(Daten!$H$26:$H$429,MATCH(Steuerung_Eckwerte!B278,Daten!$C$26:$C$429,0)))</f>
        <v xml:space="preserve"> </v>
      </c>
    </row>
    <row r="279" spans="1:6" ht="15" customHeight="1">
      <c r="A279" s="105" t="s">
        <v>537</v>
      </c>
      <c r="B279" s="105" t="s">
        <v>181</v>
      </c>
      <c r="C279" s="106" t="str">
        <f t="shared" si="3"/>
        <v xml:space="preserve">JC Odenwaldkreis (Gebietsstand Dezember 2024)  </v>
      </c>
      <c r="D279" s="51"/>
      <c r="E279" s="110"/>
      <c r="F279" s="125" t="str">
        <f>IF(INDEX(Daten!$H$26:$H$429,MATCH(Steuerung_Eckwerte!B279,Daten!$C$26:$C$429,0))=0, " ", INDEX(Daten!$H$26:$H$429,MATCH(Steuerung_Eckwerte!B279,Daten!$C$26:$C$429,0)))</f>
        <v xml:space="preserve"> </v>
      </c>
    </row>
    <row r="280" spans="1:6" ht="15" customHeight="1">
      <c r="A280" s="105" t="s">
        <v>405</v>
      </c>
      <c r="B280" s="105" t="s">
        <v>14</v>
      </c>
      <c r="C280" s="106" t="str">
        <f t="shared" ref="C280:C342" si="4">CONCATENATE(B280, " ", $D$3, " ", F280)</f>
        <v xml:space="preserve">JC Oder-Spree (Gebietsstand Dezember 2024)  </v>
      </c>
      <c r="D280" s="51"/>
      <c r="E280" s="110"/>
      <c r="F280" s="125" t="str">
        <f>IF(INDEX(Daten!$H$26:$H$429,MATCH(Steuerung_Eckwerte!B280,Daten!$C$26:$C$429,0))=0, " ", INDEX(Daten!$H$26:$H$429,MATCH(Steuerung_Eckwerte!B280,Daten!$C$26:$C$429,0)))</f>
        <v xml:space="preserve"> </v>
      </c>
    </row>
    <row r="281" spans="1:6" ht="15" customHeight="1">
      <c r="A281" s="105" t="s">
        <v>895</v>
      </c>
      <c r="B281" s="105" t="s">
        <v>186</v>
      </c>
      <c r="C281" s="106" t="str">
        <f t="shared" si="4"/>
        <v xml:space="preserve">JC Offenbach (Gebietsstand Dezember 2024)  </v>
      </c>
      <c r="D281" s="51"/>
      <c r="E281" s="110"/>
      <c r="F281" s="125" t="str">
        <f>IF(INDEX(Daten!$H$26:$H$429,MATCH(Steuerung_Eckwerte!B281,Daten!$C$26:$C$429,0))=0, " ", INDEX(Daten!$H$26:$H$429,MATCH(Steuerung_Eckwerte!B281,Daten!$C$26:$C$429,0)))</f>
        <v xml:space="preserve"> </v>
      </c>
    </row>
    <row r="282" spans="1:6" ht="15" customHeight="1">
      <c r="A282" s="105" t="s">
        <v>805</v>
      </c>
      <c r="B282" s="105" t="s">
        <v>198</v>
      </c>
      <c r="C282" s="106" t="str">
        <f t="shared" si="4"/>
        <v xml:space="preserve">JC Offenbach am Main, Stadt (Gebietsstand Dezember 2024)  </v>
      </c>
      <c r="D282" s="51"/>
      <c r="E282" s="110"/>
      <c r="F282" s="125" t="str">
        <f>IF(INDEX(Daten!$H$26:$H$429,MATCH(Steuerung_Eckwerte!B282,Daten!$C$26:$C$429,0))=0, " ", INDEX(Daten!$H$26:$H$429,MATCH(Steuerung_Eckwerte!B282,Daten!$C$26:$C$429,0)))</f>
        <v xml:space="preserve"> </v>
      </c>
    </row>
    <row r="283" spans="1:6" ht="15" customHeight="1">
      <c r="A283" s="105" t="s">
        <v>483</v>
      </c>
      <c r="B283" s="105" t="s">
        <v>110</v>
      </c>
      <c r="C283" s="106" t="str">
        <f t="shared" si="4"/>
        <v xml:space="preserve">JC Oldenburg (Gebietsstand Dezember 2024)  </v>
      </c>
      <c r="D283" s="51"/>
      <c r="E283" s="110"/>
      <c r="F283" s="125" t="str">
        <f>IF(INDEX(Daten!$H$26:$H$429,MATCH(Steuerung_Eckwerte!B283,Daten!$C$26:$C$429,0))=0, " ", INDEX(Daten!$H$26:$H$429,MATCH(Steuerung_Eckwerte!B283,Daten!$C$26:$C$429,0)))</f>
        <v xml:space="preserve"> </v>
      </c>
    </row>
    <row r="284" spans="1:6" ht="15" customHeight="1">
      <c r="A284" s="105" t="s">
        <v>480</v>
      </c>
      <c r="B284" s="105" t="s">
        <v>107</v>
      </c>
      <c r="C284" s="106" t="str">
        <f t="shared" si="4"/>
        <v xml:space="preserve">JC Oldenburg (Oldenburg), Stadt (Gebietsstand Dezember 2024)  </v>
      </c>
      <c r="D284" s="51"/>
      <c r="E284" s="110"/>
      <c r="F284" s="125" t="str">
        <f>IF(INDEX(Daten!$H$26:$H$429,MATCH(Steuerung_Eckwerte!B284,Daten!$C$26:$C$429,0))=0, " ", INDEX(Daten!$H$26:$H$429,MATCH(Steuerung_Eckwerte!B284,Daten!$C$26:$C$429,0)))</f>
        <v xml:space="preserve"> </v>
      </c>
    </row>
    <row r="285" spans="1:6" ht="15" customHeight="1">
      <c r="A285" s="105" t="s">
        <v>530</v>
      </c>
      <c r="B285" s="105" t="s">
        <v>170</v>
      </c>
      <c r="C285" s="106" t="str">
        <f t="shared" si="4"/>
        <v xml:space="preserve">JC Olpe (Gebietsstand Dezember 2024)  </v>
      </c>
      <c r="D285" s="51"/>
      <c r="E285" s="110"/>
      <c r="F285" s="125" t="str">
        <f>IF(INDEX(Daten!$H$26:$H$429,MATCH(Steuerung_Eckwerte!B285,Daten!$C$26:$C$429,0))=0, " ", INDEX(Daten!$H$26:$H$429,MATCH(Steuerung_Eckwerte!B285,Daten!$C$26:$C$429,0)))</f>
        <v xml:space="preserve"> </v>
      </c>
    </row>
    <row r="286" spans="1:6" ht="15" customHeight="1">
      <c r="A286" s="105" t="s">
        <v>595</v>
      </c>
      <c r="B286" s="105" t="s">
        <v>260</v>
      </c>
      <c r="C286" s="106" t="str">
        <f t="shared" si="4"/>
        <v xml:space="preserve">JC Ortenaukreis (Gebietsstand Dezember 2024)  </v>
      </c>
      <c r="D286" s="51"/>
      <c r="E286" s="110"/>
      <c r="F286" s="125" t="str">
        <f>IF(INDEX(Daten!$H$26:$H$429,MATCH(Steuerung_Eckwerte!B286,Daten!$C$26:$C$429,0))=0, " ", INDEX(Daten!$H$26:$H$429,MATCH(Steuerung_Eckwerte!B286,Daten!$C$26:$C$429,0)))</f>
        <v xml:space="preserve"> </v>
      </c>
    </row>
    <row r="287" spans="1:6" ht="15" customHeight="1">
      <c r="A287" s="105" t="s">
        <v>485</v>
      </c>
      <c r="B287" s="105" t="s">
        <v>112</v>
      </c>
      <c r="C287" s="106" t="str">
        <f t="shared" si="4"/>
        <v xml:space="preserve">JC Osnabrück (Gebietsstand Dezember 2024)  </v>
      </c>
      <c r="D287" s="51"/>
      <c r="E287" s="110"/>
      <c r="F287" s="125" t="str">
        <f>IF(INDEX(Daten!$H$26:$H$429,MATCH(Steuerung_Eckwerte!B287,Daten!$C$26:$C$429,0))=0, " ", INDEX(Daten!$H$26:$H$429,MATCH(Steuerung_Eckwerte!B287,Daten!$C$26:$C$429,0)))</f>
        <v xml:space="preserve"> </v>
      </c>
    </row>
    <row r="288" spans="1:6" ht="15" customHeight="1">
      <c r="A288" s="105" t="s">
        <v>484</v>
      </c>
      <c r="B288" s="105" t="s">
        <v>111</v>
      </c>
      <c r="C288" s="106" t="str">
        <f t="shared" si="4"/>
        <v xml:space="preserve">JC Osnabrück, Stadt (Gebietsstand Dezember 2024)  </v>
      </c>
      <c r="D288" s="51"/>
      <c r="E288" s="110"/>
      <c r="F288" s="125" t="str">
        <f>IF(INDEX(Daten!$H$26:$H$429,MATCH(Steuerung_Eckwerte!B288,Daten!$C$26:$C$429,0))=0, " ", INDEX(Daten!$H$26:$H$429,MATCH(Steuerung_Eckwerte!B288,Daten!$C$26:$C$429,0)))</f>
        <v xml:space="preserve"> </v>
      </c>
    </row>
    <row r="289" spans="1:6" ht="15" customHeight="1">
      <c r="A289" s="105" t="s">
        <v>814</v>
      </c>
      <c r="B289" s="105" t="s">
        <v>238</v>
      </c>
      <c r="C289" s="106" t="str">
        <f t="shared" si="4"/>
        <v xml:space="preserve">JC Ostalbkreis (Gebietsstand Dezember 2024)  </v>
      </c>
      <c r="D289" s="51"/>
      <c r="E289" s="110"/>
      <c r="F289" s="125" t="str">
        <f>IF(INDEX(Daten!$H$26:$H$429,MATCH(Steuerung_Eckwerte!B289,Daten!$C$26:$C$429,0))=0, " ", INDEX(Daten!$H$26:$H$429,MATCH(Steuerung_Eckwerte!B289,Daten!$C$26:$C$429,0)))</f>
        <v xml:space="preserve"> </v>
      </c>
    </row>
    <row r="290" spans="1:6" ht="15" customHeight="1">
      <c r="A290" s="105" t="s">
        <v>652</v>
      </c>
      <c r="B290" s="105" t="s">
        <v>346</v>
      </c>
      <c r="C290" s="106" t="str">
        <f t="shared" si="4"/>
        <v xml:space="preserve">JC Ostallgäu (Gebietsstand Dezember 2024)  </v>
      </c>
      <c r="D290" s="51"/>
      <c r="E290" s="110"/>
      <c r="F290" s="125" t="str">
        <f>IF(INDEX(Daten!$H$26:$H$429,MATCH(Steuerung_Eckwerte!B290,Daten!$C$26:$C$429,0))=0, " ", INDEX(Daten!$H$26:$H$429,MATCH(Steuerung_Eckwerte!B290,Daten!$C$26:$C$429,0)))</f>
        <v xml:space="preserve"> </v>
      </c>
    </row>
    <row r="291" spans="1:6" ht="15" customHeight="1">
      <c r="A291" s="105" t="s">
        <v>463</v>
      </c>
      <c r="B291" s="105" t="s">
        <v>83</v>
      </c>
      <c r="C291" s="106" t="str">
        <f t="shared" si="4"/>
        <v xml:space="preserve">JC Osterholz (Gebietsstand Dezember 2024)  </v>
      </c>
      <c r="D291" s="51"/>
      <c r="E291" s="110"/>
      <c r="F291" s="125" t="str">
        <f>IF(INDEX(Daten!$H$26:$H$429,MATCH(Steuerung_Eckwerte!B291,Daten!$C$26:$C$429,0))=0, " ", INDEX(Daten!$H$26:$H$429,MATCH(Steuerung_Eckwerte!B291,Daten!$C$26:$C$429,0)))</f>
        <v xml:space="preserve"> </v>
      </c>
    </row>
    <row r="292" spans="1:6" ht="15" customHeight="1">
      <c r="A292" s="105" t="s">
        <v>456</v>
      </c>
      <c r="B292" s="105" t="s">
        <v>74</v>
      </c>
      <c r="C292" s="106" t="str">
        <f t="shared" si="4"/>
        <v xml:space="preserve">JC Ostholstein (Gebietsstand Dezember 2024)  </v>
      </c>
      <c r="D292" s="51"/>
      <c r="E292" s="110"/>
      <c r="F292" s="125" t="str">
        <f>IF(INDEX(Daten!$H$26:$H$429,MATCH(Steuerung_Eckwerte!B292,Daten!$C$26:$C$429,0))=0, " ", INDEX(Daten!$H$26:$H$429,MATCH(Steuerung_Eckwerte!B292,Daten!$C$26:$C$429,0)))</f>
        <v xml:space="preserve"> </v>
      </c>
    </row>
    <row r="293" spans="1:6" ht="15" customHeight="1">
      <c r="A293" s="105" t="s">
        <v>407</v>
      </c>
      <c r="B293" s="105" t="s">
        <v>16</v>
      </c>
      <c r="C293" s="106" t="str">
        <f t="shared" si="4"/>
        <v xml:space="preserve">JC Ostprignitz-Ruppin (Gebietsstand Dezember 2024)  </v>
      </c>
      <c r="D293" s="51"/>
      <c r="E293" s="110"/>
      <c r="F293" s="125" t="str">
        <f>IF(INDEX(Daten!$H$26:$H$429,MATCH(Steuerung_Eckwerte!B293,Daten!$C$26:$C$429,0))=0, " ", INDEX(Daten!$H$26:$H$429,MATCH(Steuerung_Eckwerte!B293,Daten!$C$26:$C$429,0)))</f>
        <v xml:space="preserve"> </v>
      </c>
    </row>
    <row r="294" spans="1:6" ht="15" customHeight="1">
      <c r="A294" s="105" t="s">
        <v>526</v>
      </c>
      <c r="B294" s="105" t="s">
        <v>165</v>
      </c>
      <c r="C294" s="106" t="str">
        <f t="shared" si="4"/>
        <v xml:space="preserve">JC Paderborn (Gebietsstand Dezember 2024)  </v>
      </c>
      <c r="D294" s="51"/>
      <c r="E294" s="110"/>
      <c r="F294" s="125" t="str">
        <f>IF(INDEX(Daten!$H$26:$H$429,MATCH(Steuerung_Eckwerte!B294,Daten!$C$26:$C$429,0))=0, " ", INDEX(Daten!$H$26:$H$429,MATCH(Steuerung_Eckwerte!B294,Daten!$C$26:$C$429,0)))</f>
        <v xml:space="preserve"> </v>
      </c>
    </row>
    <row r="295" spans="1:6" ht="15" customHeight="1">
      <c r="A295" s="105" t="s">
        <v>672</v>
      </c>
      <c r="B295" s="105" t="s">
        <v>380</v>
      </c>
      <c r="C295" s="106" t="str">
        <f t="shared" si="4"/>
        <v xml:space="preserve">JC Pankow (Gebietsstand Dezember 2024)  </v>
      </c>
      <c r="D295" s="51"/>
      <c r="E295" s="110"/>
      <c r="F295" s="125" t="str">
        <f>IF(INDEX(Daten!$H$26:$H$429,MATCH(Steuerung_Eckwerte!B295,Daten!$C$26:$C$429,0))=0, " ", INDEX(Daten!$H$26:$H$429,MATCH(Steuerung_Eckwerte!B295,Daten!$C$26:$C$429,0)))</f>
        <v xml:space="preserve"> </v>
      </c>
    </row>
    <row r="296" spans="1:6" ht="15" customHeight="1">
      <c r="A296" s="105" t="s">
        <v>659</v>
      </c>
      <c r="B296" s="105" t="s">
        <v>362</v>
      </c>
      <c r="C296" s="106" t="str">
        <f t="shared" si="4"/>
        <v xml:space="preserve">JC Passau (Gebietsstand Dezember 2024)  </v>
      </c>
      <c r="D296" s="51"/>
      <c r="E296" s="110"/>
      <c r="F296" s="125" t="str">
        <f>IF(INDEX(Daten!$H$26:$H$429,MATCH(Steuerung_Eckwerte!B296,Daten!$C$26:$C$429,0))=0, " ", INDEX(Daten!$H$26:$H$429,MATCH(Steuerung_Eckwerte!B296,Daten!$C$26:$C$429,0)))</f>
        <v xml:space="preserve"> </v>
      </c>
    </row>
    <row r="297" spans="1:6" ht="15" customHeight="1">
      <c r="A297" s="105" t="s">
        <v>658</v>
      </c>
      <c r="B297" s="105" t="s">
        <v>361</v>
      </c>
      <c r="C297" s="106" t="str">
        <f t="shared" si="4"/>
        <v xml:space="preserve">JC Passau, Stadt (Gebietsstand Dezember 2024)  </v>
      </c>
      <c r="D297" s="51"/>
      <c r="E297" s="110"/>
      <c r="F297" s="125" t="str">
        <f>IF(INDEX(Daten!$H$26:$H$429,MATCH(Steuerung_Eckwerte!B297,Daten!$C$26:$C$429,0))=0, " ", INDEX(Daten!$H$26:$H$429,MATCH(Steuerung_Eckwerte!B297,Daten!$C$26:$C$429,0)))</f>
        <v xml:space="preserve"> </v>
      </c>
    </row>
    <row r="298" spans="1:6" ht="15" customHeight="1">
      <c r="A298" s="105" t="s">
        <v>784</v>
      </c>
      <c r="B298" s="105" t="s">
        <v>81</v>
      </c>
      <c r="C298" s="106" t="str">
        <f t="shared" si="4"/>
        <v xml:space="preserve">JC Peine (Gebietsstand Dezember 2024)  </v>
      </c>
      <c r="D298" s="51"/>
      <c r="E298" s="110"/>
      <c r="F298" s="125" t="str">
        <f>IF(INDEX(Daten!$H$26:$H$429,MATCH(Steuerung_Eckwerte!B298,Daten!$C$26:$C$429,0))=0, " ", INDEX(Daten!$H$26:$H$429,MATCH(Steuerung_Eckwerte!B298,Daten!$C$26:$C$429,0)))</f>
        <v xml:space="preserve"> </v>
      </c>
    </row>
    <row r="299" spans="1:6" ht="15" customHeight="1">
      <c r="A299" s="105" t="s">
        <v>649</v>
      </c>
      <c r="B299" s="105" t="s">
        <v>341</v>
      </c>
      <c r="C299" s="106" t="str">
        <f t="shared" si="4"/>
        <v xml:space="preserve">JC Pfaffenhofen a.d. Ilm (Gebietsstand Dezember 2024)  </v>
      </c>
      <c r="D299" s="51"/>
      <c r="E299" s="110"/>
      <c r="F299" s="125" t="str">
        <f>IF(INDEX(Daten!$H$26:$H$429,MATCH(Steuerung_Eckwerte!B299,Daten!$C$26:$C$429,0))=0, " ", INDEX(Daten!$H$26:$H$429,MATCH(Steuerung_Eckwerte!B299,Daten!$C$26:$C$429,0)))</f>
        <v xml:space="preserve"> </v>
      </c>
    </row>
    <row r="300" spans="1:6" ht="15" customHeight="1">
      <c r="A300" s="105" t="s">
        <v>820</v>
      </c>
      <c r="B300" s="105" t="s">
        <v>261</v>
      </c>
      <c r="C300" s="106" t="str">
        <f t="shared" si="4"/>
        <v xml:space="preserve">JC Pforzheim, Stadt (Gebietsstand Dezember 2024)  </v>
      </c>
      <c r="D300" s="51"/>
      <c r="E300" s="110"/>
      <c r="F300" s="125" t="str">
        <f>IF(INDEX(Daten!$H$26:$H$429,MATCH(Steuerung_Eckwerte!B300,Daten!$C$26:$C$429,0))=0, " ", INDEX(Daten!$H$26:$H$429,MATCH(Steuerung_Eckwerte!B300,Daten!$C$26:$C$429,0)))</f>
        <v xml:space="preserve"> </v>
      </c>
    </row>
    <row r="301" spans="1:6" ht="15" customHeight="1">
      <c r="A301" s="105" t="s">
        <v>447</v>
      </c>
      <c r="B301" s="105" t="s">
        <v>64</v>
      </c>
      <c r="C301" s="106" t="str">
        <f t="shared" si="4"/>
        <v xml:space="preserve">JC Pinneberg (Gebietsstand Dezember 2024)  </v>
      </c>
      <c r="D301" s="51"/>
      <c r="E301" s="110"/>
      <c r="F301" s="125" t="str">
        <f>IF(INDEX(Daten!$H$26:$H$429,MATCH(Steuerung_Eckwerte!B301,Daten!$C$26:$C$429,0))=0, " ", INDEX(Daten!$H$26:$H$429,MATCH(Steuerung_Eckwerte!B301,Daten!$C$26:$C$429,0)))</f>
        <v xml:space="preserve"> </v>
      </c>
    </row>
    <row r="302" spans="1:6" ht="15" customHeight="1">
      <c r="A302" s="105" t="s">
        <v>806</v>
      </c>
      <c r="B302" s="105" t="s">
        <v>228</v>
      </c>
      <c r="C302" s="106" t="str">
        <f t="shared" si="4"/>
        <v xml:space="preserve">JC Pirmasens, Stadt (Gebietsstand Dezember 2024)  </v>
      </c>
      <c r="D302" s="51"/>
      <c r="E302" s="110"/>
      <c r="F302" s="125" t="str">
        <f>IF(INDEX(Daten!$H$26:$H$429,MATCH(Steuerung_Eckwerte!B302,Daten!$C$26:$C$429,0))=0, " ", INDEX(Daten!$H$26:$H$429,MATCH(Steuerung_Eckwerte!B302,Daten!$C$26:$C$429,0)))</f>
        <v xml:space="preserve"> </v>
      </c>
    </row>
    <row r="303" spans="1:6" ht="15" customHeight="1">
      <c r="A303" s="105" t="s">
        <v>454</v>
      </c>
      <c r="B303" s="105" t="s">
        <v>72</v>
      </c>
      <c r="C303" s="106" t="str">
        <f t="shared" si="4"/>
        <v xml:space="preserve">JC Plön (Gebietsstand Dezember 2024)  </v>
      </c>
      <c r="D303" s="51"/>
      <c r="E303" s="110"/>
      <c r="F303" s="125" t="str">
        <f>IF(INDEX(Daten!$H$26:$H$429,MATCH(Steuerung_Eckwerte!B303,Daten!$C$26:$C$429,0))=0, " ", INDEX(Daten!$H$26:$H$429,MATCH(Steuerung_Eckwerte!B303,Daten!$C$26:$C$429,0)))</f>
        <v xml:space="preserve"> </v>
      </c>
    </row>
    <row r="304" spans="1:6" ht="15" customHeight="1">
      <c r="A304" s="105" t="s">
        <v>411</v>
      </c>
      <c r="B304" s="105" t="s">
        <v>21</v>
      </c>
      <c r="C304" s="106" t="str">
        <f t="shared" si="4"/>
        <v xml:space="preserve">JC Potsdam, Stadt (Gebietsstand Dezember 2024)  </v>
      </c>
      <c r="D304" s="51"/>
      <c r="E304" s="110"/>
      <c r="F304" s="125" t="str">
        <f>IF(INDEX(Daten!$H$26:$H$429,MATCH(Steuerung_Eckwerte!B304,Daten!$C$26:$C$429,0))=0, " ", INDEX(Daten!$H$26:$H$429,MATCH(Steuerung_Eckwerte!B304,Daten!$C$26:$C$429,0)))</f>
        <v xml:space="preserve"> </v>
      </c>
    </row>
    <row r="305" spans="1:6" ht="15" customHeight="1">
      <c r="A305" s="105" t="s">
        <v>861</v>
      </c>
      <c r="B305" s="105" t="s">
        <v>23</v>
      </c>
      <c r="C305" s="106" t="str">
        <f t="shared" si="4"/>
        <v xml:space="preserve">JC Potsdam-Mittelmark (Gebietsstand Dezember 2024)  </v>
      </c>
      <c r="D305" s="51"/>
      <c r="E305" s="110"/>
      <c r="F305" s="125" t="str">
        <f>IF(INDEX(Daten!$H$26:$H$429,MATCH(Steuerung_Eckwerte!B305,Daten!$C$26:$C$429,0))=0, " ", INDEX(Daten!$H$26:$H$429,MATCH(Steuerung_Eckwerte!B305,Daten!$C$26:$C$429,0)))</f>
        <v xml:space="preserve"> </v>
      </c>
    </row>
    <row r="306" spans="1:6" ht="15" customHeight="1">
      <c r="A306" s="105" t="s">
        <v>408</v>
      </c>
      <c r="B306" s="105" t="s">
        <v>17</v>
      </c>
      <c r="C306" s="106" t="str">
        <f t="shared" si="4"/>
        <v xml:space="preserve">JC Prignitz (Gebietsstand Dezember 2024)  </v>
      </c>
      <c r="D306" s="51"/>
      <c r="E306" s="110"/>
      <c r="F306" s="125" t="str">
        <f>IF(INDEX(Daten!$H$26:$H$429,MATCH(Steuerung_Eckwerte!B306,Daten!$C$26:$C$429,0))=0, " ", INDEX(Daten!$H$26:$H$429,MATCH(Steuerung_Eckwerte!B306,Daten!$C$26:$C$429,0)))</f>
        <v xml:space="preserve"> </v>
      </c>
    </row>
    <row r="307" spans="1:6" ht="15" customHeight="1">
      <c r="A307" s="105" t="s">
        <v>816</v>
      </c>
      <c r="B307" s="105" t="s">
        <v>264</v>
      </c>
      <c r="C307" s="106" t="str">
        <f t="shared" si="4"/>
        <v xml:space="preserve">JC Rastatt (Gebietsstand Dezember 2024)  </v>
      </c>
      <c r="D307" s="51"/>
      <c r="E307" s="110"/>
      <c r="F307" s="125" t="str">
        <f>IF(INDEX(Daten!$H$26:$H$429,MATCH(Steuerung_Eckwerte!B307,Daten!$C$26:$C$429,0))=0, " ", INDEX(Daten!$H$26:$H$429,MATCH(Steuerung_Eckwerte!B307,Daten!$C$26:$C$429,0)))</f>
        <v xml:space="preserve"> </v>
      </c>
    </row>
    <row r="308" spans="1:6" ht="15" customHeight="1">
      <c r="A308" s="105" t="s">
        <v>818</v>
      </c>
      <c r="B308" s="105" t="s">
        <v>265</v>
      </c>
      <c r="C308" s="106" t="str">
        <f t="shared" si="4"/>
        <v xml:space="preserve">JC Ravensburg (Gebietsstand Dezember 2024)  </v>
      </c>
      <c r="D308" s="51"/>
      <c r="E308" s="110"/>
      <c r="F308" s="125" t="str">
        <f>IF(INDEX(Daten!$H$26:$H$429,MATCH(Steuerung_Eckwerte!B308,Daten!$C$26:$C$429,0))=0, " ", INDEX(Daten!$H$26:$H$429,MATCH(Steuerung_Eckwerte!B308,Daten!$C$26:$C$429,0)))</f>
        <v xml:space="preserve"> </v>
      </c>
    </row>
    <row r="309" spans="1:6" ht="15" customHeight="1">
      <c r="A309" s="105" t="s">
        <v>798</v>
      </c>
      <c r="B309" s="105" t="s">
        <v>167</v>
      </c>
      <c r="C309" s="106" t="str">
        <f t="shared" si="4"/>
        <v xml:space="preserve">JC Recklinghausen (Gebietsstand Dezember 2024)  </v>
      </c>
      <c r="D309" s="51"/>
      <c r="E309" s="110"/>
      <c r="F309" s="125" t="str">
        <f>IF(INDEX(Daten!$H$26:$H$429,MATCH(Steuerung_Eckwerte!B309,Daten!$C$26:$C$429,0))=0, " ", INDEX(Daten!$H$26:$H$429,MATCH(Steuerung_Eckwerte!B309,Daten!$C$26:$C$429,0)))</f>
        <v xml:space="preserve"> </v>
      </c>
    </row>
    <row r="310" spans="1:6" ht="15" customHeight="1">
      <c r="A310" s="105" t="s">
        <v>641</v>
      </c>
      <c r="B310" s="105" t="s">
        <v>332</v>
      </c>
      <c r="C310" s="106" t="str">
        <f t="shared" si="4"/>
        <v xml:space="preserve">JC Regen (Gebietsstand Dezember 2024)  </v>
      </c>
      <c r="D310" s="51"/>
      <c r="E310" s="110"/>
      <c r="F310" s="125" t="str">
        <f>IF(INDEX(Daten!$H$26:$H$429,MATCH(Steuerung_Eckwerte!B310,Daten!$C$26:$C$429,0))=0, " ", INDEX(Daten!$H$26:$H$429,MATCH(Steuerung_Eckwerte!B310,Daten!$C$26:$C$429,0)))</f>
        <v xml:space="preserve"> </v>
      </c>
    </row>
    <row r="311" spans="1:6" ht="15" customHeight="1">
      <c r="A311" s="105" t="s">
        <v>621</v>
      </c>
      <c r="B311" s="105" t="s">
        <v>310</v>
      </c>
      <c r="C311" s="106" t="str">
        <f t="shared" si="4"/>
        <v xml:space="preserve">JC Regensburg (Gebietsstand Dezember 2024)  </v>
      </c>
      <c r="D311" s="51"/>
      <c r="E311" s="110"/>
      <c r="F311" s="125" t="str">
        <f>IF(INDEX(Daten!$H$26:$H$429,MATCH(Steuerung_Eckwerte!B311,Daten!$C$26:$C$429,0))=0, " ", INDEX(Daten!$H$26:$H$429,MATCH(Steuerung_Eckwerte!B311,Daten!$C$26:$C$429,0)))</f>
        <v xml:space="preserve"> </v>
      </c>
    </row>
    <row r="312" spans="1:6" ht="15" customHeight="1">
      <c r="A312" s="105" t="s">
        <v>620</v>
      </c>
      <c r="B312" s="105" t="s">
        <v>309</v>
      </c>
      <c r="C312" s="106" t="str">
        <f t="shared" si="4"/>
        <v xml:space="preserve">JC Regensburg, Stadt (Gebietsstand Dezember 2024)  </v>
      </c>
      <c r="D312" s="51"/>
      <c r="E312" s="110"/>
      <c r="F312" s="125" t="str">
        <f>IF(INDEX(Daten!$H$26:$H$429,MATCH(Steuerung_Eckwerte!B312,Daten!$C$26:$C$429,0))=0, " ", INDEX(Daten!$H$26:$H$429,MATCH(Steuerung_Eckwerte!B312,Daten!$C$26:$C$429,0)))</f>
        <v xml:space="preserve"> </v>
      </c>
    </row>
    <row r="313" spans="1:6" ht="15" customHeight="1">
      <c r="A313" s="105" t="s">
        <v>471</v>
      </c>
      <c r="B313" s="105" t="s">
        <v>95</v>
      </c>
      <c r="C313" s="106" t="str">
        <f t="shared" si="4"/>
        <v xml:space="preserve">JC Region Hannover (Gebietsstand Dezember 2024)  </v>
      </c>
      <c r="D313" s="51"/>
      <c r="E313" s="110"/>
      <c r="F313" s="125" t="str">
        <f>IF(INDEX(Daten!$H$26:$H$429,MATCH(Steuerung_Eckwerte!B313,Daten!$C$26:$C$429,0))=0, " ", INDEX(Daten!$H$26:$H$429,MATCH(Steuerung_Eckwerte!B313,Daten!$C$26:$C$429,0)))</f>
        <v xml:space="preserve"> </v>
      </c>
    </row>
    <row r="314" spans="1:6" ht="15" customHeight="1">
      <c r="A314" s="105" t="s">
        <v>569</v>
      </c>
      <c r="B314" s="105" t="s">
        <v>887</v>
      </c>
      <c r="C314" s="106" t="str">
        <f t="shared" si="4"/>
        <v xml:space="preserve">JC Regionalverband Saarbrücken (Gebietsstand Dezember 2024)  </v>
      </c>
      <c r="D314" s="51"/>
      <c r="E314" s="110"/>
      <c r="F314" s="125" t="str">
        <f>IF(INDEX(Daten!$H$26:$H$429,MATCH(Steuerung_Eckwerte!B314,Daten!$C$26:$C$429,0))=0, " ", INDEX(Daten!$H$26:$H$429,MATCH(Steuerung_Eckwerte!B314,Daten!$C$26:$C$429,0)))</f>
        <v xml:space="preserve"> </v>
      </c>
    </row>
    <row r="315" spans="1:6" ht="15" customHeight="1">
      <c r="A315" s="105" t="s">
        <v>673</v>
      </c>
      <c r="B315" s="105" t="s">
        <v>381</v>
      </c>
      <c r="C315" s="106" t="str">
        <f t="shared" si="4"/>
        <v xml:space="preserve">JC Reinickendorf (Gebietsstand Dezember 2024)  </v>
      </c>
      <c r="D315" s="51"/>
      <c r="E315" s="110"/>
      <c r="F315" s="125" t="str">
        <f>IF(INDEX(Daten!$H$26:$H$429,MATCH(Steuerung_Eckwerte!B315,Daten!$C$26:$C$429,0))=0, " ", INDEX(Daten!$H$26:$H$429,MATCH(Steuerung_Eckwerte!B315,Daten!$C$26:$C$429,0)))</f>
        <v xml:space="preserve"> </v>
      </c>
    </row>
    <row r="316" spans="1:6" ht="15" customHeight="1">
      <c r="A316" s="105" t="s">
        <v>890</v>
      </c>
      <c r="B316" s="105" t="s">
        <v>172</v>
      </c>
      <c r="C316" s="106" t="str">
        <f t="shared" si="4"/>
        <v xml:space="preserve">JC Remscheid, Stadt (Gebietsstand Dezember 2024)  </v>
      </c>
      <c r="D316" s="51"/>
      <c r="E316" s="110"/>
      <c r="F316" s="125" t="str">
        <f>IF(INDEX(Daten!$H$26:$H$429,MATCH(Steuerung_Eckwerte!B316,Daten!$C$26:$C$429,0))=0, " ", INDEX(Daten!$H$26:$H$429,MATCH(Steuerung_Eckwerte!B316,Daten!$C$26:$C$429,0)))</f>
        <v xml:space="preserve"> </v>
      </c>
    </row>
    <row r="317" spans="1:6" ht="15" customHeight="1">
      <c r="A317" s="105" t="s">
        <v>598</v>
      </c>
      <c r="B317" s="105" t="s">
        <v>272</v>
      </c>
      <c r="C317" s="106" t="str">
        <f t="shared" si="4"/>
        <v xml:space="preserve">JC Rems-Murr-Kreis (Gebietsstand Dezember 2024)  </v>
      </c>
      <c r="D317" s="51"/>
      <c r="E317" s="110"/>
      <c r="F317" s="125" t="str">
        <f>IF(INDEX(Daten!$H$26:$H$429,MATCH(Steuerung_Eckwerte!B317,Daten!$C$26:$C$429,0))=0, " ", INDEX(Daten!$H$26:$H$429,MATCH(Steuerung_Eckwerte!B317,Daten!$C$26:$C$429,0)))</f>
        <v xml:space="preserve"> </v>
      </c>
    </row>
    <row r="318" spans="1:6" ht="15" customHeight="1">
      <c r="A318" s="105" t="s">
        <v>458</v>
      </c>
      <c r="B318" s="105" t="s">
        <v>77</v>
      </c>
      <c r="C318" s="106" t="str">
        <f t="shared" si="4"/>
        <v xml:space="preserve">JC Rendsburg-Eckernförde (Gebietsstand Dezember 2024)  </v>
      </c>
      <c r="D318" s="51"/>
      <c r="E318" s="110"/>
      <c r="F318" s="125" t="str">
        <f>IF(INDEX(Daten!$H$26:$H$429,MATCH(Steuerung_Eckwerte!B318,Daten!$C$26:$C$429,0))=0, " ", INDEX(Daten!$H$26:$H$429,MATCH(Steuerung_Eckwerte!B318,Daten!$C$26:$C$429,0)))</f>
        <v xml:space="preserve"> </v>
      </c>
    </row>
    <row r="319" spans="1:6" ht="15" customHeight="1">
      <c r="A319" s="105" t="s">
        <v>596</v>
      </c>
      <c r="B319" s="105" t="s">
        <v>268</v>
      </c>
      <c r="C319" s="106" t="str">
        <f t="shared" si="4"/>
        <v xml:space="preserve">JC Reutlingen (Gebietsstand Dezember 2024)  </v>
      </c>
      <c r="D319" s="51"/>
      <c r="E319" s="110"/>
      <c r="F319" s="125" t="str">
        <f>IF(INDEX(Daten!$H$26:$H$429,MATCH(Steuerung_Eckwerte!B319,Daten!$C$26:$C$429,0))=0, " ", INDEX(Daten!$H$26:$H$429,MATCH(Steuerung_Eckwerte!B319,Daten!$C$26:$C$429,0)))</f>
        <v xml:space="preserve"> </v>
      </c>
    </row>
    <row r="320" spans="1:6" ht="15" customHeight="1">
      <c r="A320" s="105" t="s">
        <v>503</v>
      </c>
      <c r="B320" s="105" t="s">
        <v>136</v>
      </c>
      <c r="C320" s="106" t="str">
        <f t="shared" si="4"/>
        <v xml:space="preserve">JC Rhein-Erft-Kreis (Gebietsstand Dezember 2024)  </v>
      </c>
      <c r="D320" s="51"/>
      <c r="E320" s="110"/>
      <c r="F320" s="125" t="str">
        <f>IF(INDEX(Daten!$H$26:$H$429,MATCH(Steuerung_Eckwerte!B320,Daten!$C$26:$C$429,0))=0, " ", INDEX(Daten!$H$26:$H$429,MATCH(Steuerung_Eckwerte!B320,Daten!$C$26:$C$429,0)))</f>
        <v xml:space="preserve"> </v>
      </c>
    </row>
    <row r="321" spans="1:6" ht="15" customHeight="1">
      <c r="A321" s="105" t="s">
        <v>550</v>
      </c>
      <c r="B321" s="105" t="s">
        <v>201</v>
      </c>
      <c r="C321" s="106" t="str">
        <f t="shared" si="4"/>
        <v xml:space="preserve">JC Rheingau-Taunus-Kreis (Gebietsstand Dezember 2024)  </v>
      </c>
      <c r="D321" s="51"/>
      <c r="E321" s="110"/>
      <c r="F321" s="125" t="str">
        <f>IF(INDEX(Daten!$H$26:$H$429,MATCH(Steuerung_Eckwerte!B321,Daten!$C$26:$C$429,0))=0, " ", INDEX(Daten!$H$26:$H$429,MATCH(Steuerung_Eckwerte!B321,Daten!$C$26:$C$429,0)))</f>
        <v xml:space="preserve"> </v>
      </c>
    </row>
    <row r="322" spans="1:6" ht="15" customHeight="1">
      <c r="A322" s="105" t="s">
        <v>553</v>
      </c>
      <c r="B322" s="105" t="s">
        <v>204</v>
      </c>
      <c r="C322" s="106" t="str">
        <f t="shared" si="4"/>
        <v xml:space="preserve">JC Rhein-Hunsrück-Kreis (Gebietsstand Dezember 2024)  </v>
      </c>
      <c r="D322" s="51"/>
      <c r="E322" s="110"/>
      <c r="F322" s="125" t="str">
        <f>IF(INDEX(Daten!$H$26:$H$429,MATCH(Steuerung_Eckwerte!B322,Daten!$C$26:$C$429,0))=0, " ", INDEX(Daten!$H$26:$H$429,MATCH(Steuerung_Eckwerte!B322,Daten!$C$26:$C$429,0)))</f>
        <v xml:space="preserve"> </v>
      </c>
    </row>
    <row r="323" spans="1:6" ht="15" customHeight="1">
      <c r="A323" s="105" t="s">
        <v>497</v>
      </c>
      <c r="B323" s="105" t="s">
        <v>129</v>
      </c>
      <c r="C323" s="106" t="str">
        <f t="shared" si="4"/>
        <v xml:space="preserve">JC Rheinisch-Bergischer Kreis (Gebietsstand Dezember 2024)  </v>
      </c>
      <c r="D323" s="51"/>
      <c r="E323" s="110"/>
      <c r="F323" s="125" t="str">
        <f>IF(INDEX(Daten!$H$26:$H$429,MATCH(Steuerung_Eckwerte!B323,Daten!$C$26:$C$429,0))=0, " ", INDEX(Daten!$H$26:$H$429,MATCH(Steuerung_Eckwerte!B323,Daten!$C$26:$C$429,0)))</f>
        <v xml:space="preserve"> </v>
      </c>
    </row>
    <row r="324" spans="1:6" ht="15" customHeight="1">
      <c r="A324" s="105" t="s">
        <v>523</v>
      </c>
      <c r="B324" s="105" t="s">
        <v>161</v>
      </c>
      <c r="C324" s="106" t="str">
        <f t="shared" si="4"/>
        <v xml:space="preserve">JC Rhein-Kreis Neuss (Gebietsstand Dezember 2024)  </v>
      </c>
      <c r="D324" s="51"/>
      <c r="E324" s="110"/>
      <c r="F324" s="125" t="str">
        <f>IF(INDEX(Daten!$H$26:$H$429,MATCH(Steuerung_Eckwerte!B324,Daten!$C$26:$C$429,0))=0, " ", INDEX(Daten!$H$26:$H$429,MATCH(Steuerung_Eckwerte!B324,Daten!$C$26:$C$429,0)))</f>
        <v xml:space="preserve"> </v>
      </c>
    </row>
    <row r="325" spans="1:6" ht="15" customHeight="1">
      <c r="A325" s="105" t="s">
        <v>563</v>
      </c>
      <c r="B325" s="105" t="s">
        <v>219</v>
      </c>
      <c r="C325" s="106" t="str">
        <f t="shared" si="4"/>
        <v xml:space="preserve">JC Rhein-Lahn-Kreis (Gebietsstand Dezember 2024)  </v>
      </c>
      <c r="D325" s="51"/>
      <c r="E325" s="110"/>
      <c r="F325" s="125" t="str">
        <f>IF(INDEX(Daten!$H$26:$H$429,MATCH(Steuerung_Eckwerte!B325,Daten!$C$26:$C$429,0))=0, " ", INDEX(Daten!$H$26:$H$429,MATCH(Steuerung_Eckwerte!B325,Daten!$C$26:$C$429,0)))</f>
        <v xml:space="preserve"> </v>
      </c>
    </row>
    <row r="326" spans="1:6" ht="15" customHeight="1">
      <c r="A326" s="105" t="s">
        <v>584</v>
      </c>
      <c r="B326" s="105" t="s">
        <v>248</v>
      </c>
      <c r="C326" s="106" t="str">
        <f t="shared" si="4"/>
        <v xml:space="preserve">JC Rhein-Neckar-Kreis (Gebietsstand Dezember 2024)  </v>
      </c>
      <c r="D326" s="51"/>
      <c r="E326" s="110"/>
      <c r="F326" s="125" t="str">
        <f>IF(INDEX(Daten!$H$26:$H$429,MATCH(Steuerung_Eckwerte!B326,Daten!$C$26:$C$429,0))=0, " ", INDEX(Daten!$H$26:$H$429,MATCH(Steuerung_Eckwerte!B326,Daten!$C$26:$C$429,0)))</f>
        <v xml:space="preserve"> </v>
      </c>
    </row>
    <row r="327" spans="1:6" ht="15" customHeight="1">
      <c r="A327" s="105" t="s">
        <v>502</v>
      </c>
      <c r="B327" s="105" t="s">
        <v>135</v>
      </c>
      <c r="C327" s="106" t="str">
        <f t="shared" si="4"/>
        <v xml:space="preserve">JC Rhein-Sieg-Kreis (Gebietsstand Dezember 2024)  </v>
      </c>
      <c r="D327" s="51"/>
      <c r="E327" s="110"/>
      <c r="F327" s="125" t="str">
        <f>IF(INDEX(Daten!$H$26:$H$429,MATCH(Steuerung_Eckwerte!B327,Daten!$C$26:$C$429,0))=0, " ", INDEX(Daten!$H$26:$H$429,MATCH(Steuerung_Eckwerte!B327,Daten!$C$26:$C$429,0)))</f>
        <v xml:space="preserve"> </v>
      </c>
    </row>
    <row r="328" spans="1:6" ht="15" customHeight="1">
      <c r="A328" s="105" t="s">
        <v>628</v>
      </c>
      <c r="B328" s="105" t="s">
        <v>317</v>
      </c>
      <c r="C328" s="106" t="str">
        <f t="shared" si="4"/>
        <v xml:space="preserve">JC Rhön-Grabfeld (Gebietsstand Dezember 2024)  </v>
      </c>
      <c r="D328" s="51"/>
      <c r="E328" s="110"/>
      <c r="F328" s="125" t="str">
        <f>IF(INDEX(Daten!$H$26:$H$429,MATCH(Steuerung_Eckwerte!B328,Daten!$C$26:$C$429,0))=0, " ", INDEX(Daten!$H$26:$H$429,MATCH(Steuerung_Eckwerte!B328,Daten!$C$26:$C$429,0)))</f>
        <v xml:space="preserve"> </v>
      </c>
    </row>
    <row r="329" spans="1:6" ht="15" customHeight="1">
      <c r="A329" s="105" t="s">
        <v>663</v>
      </c>
      <c r="B329" s="105" t="s">
        <v>369</v>
      </c>
      <c r="C329" s="106" t="str">
        <f t="shared" si="4"/>
        <v xml:space="preserve">JC Rosenheim (Gebietsstand Dezember 2024)  </v>
      </c>
      <c r="D329" s="51"/>
      <c r="E329" s="110"/>
      <c r="F329" s="125" t="str">
        <f>IF(INDEX(Daten!$H$26:$H$429,MATCH(Steuerung_Eckwerte!B329,Daten!$C$26:$C$429,0))=0, " ", INDEX(Daten!$H$26:$H$429,MATCH(Steuerung_Eckwerte!B329,Daten!$C$26:$C$429,0)))</f>
        <v xml:space="preserve"> </v>
      </c>
    </row>
    <row r="330" spans="1:6" ht="15" customHeight="1">
      <c r="A330" s="105" t="s">
        <v>662</v>
      </c>
      <c r="B330" s="105" t="s">
        <v>368</v>
      </c>
      <c r="C330" s="106" t="str">
        <f t="shared" si="4"/>
        <v xml:space="preserve">JC Rosenheim, Stadt (Gebietsstand Dezember 2024)  </v>
      </c>
      <c r="D330" s="51"/>
      <c r="E330" s="110"/>
      <c r="F330" s="125" t="str">
        <f>IF(INDEX(Daten!$H$26:$H$429,MATCH(Steuerung_Eckwerte!B330,Daten!$C$26:$C$429,0))=0, " ", INDEX(Daten!$H$26:$H$429,MATCH(Steuerung_Eckwerte!B330,Daten!$C$26:$C$429,0)))</f>
        <v xml:space="preserve"> </v>
      </c>
    </row>
    <row r="331" spans="1:6" ht="15" customHeight="1">
      <c r="A331" s="105" t="s">
        <v>393</v>
      </c>
      <c r="B331" s="105" t="s">
        <v>4</v>
      </c>
      <c r="C331" s="106" t="str">
        <f t="shared" si="4"/>
        <v xml:space="preserve">JC Rostock, Hansestadt (Gebietsstand Dezember 2024)  </v>
      </c>
      <c r="D331" s="51"/>
      <c r="E331" s="110"/>
      <c r="F331" s="125" t="str">
        <f>IF(INDEX(Daten!$H$26:$H$429,MATCH(Steuerung_Eckwerte!B331,Daten!$C$26:$C$429,0))=0, " ", INDEX(Daten!$H$26:$H$429,MATCH(Steuerung_Eckwerte!B331,Daten!$C$26:$C$429,0)))</f>
        <v xml:space="preserve"> </v>
      </c>
    </row>
    <row r="332" spans="1:6" ht="15" customHeight="1">
      <c r="A332" s="105" t="s">
        <v>488</v>
      </c>
      <c r="B332" s="105" t="s">
        <v>115</v>
      </c>
      <c r="C332" s="106" t="str">
        <f t="shared" si="4"/>
        <v xml:space="preserve">JC Rotenburg (Wümme) (Gebietsstand Dezember 2024)  </v>
      </c>
      <c r="D332" s="51"/>
      <c r="E332" s="110"/>
      <c r="F332" s="125" t="str">
        <f>IF(INDEX(Daten!$H$26:$H$429,MATCH(Steuerung_Eckwerte!B332,Daten!$C$26:$C$429,0))=0, " ", INDEX(Daten!$H$26:$H$429,MATCH(Steuerung_Eckwerte!B332,Daten!$C$26:$C$429,0)))</f>
        <v xml:space="preserve"> </v>
      </c>
    </row>
    <row r="333" spans="1:6" ht="15" customHeight="1">
      <c r="A333" s="105" t="s">
        <v>897</v>
      </c>
      <c r="B333" s="105" t="s">
        <v>323</v>
      </c>
      <c r="C333" s="106" t="str">
        <f t="shared" si="4"/>
        <v xml:space="preserve">JC Roth (Gebietsstand Dezember 2024)  </v>
      </c>
      <c r="D333" s="51"/>
      <c r="E333" s="110"/>
      <c r="F333" s="125" t="str">
        <f>IF(INDEX(Daten!$H$26:$H$429,MATCH(Steuerung_Eckwerte!B333,Daten!$C$26:$C$429,0))=0, " ", INDEX(Daten!$H$26:$H$429,MATCH(Steuerung_Eckwerte!B333,Daten!$C$26:$C$429,0)))</f>
        <v xml:space="preserve"> </v>
      </c>
    </row>
    <row r="334" spans="1:6" ht="15" customHeight="1">
      <c r="A334" s="105" t="s">
        <v>844</v>
      </c>
      <c r="B334" s="105" t="s">
        <v>365</v>
      </c>
      <c r="C334" s="106" t="str">
        <f t="shared" si="4"/>
        <v xml:space="preserve">JC Rottal-Inn (Gebietsstand Dezember 2024)  </v>
      </c>
      <c r="D334" s="51"/>
      <c r="E334" s="110"/>
      <c r="F334" s="125" t="str">
        <f>IF(INDEX(Daten!$H$26:$H$429,MATCH(Steuerung_Eckwerte!B334,Daten!$C$26:$C$429,0))=0, " ", INDEX(Daten!$H$26:$H$429,MATCH(Steuerung_Eckwerte!B334,Daten!$C$26:$C$429,0)))</f>
        <v xml:space="preserve"> </v>
      </c>
    </row>
    <row r="335" spans="1:6" ht="15" customHeight="1">
      <c r="A335" s="105" t="s">
        <v>827</v>
      </c>
      <c r="B335" s="105" t="s">
        <v>270</v>
      </c>
      <c r="C335" s="106" t="str">
        <f t="shared" si="4"/>
        <v xml:space="preserve">JC Rottweil (Gebietsstand Dezember 2024)  </v>
      </c>
      <c r="D335" s="51"/>
      <c r="E335" s="110"/>
      <c r="F335" s="125" t="str">
        <f>IF(INDEX(Daten!$H$26:$H$429,MATCH(Steuerung_Eckwerte!B335,Daten!$C$26:$C$429,0))=0, " ", INDEX(Daten!$H$26:$H$429,MATCH(Steuerung_Eckwerte!B335,Daten!$C$26:$C$429,0)))</f>
        <v xml:space="preserve"> </v>
      </c>
    </row>
    <row r="336" spans="1:6" ht="15" customHeight="1">
      <c r="A336" s="290" t="s">
        <v>1027</v>
      </c>
      <c r="B336" s="105" t="s">
        <v>52</v>
      </c>
      <c r="C336" s="106" t="str">
        <f t="shared" si="4"/>
        <v xml:space="preserve">JC Saale-Holzland-Kreis (Gebietsstand Dezember 2024)  </v>
      </c>
      <c r="D336" s="51"/>
      <c r="E336" s="110"/>
      <c r="F336" s="125" t="str">
        <f>IF(INDEX(Daten!$H$26:$H$429,MATCH(Steuerung_Eckwerte!B336,Daten!$C$26:$C$429,0))=0, " ", INDEX(Daten!$H$26:$H$429,MATCH(Steuerung_Eckwerte!B336,Daten!$C$26:$C$429,0)))</f>
        <v xml:space="preserve"> </v>
      </c>
    </row>
    <row r="337" spans="1:6" ht="15" customHeight="1">
      <c r="A337" s="105" t="s">
        <v>865</v>
      </c>
      <c r="B337" s="105" t="s">
        <v>763</v>
      </c>
      <c r="C337" s="106" t="str">
        <f t="shared" si="4"/>
        <v xml:space="preserve">JC Saalekreis (Gebietsstand Dezember 2024)  </v>
      </c>
      <c r="D337" s="51"/>
      <c r="E337" s="110"/>
      <c r="F337" s="125" t="str">
        <f>IF(INDEX(Daten!$H$26:$H$429,MATCH(Steuerung_Eckwerte!B337,Daten!$C$26:$C$429,0))=0, " ", INDEX(Daten!$H$26:$H$429,MATCH(Steuerung_Eckwerte!B337,Daten!$C$26:$C$429,0)))</f>
        <v xml:space="preserve"> </v>
      </c>
    </row>
    <row r="338" spans="1:6" ht="15" customHeight="1">
      <c r="A338" s="105" t="s">
        <v>437</v>
      </c>
      <c r="B338" s="105" t="s">
        <v>48</v>
      </c>
      <c r="C338" s="106" t="str">
        <f t="shared" si="4"/>
        <v xml:space="preserve">JC Saale-Orla-Kreis (Gebietsstand Dezember 2024)  </v>
      </c>
      <c r="D338" s="51"/>
      <c r="E338" s="110"/>
      <c r="F338" s="125" t="str">
        <f>IF(INDEX(Daten!$H$26:$H$429,MATCH(Steuerung_Eckwerte!B338,Daten!$C$26:$C$429,0))=0, " ", INDEX(Daten!$H$26:$H$429,MATCH(Steuerung_Eckwerte!B338,Daten!$C$26:$C$429,0)))</f>
        <v xml:space="preserve"> </v>
      </c>
    </row>
    <row r="339" spans="1:6" ht="15" customHeight="1">
      <c r="A339" s="290" t="s">
        <v>1028</v>
      </c>
      <c r="B339" s="105" t="s">
        <v>53</v>
      </c>
      <c r="C339" s="106" t="str">
        <f t="shared" si="4"/>
        <v xml:space="preserve">JC Saalfeld-Rudolstadt (Gebietsstand Dezember 2024)  </v>
      </c>
      <c r="D339" s="51"/>
      <c r="E339" s="110"/>
      <c r="F339" s="125" t="str">
        <f>IF(INDEX(Daten!$H$26:$H$429,MATCH(Steuerung_Eckwerte!B339,Daten!$C$26:$C$429,0))=0, " ", INDEX(Daten!$H$26:$H$429,MATCH(Steuerung_Eckwerte!B339,Daten!$C$26:$C$429,0)))</f>
        <v xml:space="preserve"> </v>
      </c>
    </row>
    <row r="340" spans="1:6" ht="15" customHeight="1">
      <c r="A340" s="105" t="s">
        <v>854</v>
      </c>
      <c r="B340" s="105" t="s">
        <v>232</v>
      </c>
      <c r="C340" s="106" t="str">
        <f t="shared" si="4"/>
        <v xml:space="preserve">JC Saarlouis (Gebietsstand Dezember 2024)  </v>
      </c>
      <c r="D340" s="51"/>
      <c r="E340" s="110"/>
      <c r="F340" s="125" t="str">
        <f>IF(INDEX(Daten!$H$26:$H$429,MATCH(Steuerung_Eckwerte!B340,Daten!$C$26:$C$429,0))=0, " ", INDEX(Daten!$H$26:$H$429,MATCH(Steuerung_Eckwerte!B340,Daten!$C$26:$C$429,0)))</f>
        <v xml:space="preserve"> </v>
      </c>
    </row>
    <row r="341" spans="1:6" ht="15" customHeight="1">
      <c r="A341" s="105" t="s">
        <v>852</v>
      </c>
      <c r="B341" s="105" t="s">
        <v>223</v>
      </c>
      <c r="C341" s="106" t="str">
        <f t="shared" si="4"/>
        <v xml:space="preserve">JC Saarpfalz-Kreis (Gebietsstand Dezember 2024)  </v>
      </c>
      <c r="D341" s="51"/>
      <c r="E341" s="110"/>
      <c r="F341" s="125" t="str">
        <f>IF(INDEX(Daten!$H$26:$H$429,MATCH(Steuerung_Eckwerte!B341,Daten!$C$26:$C$429,0))=0, " ", INDEX(Daten!$H$26:$H$429,MATCH(Steuerung_Eckwerte!B341,Daten!$C$26:$C$429,0)))</f>
        <v xml:space="preserve"> </v>
      </c>
    </row>
    <row r="342" spans="1:6" ht="15" customHeight="1">
      <c r="A342" s="105" t="s">
        <v>428</v>
      </c>
      <c r="B342" s="105" t="s">
        <v>40</v>
      </c>
      <c r="C342" s="106" t="str">
        <f t="shared" si="4"/>
        <v xml:space="preserve">JC Sächsische Schweiz- Osterzgebirge (Gebietsstand Dezember 2024)  </v>
      </c>
      <c r="D342" s="51"/>
      <c r="E342" s="110"/>
      <c r="F342" s="125" t="str">
        <f>IF(INDEX(Daten!$H$26:$H$429,MATCH(Steuerung_Eckwerte!B342,Daten!$C$26:$C$429,0))=0, " ", INDEX(Daten!$H$26:$H$429,MATCH(Steuerung_Eckwerte!B342,Daten!$C$26:$C$429,0)))</f>
        <v xml:space="preserve"> </v>
      </c>
    </row>
    <row r="343" spans="1:6" ht="15" customHeight="1">
      <c r="A343" s="105" t="s">
        <v>460</v>
      </c>
      <c r="B343" s="105" t="s">
        <v>79</v>
      </c>
      <c r="C343" s="106" t="str">
        <f t="shared" ref="C343:C404" si="5">CONCATENATE(B343, " ", $D$3, " ", F343)</f>
        <v xml:space="preserve">JC Salzgitter, Stadt (Gebietsstand Dezember 2024)  </v>
      </c>
      <c r="D343" s="51"/>
      <c r="E343" s="110"/>
      <c r="F343" s="125" t="str">
        <f>IF(INDEX(Daten!$H$26:$H$429,MATCH(Steuerung_Eckwerte!B343,Daten!$C$26:$C$429,0))=0, " ", INDEX(Daten!$H$26:$H$429,MATCH(Steuerung_Eckwerte!B343,Daten!$C$26:$C$429,0)))</f>
        <v xml:space="preserve"> </v>
      </c>
    </row>
    <row r="344" spans="1:6" ht="15" customHeight="1">
      <c r="A344" s="290" t="s">
        <v>1030</v>
      </c>
      <c r="B344" s="105" t="s">
        <v>761</v>
      </c>
      <c r="C344" s="106" t="str">
        <f t="shared" si="5"/>
        <v xml:space="preserve">JC Salzlandkreis (Gebietsstand Dezember 2024)  </v>
      </c>
      <c r="D344" s="51"/>
      <c r="E344" s="110"/>
      <c r="F344" s="125" t="str">
        <f>IF(INDEX(Daten!$H$26:$H$429,MATCH(Steuerung_Eckwerte!B344,Daten!$C$26:$C$429,0))=0, " ", INDEX(Daten!$H$26:$H$429,MATCH(Steuerung_Eckwerte!B344,Daten!$C$26:$C$429,0)))</f>
        <v xml:space="preserve"> </v>
      </c>
    </row>
    <row r="345" spans="1:6" ht="15" customHeight="1">
      <c r="A345" s="105" t="s">
        <v>783</v>
      </c>
      <c r="B345" s="105" t="s">
        <v>94</v>
      </c>
      <c r="C345" s="106" t="str">
        <f t="shared" si="5"/>
        <v xml:space="preserve">JC Schaumburg (Gebietsstand Dezember 2024)  </v>
      </c>
      <c r="D345" s="51"/>
      <c r="E345" s="110"/>
      <c r="F345" s="125" t="str">
        <f>IF(INDEX(Daten!$H$26:$H$429,MATCH(Steuerung_Eckwerte!B345,Daten!$C$26:$C$429,0))=0, " ", INDEX(Daten!$H$26:$H$429,MATCH(Steuerung_Eckwerte!B345,Daten!$C$26:$C$429,0)))</f>
        <v xml:space="preserve"> </v>
      </c>
    </row>
    <row r="346" spans="1:6" ht="15" customHeight="1">
      <c r="A346" s="105" t="s">
        <v>449</v>
      </c>
      <c r="B346" s="105" t="s">
        <v>67</v>
      </c>
      <c r="C346" s="106" t="str">
        <f t="shared" si="5"/>
        <v xml:space="preserve">JC Schleswig-Flensburg (Gebietsstand Dezember 2024)  </v>
      </c>
      <c r="D346" s="51"/>
      <c r="E346" s="110"/>
      <c r="F346" s="125" t="str">
        <f>IF(INDEX(Daten!$H$26:$H$429,MATCH(Steuerung_Eckwerte!B346,Daten!$C$26:$C$429,0))=0, " ", INDEX(Daten!$H$26:$H$429,MATCH(Steuerung_Eckwerte!B346,Daten!$C$26:$C$429,0)))</f>
        <v xml:space="preserve"> </v>
      </c>
    </row>
    <row r="347" spans="1:6" ht="15" customHeight="1">
      <c r="A347" s="105" t="s">
        <v>869</v>
      </c>
      <c r="B347" s="105" t="s">
        <v>61</v>
      </c>
      <c r="C347" s="106" t="str">
        <f t="shared" si="5"/>
        <v xml:space="preserve">JC Schmalkalden-Meiningen (Gebietsstand Dezember 2024)  </v>
      </c>
      <c r="D347" s="51"/>
      <c r="E347" s="110"/>
      <c r="F347" s="125" t="str">
        <f>IF(INDEX(Daten!$H$26:$H$429,MATCH(Steuerung_Eckwerte!B347,Daten!$C$26:$C$429,0))=0, " ", INDEX(Daten!$H$26:$H$429,MATCH(Steuerung_Eckwerte!B347,Daten!$C$26:$C$429,0)))</f>
        <v xml:space="preserve"> </v>
      </c>
    </row>
    <row r="348" spans="1:6" ht="15" customHeight="1">
      <c r="A348" s="105" t="s">
        <v>618</v>
      </c>
      <c r="B348" s="105" t="s">
        <v>307</v>
      </c>
      <c r="C348" s="106" t="str">
        <f t="shared" si="5"/>
        <v xml:space="preserve">JC Schwabach, Stadt (Gebietsstand Dezember 2024)  </v>
      </c>
      <c r="D348" s="51"/>
      <c r="E348" s="110"/>
      <c r="F348" s="125" t="str">
        <f>IF(INDEX(Daten!$H$26:$H$429,MATCH(Steuerung_Eckwerte!B348,Daten!$C$26:$C$429,0))=0, " ", INDEX(Daten!$H$26:$H$429,MATCH(Steuerung_Eckwerte!B348,Daten!$C$26:$C$429,0)))</f>
        <v xml:space="preserve"> </v>
      </c>
    </row>
    <row r="349" spans="1:6" ht="15" customHeight="1">
      <c r="A349" s="105" t="s">
        <v>600</v>
      </c>
      <c r="B349" s="105" t="s">
        <v>274</v>
      </c>
      <c r="C349" s="106" t="str">
        <f t="shared" si="5"/>
        <v xml:space="preserve">JC Schwäbisch Hall (Gebietsstand Dezember 2024)  </v>
      </c>
      <c r="D349" s="51"/>
      <c r="E349" s="110"/>
      <c r="F349" s="125" t="str">
        <f>IF(INDEX(Daten!$H$26:$H$429,MATCH(Steuerung_Eckwerte!B349,Daten!$C$26:$C$429,0))=0, " ", INDEX(Daten!$H$26:$H$429,MATCH(Steuerung_Eckwerte!B349,Daten!$C$26:$C$429,0)))</f>
        <v xml:space="preserve"> </v>
      </c>
    </row>
    <row r="350" spans="1:6" ht="15" customHeight="1">
      <c r="A350" s="105" t="s">
        <v>803</v>
      </c>
      <c r="B350" s="105" t="s">
        <v>742</v>
      </c>
      <c r="C350" s="106" t="str">
        <f t="shared" si="5"/>
        <v xml:space="preserve">JC Schwalm-Eder-Kreis (Gebietsstand Dezember 2024)  </v>
      </c>
      <c r="D350" s="51"/>
      <c r="E350" s="110"/>
      <c r="F350" s="125" t="str">
        <f>IF(INDEX(Daten!$H$26:$H$429,MATCH(Steuerung_Eckwerte!B350,Daten!$C$26:$C$429,0))=0, " ", INDEX(Daten!$H$26:$H$429,MATCH(Steuerung_Eckwerte!B350,Daten!$C$26:$C$429,0)))</f>
        <v xml:space="preserve"> </v>
      </c>
    </row>
    <row r="351" spans="1:6" ht="15" customHeight="1">
      <c r="A351" s="105" t="s">
        <v>625</v>
      </c>
      <c r="B351" s="105" t="s">
        <v>314</v>
      </c>
      <c r="C351" s="106" t="str">
        <f t="shared" si="5"/>
        <v xml:space="preserve">JC Schwandorf (Gebietsstand Dezember 2024)  </v>
      </c>
      <c r="D351" s="51"/>
      <c r="E351" s="110"/>
      <c r="F351" s="125" t="str">
        <f>IF(INDEX(Daten!$H$26:$H$429,MATCH(Steuerung_Eckwerte!B351,Daten!$C$26:$C$429,0))=0, " ", INDEX(Daten!$H$26:$H$429,MATCH(Steuerung_Eckwerte!B351,Daten!$C$26:$C$429,0)))</f>
        <v xml:space="preserve"> </v>
      </c>
    </row>
    <row r="352" spans="1:6" ht="15" customHeight="1">
      <c r="A352" s="105" t="s">
        <v>604</v>
      </c>
      <c r="B352" s="105" t="s">
        <v>281</v>
      </c>
      <c r="C352" s="106" t="str">
        <f t="shared" si="5"/>
        <v xml:space="preserve">JC Schwarzwald-Baar-Kreis (Gebietsstand Dezember 2024)  </v>
      </c>
      <c r="D352" s="51"/>
      <c r="E352" s="110"/>
      <c r="F352" s="125" t="str">
        <f>IF(INDEX(Daten!$H$26:$H$429,MATCH(Steuerung_Eckwerte!B352,Daten!$C$26:$C$429,0))=0, " ", INDEX(Daten!$H$26:$H$429,MATCH(Steuerung_Eckwerte!B352,Daten!$C$26:$C$429,0)))</f>
        <v xml:space="preserve"> </v>
      </c>
    </row>
    <row r="353" spans="1:6" ht="15" customHeight="1">
      <c r="A353" s="105" t="s">
        <v>630</v>
      </c>
      <c r="B353" s="105" t="s">
        <v>319</v>
      </c>
      <c r="C353" s="106" t="str">
        <f t="shared" si="5"/>
        <v xml:space="preserve">JC Schweinfurt (Gebietsstand Dezember 2024)  </v>
      </c>
      <c r="D353" s="51"/>
      <c r="E353" s="110"/>
      <c r="F353" s="125" t="str">
        <f>IF(INDEX(Daten!$H$26:$H$429,MATCH(Steuerung_Eckwerte!B353,Daten!$C$26:$C$429,0))=0, " ", INDEX(Daten!$H$26:$H$429,MATCH(Steuerung_Eckwerte!B353,Daten!$C$26:$C$429,0)))</f>
        <v xml:space="preserve"> </v>
      </c>
    </row>
    <row r="354" spans="1:6" ht="15" customHeight="1">
      <c r="A354" s="105" t="s">
        <v>629</v>
      </c>
      <c r="B354" s="105" t="s">
        <v>318</v>
      </c>
      <c r="C354" s="106" t="str">
        <f t="shared" si="5"/>
        <v xml:space="preserve">JC Schweinfurt, Stadt (Gebietsstand Dezember 2024)  </v>
      </c>
      <c r="D354" s="51"/>
      <c r="E354" s="110"/>
      <c r="F354" s="125" t="str">
        <f>IF(INDEX(Daten!$H$26:$H$429,MATCH(Steuerung_Eckwerte!B354,Daten!$C$26:$C$429,0))=0, " ", INDEX(Daten!$H$26:$H$429,MATCH(Steuerung_Eckwerte!B354,Daten!$C$26:$C$429,0)))</f>
        <v xml:space="preserve"> </v>
      </c>
    </row>
    <row r="355" spans="1:6" ht="15" customHeight="1">
      <c r="A355" s="105" t="s">
        <v>395</v>
      </c>
      <c r="B355" s="105" t="s">
        <v>5</v>
      </c>
      <c r="C355" s="106" t="str">
        <f t="shared" si="5"/>
        <v xml:space="preserve">JC Schwerin, Landeshauptstadt (Gebietsstand Dezember 2024)  </v>
      </c>
      <c r="D355" s="51"/>
      <c r="E355" s="110"/>
      <c r="F355" s="125" t="str">
        <f>IF(INDEX(Daten!$H$26:$H$429,MATCH(Steuerung_Eckwerte!B355,Daten!$C$26:$C$429,0))=0, " ", INDEX(Daten!$H$26:$H$429,MATCH(Steuerung_Eckwerte!B355,Daten!$C$26:$C$429,0)))</f>
        <v xml:space="preserve"> </v>
      </c>
    </row>
    <row r="356" spans="1:6" ht="15" customHeight="1">
      <c r="A356" s="105" t="s">
        <v>777</v>
      </c>
      <c r="B356" s="105" t="s">
        <v>76</v>
      </c>
      <c r="C356" s="106" t="str">
        <f t="shared" si="5"/>
        <v xml:space="preserve">JC Segeberg (Gebietsstand Dezember 2024)  </v>
      </c>
      <c r="D356" s="51"/>
      <c r="E356" s="110"/>
      <c r="F356" s="125" t="str">
        <f>IF(INDEX(Daten!$H$26:$H$429,MATCH(Steuerung_Eckwerte!B356,Daten!$C$26:$C$429,0))=0, " ", INDEX(Daten!$H$26:$H$429,MATCH(Steuerung_Eckwerte!B356,Daten!$C$26:$C$429,0)))</f>
        <v xml:space="preserve"> </v>
      </c>
    </row>
    <row r="357" spans="1:6" ht="15" customHeight="1">
      <c r="A357" s="105" t="s">
        <v>529</v>
      </c>
      <c r="B357" s="105" t="s">
        <v>169</v>
      </c>
      <c r="C357" s="106" t="str">
        <f t="shared" si="5"/>
        <v xml:space="preserve">JC Siegen-Wittgenstein (Gebietsstand Dezember 2024)  </v>
      </c>
      <c r="D357" s="51"/>
      <c r="E357" s="110"/>
      <c r="F357" s="125" t="str">
        <f>IF(INDEX(Daten!$H$26:$H$429,MATCH(Steuerung_Eckwerte!B357,Daten!$C$26:$C$429,0))=0, " ", INDEX(Daten!$H$26:$H$429,MATCH(Steuerung_Eckwerte!B357,Daten!$C$26:$C$429,0)))</f>
        <v xml:space="preserve"> </v>
      </c>
    </row>
    <row r="358" spans="1:6" ht="15" customHeight="1">
      <c r="A358" s="105" t="s">
        <v>577</v>
      </c>
      <c r="B358" s="105" t="s">
        <v>241</v>
      </c>
      <c r="C358" s="106" t="str">
        <f t="shared" si="5"/>
        <v xml:space="preserve">JC Sigmaringen (Gebietsstand Dezember 2024)  </v>
      </c>
      <c r="D358" s="51"/>
      <c r="E358" s="110"/>
      <c r="F358" s="125" t="str">
        <f>IF(INDEX(Daten!$H$26:$H$429,MATCH(Steuerung_Eckwerte!B358,Daten!$C$26:$C$429,0))=0, " ", INDEX(Daten!$H$26:$H$429,MATCH(Steuerung_Eckwerte!B358,Daten!$C$26:$C$429,0)))</f>
        <v xml:space="preserve"> </v>
      </c>
    </row>
    <row r="359" spans="1:6" ht="15" customHeight="1">
      <c r="A359" s="105" t="s">
        <v>531</v>
      </c>
      <c r="B359" s="105" t="s">
        <v>171</v>
      </c>
      <c r="C359" s="106" t="str">
        <f t="shared" si="5"/>
        <v xml:space="preserve">JC Soest (Gebietsstand Dezember 2024)  </v>
      </c>
      <c r="D359" s="51"/>
      <c r="E359" s="110"/>
      <c r="F359" s="125" t="str">
        <f>IF(INDEX(Daten!$H$26:$H$429,MATCH(Steuerung_Eckwerte!B359,Daten!$C$26:$C$429,0))=0, " ", INDEX(Daten!$H$26:$H$429,MATCH(Steuerung_Eckwerte!B359,Daten!$C$26:$C$429,0)))</f>
        <v xml:space="preserve"> </v>
      </c>
    </row>
    <row r="360" spans="1:6" ht="15" customHeight="1">
      <c r="A360" s="105" t="s">
        <v>891</v>
      </c>
      <c r="B360" s="105" t="s">
        <v>173</v>
      </c>
      <c r="C360" s="106" t="str">
        <f t="shared" si="5"/>
        <v xml:space="preserve">JC Solingen, Stadt (Gebietsstand Dezember 2024)  </v>
      </c>
      <c r="D360" s="51"/>
      <c r="E360" s="110"/>
      <c r="F360" s="125" t="str">
        <f>IF(INDEX(Daten!$H$26:$H$429,MATCH(Steuerung_Eckwerte!B360,Daten!$C$26:$C$429,0))=0, " ", INDEX(Daten!$H$26:$H$429,MATCH(Steuerung_Eckwerte!B360,Daten!$C$26:$C$429,0)))</f>
        <v xml:space="preserve"> </v>
      </c>
    </row>
    <row r="361" spans="1:6" ht="15" customHeight="1">
      <c r="A361" s="105" t="s">
        <v>434</v>
      </c>
      <c r="B361" s="105" t="s">
        <v>45</v>
      </c>
      <c r="C361" s="106" t="str">
        <f t="shared" si="5"/>
        <v xml:space="preserve">JC Sömmerda (Gebietsstand Dezember 2024)  </v>
      </c>
      <c r="D361" s="51"/>
      <c r="E361" s="110"/>
      <c r="F361" s="125" t="str">
        <f>IF(INDEX(Daten!$H$26:$H$429,MATCH(Steuerung_Eckwerte!B361,Daten!$C$26:$C$429,0))=0, " ", INDEX(Daten!$H$26:$H$429,MATCH(Steuerung_Eckwerte!B361,Daten!$C$26:$C$429,0)))</f>
        <v xml:space="preserve"> </v>
      </c>
    </row>
    <row r="362" spans="1:6" ht="15" customHeight="1">
      <c r="A362" s="105" t="s">
        <v>443</v>
      </c>
      <c r="B362" s="105" t="s">
        <v>59</v>
      </c>
      <c r="C362" s="106" t="str">
        <f t="shared" si="5"/>
        <v xml:space="preserve">JC Sonneberg (Gebietsstand Dezember 2024)  </v>
      </c>
      <c r="D362" s="51"/>
      <c r="E362" s="110"/>
      <c r="F362" s="125" t="str">
        <f>IF(INDEX(Daten!$H$26:$H$429,MATCH(Steuerung_Eckwerte!B362,Daten!$C$26:$C$429,0))=0, " ", INDEX(Daten!$H$26:$H$429,MATCH(Steuerung_Eckwerte!B362,Daten!$C$26:$C$429,0)))</f>
        <v xml:space="preserve"> </v>
      </c>
    </row>
    <row r="363" spans="1:6" ht="15" customHeight="1">
      <c r="A363" s="105" t="s">
        <v>674</v>
      </c>
      <c r="B363" s="105" t="s">
        <v>382</v>
      </c>
      <c r="C363" s="106" t="str">
        <f t="shared" si="5"/>
        <v xml:space="preserve">JC Spandau (Gebietsstand Dezember 2024)  </v>
      </c>
      <c r="D363" s="51"/>
      <c r="E363" s="110"/>
      <c r="F363" s="125" t="str">
        <f>IF(INDEX(Daten!$H$26:$H$429,MATCH(Steuerung_Eckwerte!B363,Daten!$C$26:$C$429,0))=0, " ", INDEX(Daten!$H$26:$H$429,MATCH(Steuerung_Eckwerte!B363,Daten!$C$26:$C$429,0)))</f>
        <v xml:space="preserve"> </v>
      </c>
    </row>
    <row r="364" spans="1:6" ht="15" customHeight="1">
      <c r="A364" s="105" t="s">
        <v>401</v>
      </c>
      <c r="B364" s="105" t="s">
        <v>10</v>
      </c>
      <c r="C364" s="106" t="str">
        <f t="shared" si="5"/>
        <v xml:space="preserve">JC Spree-Neiße (Gebietsstand Dezember 2024)  </v>
      </c>
      <c r="D364" s="51"/>
      <c r="E364" s="110"/>
      <c r="F364" s="125" t="str">
        <f>IF(INDEX(Daten!$H$26:$H$429,MATCH(Steuerung_Eckwerte!B364,Daten!$C$26:$C$429,0))=0, " ", INDEX(Daten!$H$26:$H$429,MATCH(Steuerung_Eckwerte!B364,Daten!$C$26:$C$429,0)))</f>
        <v xml:space="preserve"> </v>
      </c>
    </row>
    <row r="365" spans="1:6" ht="15" customHeight="1">
      <c r="A365" s="105" t="s">
        <v>851</v>
      </c>
      <c r="B365" s="105" t="s">
        <v>222</v>
      </c>
      <c r="C365" s="106" t="str">
        <f t="shared" si="5"/>
        <v xml:space="preserve">JC St. Wendel (Gebietsstand Dezember 2024)  </v>
      </c>
      <c r="D365" s="51"/>
      <c r="E365" s="110"/>
      <c r="F365" s="125" t="str">
        <f>IF(INDEX(Daten!$H$26:$H$429,MATCH(Steuerung_Eckwerte!B365,Daten!$C$26:$C$429,0))=0, " ", INDEX(Daten!$H$26:$H$429,MATCH(Steuerung_Eckwerte!B365,Daten!$C$26:$C$429,0)))</f>
        <v xml:space="preserve"> </v>
      </c>
    </row>
    <row r="366" spans="1:6" ht="15" customHeight="1">
      <c r="A366" s="105" t="s">
        <v>486</v>
      </c>
      <c r="B366" s="105" t="s">
        <v>113</v>
      </c>
      <c r="C366" s="106" t="str">
        <f t="shared" si="5"/>
        <v xml:space="preserve">JC Stade (Gebietsstand Dezember 2024)  </v>
      </c>
      <c r="D366" s="51"/>
      <c r="E366" s="110"/>
      <c r="F366" s="125" t="str">
        <f>IF(INDEX(Daten!$H$26:$H$429,MATCH(Steuerung_Eckwerte!B366,Daten!$C$26:$C$429,0))=0, " ", INDEX(Daten!$H$26:$H$429,MATCH(Steuerung_Eckwerte!B366,Daten!$C$26:$C$429,0)))</f>
        <v xml:space="preserve"> </v>
      </c>
    </row>
    <row r="367" spans="1:6" ht="15" customHeight="1">
      <c r="A367" s="105" t="s">
        <v>494</v>
      </c>
      <c r="B367" s="105" t="s">
        <v>125</v>
      </c>
      <c r="C367" s="106" t="str">
        <f t="shared" si="5"/>
        <v xml:space="preserve">JC Städteregion Aachen (Gebietsstand Dezember 2024)  </v>
      </c>
      <c r="D367" s="51"/>
      <c r="E367" s="110"/>
      <c r="F367" s="125" t="str">
        <f>IF(INDEX(Daten!$H$26:$H$429,MATCH(Steuerung_Eckwerte!B367,Daten!$C$26:$C$429,0))=0, " ", INDEX(Daten!$H$26:$H$429,MATCH(Steuerung_Eckwerte!B367,Daten!$C$26:$C$429,0)))</f>
        <v xml:space="preserve"> </v>
      </c>
    </row>
    <row r="368" spans="1:6" ht="15" customHeight="1">
      <c r="A368" s="105" t="s">
        <v>849</v>
      </c>
      <c r="B368" s="105" t="s">
        <v>359</v>
      </c>
      <c r="C368" s="106" t="str">
        <f t="shared" si="5"/>
        <v xml:space="preserve">JC Starnberg (Gebietsstand Dezember 2024)  </v>
      </c>
      <c r="D368" s="51"/>
      <c r="E368" s="110"/>
      <c r="F368" s="125" t="str">
        <f>IF(INDEX(Daten!$H$26:$H$429,MATCH(Steuerung_Eckwerte!B368,Daten!$C$26:$C$429,0))=0, " ", INDEX(Daten!$H$26:$H$429,MATCH(Steuerung_Eckwerte!B368,Daten!$C$26:$C$429,0)))</f>
        <v xml:space="preserve"> </v>
      </c>
    </row>
    <row r="369" spans="1:6" ht="15" customHeight="1">
      <c r="A369" s="105" t="s">
        <v>855</v>
      </c>
      <c r="B369" s="105" t="s">
        <v>377</v>
      </c>
      <c r="C369" s="106" t="str">
        <f t="shared" si="5"/>
        <v xml:space="preserve">JC Steglitz-Zehlendorf (Gebietsstand Dezember 2024)  </v>
      </c>
      <c r="D369" s="51"/>
      <c r="E369" s="110"/>
      <c r="F369" s="125" t="str">
        <f>IF(INDEX(Daten!$H$26:$H$429,MATCH(Steuerung_Eckwerte!B369,Daten!$C$26:$C$429,0))=0, " ", INDEX(Daten!$H$26:$H$429,MATCH(Steuerung_Eckwerte!B369,Daten!$C$26:$C$429,0)))</f>
        <v xml:space="preserve"> </v>
      </c>
    </row>
    <row r="370" spans="1:6" ht="15" customHeight="1">
      <c r="A370" s="105" t="s">
        <v>778</v>
      </c>
      <c r="B370" s="105" t="s">
        <v>65</v>
      </c>
      <c r="C370" s="106" t="str">
        <f t="shared" si="5"/>
        <v xml:space="preserve">JC Steinburg (Gebietsstand Dezember 2024)  </v>
      </c>
      <c r="D370" s="51"/>
      <c r="E370" s="110"/>
      <c r="F370" s="125" t="str">
        <f>IF(INDEX(Daten!$H$26:$H$429,MATCH(Steuerung_Eckwerte!B370,Daten!$C$26:$C$429,0))=0, " ", INDEX(Daten!$H$26:$H$429,MATCH(Steuerung_Eckwerte!B370,Daten!$C$26:$C$429,0)))</f>
        <v xml:space="preserve"> </v>
      </c>
    </row>
    <row r="371" spans="1:6" ht="15" customHeight="1">
      <c r="A371" s="105" t="s">
        <v>528</v>
      </c>
      <c r="B371" s="105" t="s">
        <v>168</v>
      </c>
      <c r="C371" s="106" t="str">
        <f t="shared" si="5"/>
        <v xml:space="preserve">JC Steinfurt (Gebietsstand Dezember 2024)  </v>
      </c>
      <c r="D371" s="51"/>
      <c r="E371" s="110"/>
      <c r="F371" s="125" t="str">
        <f>IF(INDEX(Daten!$H$26:$H$429,MATCH(Steuerung_Eckwerte!B371,Daten!$C$26:$C$429,0))=0, " ", INDEX(Daten!$H$26:$H$429,MATCH(Steuerung_Eckwerte!B371,Daten!$C$26:$C$429,0)))</f>
        <v xml:space="preserve"> </v>
      </c>
    </row>
    <row r="372" spans="1:6" ht="15" customHeight="1">
      <c r="A372" s="105" t="s">
        <v>420</v>
      </c>
      <c r="B372" s="105" t="s">
        <v>32</v>
      </c>
      <c r="C372" s="106" t="str">
        <f t="shared" si="5"/>
        <v xml:space="preserve">JC Stendal (Gebietsstand Dezember 2024)  </v>
      </c>
      <c r="D372" s="51"/>
      <c r="E372" s="110"/>
      <c r="F372" s="125" t="str">
        <f>IF(INDEX(Daten!$H$26:$H$429,MATCH(Steuerung_Eckwerte!B372,Daten!$C$26:$C$429,0))=0, " ", INDEX(Daten!$H$26:$H$429,MATCH(Steuerung_Eckwerte!B372,Daten!$C$26:$C$429,0)))</f>
        <v xml:space="preserve"> </v>
      </c>
    </row>
    <row r="373" spans="1:6" ht="15" customHeight="1">
      <c r="A373" s="105" t="s">
        <v>445</v>
      </c>
      <c r="B373" s="105" t="s">
        <v>62</v>
      </c>
      <c r="C373" s="106" t="str">
        <f t="shared" si="5"/>
        <v xml:space="preserve">JC Stormarn (Gebietsstand Dezember 2024)  </v>
      </c>
      <c r="D373" s="51"/>
      <c r="E373" s="110"/>
      <c r="F373" s="125" t="str">
        <f>IF(INDEX(Daten!$H$26:$H$429,MATCH(Steuerung_Eckwerte!B373,Daten!$C$26:$C$429,0))=0, " ", INDEX(Daten!$H$26:$H$429,MATCH(Steuerung_Eckwerte!B373,Daten!$C$26:$C$429,0)))</f>
        <v xml:space="preserve"> </v>
      </c>
    </row>
    <row r="374" spans="1:6" ht="15" customHeight="1">
      <c r="A374" s="105" t="s">
        <v>642</v>
      </c>
      <c r="B374" s="105" t="s">
        <v>333</v>
      </c>
      <c r="C374" s="106" t="str">
        <f t="shared" si="5"/>
        <v xml:space="preserve">JC Straubing-Bogen (Gebietsstand Dezember 2024)  </v>
      </c>
      <c r="D374" s="51"/>
      <c r="E374" s="110"/>
      <c r="F374" s="125" t="str">
        <f>IF(INDEX(Daten!$H$26:$H$429,MATCH(Steuerung_Eckwerte!B374,Daten!$C$26:$C$429,0))=0, " ", INDEX(Daten!$H$26:$H$429,MATCH(Steuerung_Eckwerte!B374,Daten!$C$26:$C$429,0)))</f>
        <v xml:space="preserve"> </v>
      </c>
    </row>
    <row r="375" spans="1:6" ht="15" customHeight="1">
      <c r="A375" s="105" t="s">
        <v>824</v>
      </c>
      <c r="B375" s="105" t="s">
        <v>275</v>
      </c>
      <c r="C375" s="106" t="str">
        <f t="shared" si="5"/>
        <v xml:space="preserve">JC Stuttgart, Landeshauptstadt (Gebietsstand Dezember 2024)  </v>
      </c>
      <c r="D375" s="51"/>
      <c r="E375" s="110"/>
      <c r="F375" s="125" t="str">
        <f>IF(INDEX(Daten!$H$26:$H$429,MATCH(Steuerung_Eckwerte!B375,Daten!$C$26:$C$429,0))=0, " ", INDEX(Daten!$H$26:$H$429,MATCH(Steuerung_Eckwerte!B375,Daten!$C$26:$C$429,0)))</f>
        <v xml:space="preserve"> </v>
      </c>
    </row>
    <row r="376" spans="1:6" ht="15" customHeight="1">
      <c r="A376" s="105" t="s">
        <v>808</v>
      </c>
      <c r="B376" s="105" t="s">
        <v>230</v>
      </c>
      <c r="C376" s="106" t="str">
        <f t="shared" si="5"/>
        <v xml:space="preserve">JC Südwestpfalz (Gebietsstand Dezember 2024)  </v>
      </c>
      <c r="D376" s="51"/>
      <c r="E376" s="110"/>
      <c r="F376" s="125" t="str">
        <f>IF(INDEX(Daten!$H$26:$H$429,MATCH(Steuerung_Eckwerte!B376,Daten!$C$26:$C$429,0))=0, " ", INDEX(Daten!$H$26:$H$429,MATCH(Steuerung_Eckwerte!B376,Daten!$C$26:$C$429,0)))</f>
        <v xml:space="preserve"> </v>
      </c>
    </row>
    <row r="377" spans="1:6" ht="15" customHeight="1">
      <c r="A377" s="105" t="s">
        <v>441</v>
      </c>
      <c r="B377" s="105" t="s">
        <v>57</v>
      </c>
      <c r="C377" s="106" t="str">
        <f t="shared" si="5"/>
        <v xml:space="preserve">JC Suhl, Stadt (Gebietsstand Dezember 2024)  </v>
      </c>
      <c r="D377" s="51"/>
      <c r="E377" s="110"/>
      <c r="F377" s="125" t="str">
        <f>IF(INDEX(Daten!$H$26:$H$429,MATCH(Steuerung_Eckwerte!B377,Daten!$C$26:$C$429,0))=0, " ", INDEX(Daten!$H$26:$H$429,MATCH(Steuerung_Eckwerte!B377,Daten!$C$26:$C$429,0)))</f>
        <v xml:space="preserve"> </v>
      </c>
    </row>
    <row r="378" spans="1:6" ht="15" customHeight="1">
      <c r="A378" s="105" t="s">
        <v>412</v>
      </c>
      <c r="B378" s="105" t="s">
        <v>22</v>
      </c>
      <c r="C378" s="106" t="str">
        <f t="shared" si="5"/>
        <v xml:space="preserve">JC Teltow-Fläming (Gebietsstand Dezember 2024)  </v>
      </c>
      <c r="D378" s="51"/>
      <c r="E378" s="110"/>
      <c r="F378" s="125" t="str">
        <f>IF(INDEX(Daten!$H$26:$H$429,MATCH(Steuerung_Eckwerte!B378,Daten!$C$26:$C$429,0))=0, " ", INDEX(Daten!$H$26:$H$429,MATCH(Steuerung_Eckwerte!B378,Daten!$C$26:$C$429,0)))</f>
        <v xml:space="preserve"> </v>
      </c>
    </row>
    <row r="379" spans="1:6" ht="15" customHeight="1">
      <c r="A379" s="105" t="s">
        <v>856</v>
      </c>
      <c r="B379" s="105" t="s">
        <v>378</v>
      </c>
      <c r="C379" s="106" t="str">
        <f t="shared" si="5"/>
        <v xml:space="preserve">JC Tempelhof-Schöneberg (Gebietsstand Dezember 2024)  </v>
      </c>
      <c r="D379" s="51"/>
      <c r="E379" s="110"/>
      <c r="F379" s="125" t="str">
        <f>IF(INDEX(Daten!$H$26:$H$429,MATCH(Steuerung_Eckwerte!B379,Daten!$C$26:$C$429,0))=0, " ", INDEX(Daten!$H$26:$H$429,MATCH(Steuerung_Eckwerte!B379,Daten!$C$26:$C$429,0)))</f>
        <v xml:space="preserve"> </v>
      </c>
    </row>
    <row r="380" spans="1:6" ht="15" customHeight="1">
      <c r="A380" s="105" t="s">
        <v>632</v>
      </c>
      <c r="B380" s="105" t="s">
        <v>321</v>
      </c>
      <c r="C380" s="106" t="str">
        <f t="shared" si="5"/>
        <v xml:space="preserve">JC Tirschenreuth (Gebietsstand Dezember 2024)  </v>
      </c>
      <c r="D380" s="51"/>
      <c r="E380" s="110"/>
      <c r="F380" s="125" t="str">
        <f>IF(INDEX(Daten!$H$26:$H$429,MATCH(Steuerung_Eckwerte!B380,Daten!$C$26:$C$429,0))=0, " ", INDEX(Daten!$H$26:$H$429,MATCH(Steuerung_Eckwerte!B380,Daten!$C$26:$C$429,0)))</f>
        <v xml:space="preserve"> </v>
      </c>
    </row>
    <row r="381" spans="1:6" ht="15" customHeight="1">
      <c r="A381" s="105" t="s">
        <v>665</v>
      </c>
      <c r="B381" s="105" t="s">
        <v>371</v>
      </c>
      <c r="C381" s="106" t="str">
        <f t="shared" si="5"/>
        <v xml:space="preserve">JC Traunstein (Gebietsstand Dezember 2024)  </v>
      </c>
      <c r="D381" s="51"/>
      <c r="E381" s="110"/>
      <c r="F381" s="125" t="str">
        <f>IF(INDEX(Daten!$H$26:$H$429,MATCH(Steuerung_Eckwerte!B381,Daten!$C$26:$C$429,0))=0, " ", INDEX(Daten!$H$26:$H$429,MATCH(Steuerung_Eckwerte!B381,Daten!$C$26:$C$429,0)))</f>
        <v xml:space="preserve"> </v>
      </c>
    </row>
    <row r="382" spans="1:6" ht="15" customHeight="1">
      <c r="A382" s="105" t="s">
        <v>670</v>
      </c>
      <c r="B382" s="105" t="s">
        <v>376</v>
      </c>
      <c r="C382" s="106" t="str">
        <f t="shared" si="5"/>
        <v xml:space="preserve">JC Treptow-Köpenick (Gebietsstand Dezember 2024)  </v>
      </c>
      <c r="D382" s="51"/>
      <c r="E382" s="110"/>
      <c r="F382" s="125" t="str">
        <f>IF(INDEX(Daten!$H$26:$H$429,MATCH(Steuerung_Eckwerte!B382,Daten!$C$26:$C$429,0))=0, " ", INDEX(Daten!$H$26:$H$429,MATCH(Steuerung_Eckwerte!B382,Daten!$C$26:$C$429,0)))</f>
        <v xml:space="preserve"> </v>
      </c>
    </row>
    <row r="383" spans="1:6" ht="15" customHeight="1">
      <c r="A383" s="105" t="s">
        <v>572</v>
      </c>
      <c r="B383" s="105" t="s">
        <v>235</v>
      </c>
      <c r="C383" s="106" t="str">
        <f t="shared" si="5"/>
        <v xml:space="preserve">JC Trier, Stadt (Gebietsstand Dezember 2024)  </v>
      </c>
      <c r="D383" s="51"/>
      <c r="E383" s="110"/>
      <c r="F383" s="125" t="str">
        <f>IF(INDEX(Daten!$H$26:$H$429,MATCH(Steuerung_Eckwerte!B383,Daten!$C$26:$C$429,0))=0, " ", INDEX(Daten!$H$26:$H$429,MATCH(Steuerung_Eckwerte!B383,Daten!$C$26:$C$429,0)))</f>
        <v xml:space="preserve"> </v>
      </c>
    </row>
    <row r="384" spans="1:6" ht="15" customHeight="1">
      <c r="A384" s="105" t="s">
        <v>573</v>
      </c>
      <c r="B384" s="105" t="s">
        <v>236</v>
      </c>
      <c r="C384" s="106" t="str">
        <f t="shared" si="5"/>
        <v xml:space="preserve">JC Trier-Saarburg (Gebietsstand Dezember 2024)  </v>
      </c>
      <c r="D384" s="51"/>
      <c r="E384" s="110"/>
      <c r="F384" s="125" t="str">
        <f>IF(INDEX(Daten!$H$26:$H$429,MATCH(Steuerung_Eckwerte!B384,Daten!$C$26:$C$429,0))=0, " ", INDEX(Daten!$H$26:$H$429,MATCH(Steuerung_Eckwerte!B384,Daten!$C$26:$C$429,0)))</f>
        <v xml:space="preserve"> </v>
      </c>
    </row>
    <row r="385" spans="1:6" ht="15" customHeight="1">
      <c r="A385" s="105" t="s">
        <v>597</v>
      </c>
      <c r="B385" s="105" t="s">
        <v>269</v>
      </c>
      <c r="C385" s="106" t="str">
        <f t="shared" si="5"/>
        <v xml:space="preserve">JC Tübingen (Gebietsstand Dezember 2024)  </v>
      </c>
      <c r="D385" s="51"/>
      <c r="E385" s="110"/>
      <c r="F385" s="125" t="str">
        <f>IF(INDEX(Daten!$H$26:$H$429,MATCH(Steuerung_Eckwerte!B385,Daten!$C$26:$C$429,0))=0, " ", INDEX(Daten!$H$26:$H$429,MATCH(Steuerung_Eckwerte!B385,Daten!$C$26:$C$429,0)))</f>
        <v xml:space="preserve"> </v>
      </c>
    </row>
    <row r="386" spans="1:6" ht="15" customHeight="1">
      <c r="A386" s="105" t="s">
        <v>826</v>
      </c>
      <c r="B386" s="105" t="s">
        <v>271</v>
      </c>
      <c r="C386" s="106" t="str">
        <f t="shared" si="5"/>
        <v xml:space="preserve">JC Tuttlingen (Gebietsstand Dezember 2024)  </v>
      </c>
      <c r="D386" s="51"/>
      <c r="E386" s="110"/>
      <c r="F386" s="125" t="str">
        <f>IF(INDEX(Daten!$H$26:$H$429,MATCH(Steuerung_Eckwerte!B386,Daten!$C$26:$C$429,0))=0, " ", INDEX(Daten!$H$26:$H$429,MATCH(Steuerung_Eckwerte!B386,Daten!$C$26:$C$429,0)))</f>
        <v xml:space="preserve"> </v>
      </c>
    </row>
    <row r="387" spans="1:6" ht="15" customHeight="1">
      <c r="A387" s="105" t="s">
        <v>403</v>
      </c>
      <c r="B387" s="105" t="s">
        <v>12</v>
      </c>
      <c r="C387" s="106" t="str">
        <f t="shared" si="5"/>
        <v xml:space="preserve">JC Uckermark (Gebietsstand Dezember 2024)  </v>
      </c>
      <c r="D387" s="51"/>
      <c r="E387" s="110"/>
      <c r="F387" s="125" t="str">
        <f>IF(INDEX(Daten!$H$26:$H$429,MATCH(Steuerung_Eckwerte!B387,Daten!$C$26:$C$429,0))=0, " ", INDEX(Daten!$H$26:$H$429,MATCH(Steuerung_Eckwerte!B387,Daten!$C$26:$C$429,0)))</f>
        <v xml:space="preserve"> </v>
      </c>
    </row>
    <row r="388" spans="1:6" ht="15" customHeight="1">
      <c r="A388" s="105" t="s">
        <v>786</v>
      </c>
      <c r="B388" s="105" t="s">
        <v>117</v>
      </c>
      <c r="C388" s="106" t="str">
        <f t="shared" si="5"/>
        <v xml:space="preserve">JC Uelzen (Gebietsstand Dezember 2024)  </v>
      </c>
      <c r="D388" s="51"/>
      <c r="E388" s="110"/>
      <c r="F388" s="125" t="str">
        <f>IF(INDEX(Daten!$H$26:$H$429,MATCH(Steuerung_Eckwerte!B388,Daten!$C$26:$C$429,0))=0, " ", INDEX(Daten!$H$26:$H$429,MATCH(Steuerung_Eckwerte!B388,Daten!$C$26:$C$429,0)))</f>
        <v xml:space="preserve"> </v>
      </c>
    </row>
    <row r="389" spans="1:6" ht="15" customHeight="1">
      <c r="A389" s="105" t="s">
        <v>602</v>
      </c>
      <c r="B389" s="105" t="s">
        <v>279</v>
      </c>
      <c r="C389" s="106" t="str">
        <f t="shared" si="5"/>
        <v xml:space="preserve">JC Ulm, Universitätsstadt (Gebietsstand Dezember 2024)  </v>
      </c>
      <c r="D389" s="51"/>
      <c r="E389" s="110"/>
      <c r="F389" s="125" t="str">
        <f>IF(INDEX(Daten!$H$26:$H$429,MATCH(Steuerung_Eckwerte!B389,Daten!$C$26:$C$429,0))=0, " ", INDEX(Daten!$H$26:$H$429,MATCH(Steuerung_Eckwerte!B389,Daten!$C$26:$C$429,0)))</f>
        <v xml:space="preserve"> </v>
      </c>
    </row>
    <row r="390" spans="1:6" ht="15" customHeight="1">
      <c r="A390" s="105" t="s">
        <v>515</v>
      </c>
      <c r="B390" s="105" t="s">
        <v>152</v>
      </c>
      <c r="C390" s="106" t="str">
        <f t="shared" si="5"/>
        <v xml:space="preserve">JC Unna (Gebietsstand Dezember 2024)  </v>
      </c>
      <c r="D390" s="51"/>
      <c r="E390" s="110"/>
      <c r="F390" s="125" t="str">
        <f>IF(INDEX(Daten!$H$26:$H$429,MATCH(Steuerung_Eckwerte!B390,Daten!$C$26:$C$429,0))=0, " ", INDEX(Daten!$H$26:$H$429,MATCH(Steuerung_Eckwerte!B390,Daten!$C$26:$C$429,0)))</f>
        <v xml:space="preserve"> </v>
      </c>
    </row>
    <row r="391" spans="1:6" ht="15" customHeight="1">
      <c r="A391" s="290" t="s">
        <v>1037</v>
      </c>
      <c r="B391" s="105" t="s">
        <v>50</v>
      </c>
      <c r="C391" s="106" t="str">
        <f t="shared" si="5"/>
        <v>JC Unstrut-Hainich-Kreis (Gebietsstand Dezember 2024) ⁵</v>
      </c>
      <c r="D391" s="51"/>
      <c r="E391" s="110"/>
      <c r="F391" s="125" t="str">
        <f>IF(INDEX(Daten!$H$26:$H$429,MATCH(Steuerung_Eckwerte!B391,Daten!$C$26:$C$429,0))=0, " ", INDEX(Daten!$H$26:$H$429,MATCH(Steuerung_Eckwerte!B391,Daten!$C$26:$C$429,0)))</f>
        <v>⁵</v>
      </c>
    </row>
    <row r="392" spans="1:6" ht="15" customHeight="1">
      <c r="A392" s="105" t="s">
        <v>841</v>
      </c>
      <c r="B392" s="105" t="s">
        <v>353</v>
      </c>
      <c r="C392" s="106" t="str">
        <f t="shared" si="5"/>
        <v xml:space="preserve">JC Unterallgäu (Gebietsstand Dezember 2024)  </v>
      </c>
      <c r="D392" s="51"/>
      <c r="E392" s="110"/>
      <c r="F392" s="125" t="str">
        <f>IF(INDEX(Daten!$H$26:$H$429,MATCH(Steuerung_Eckwerte!B392,Daten!$C$26:$C$429,0))=0, " ", INDEX(Daten!$H$26:$H$429,MATCH(Steuerung_Eckwerte!B392,Daten!$C$26:$C$429,0)))</f>
        <v xml:space="preserve"> </v>
      </c>
    </row>
    <row r="393" spans="1:6" ht="15" customHeight="1">
      <c r="A393" s="105" t="s">
        <v>489</v>
      </c>
      <c r="B393" s="105" t="s">
        <v>118</v>
      </c>
      <c r="C393" s="106" t="str">
        <f t="shared" si="5"/>
        <v xml:space="preserve">JC Vechta (Gebietsstand Dezember 2024)  </v>
      </c>
      <c r="D393" s="51"/>
      <c r="E393" s="110"/>
      <c r="F393" s="125" t="str">
        <f>IF(INDEX(Daten!$H$26:$H$429,MATCH(Steuerung_Eckwerte!B393,Daten!$C$26:$C$429,0))=0, " ", INDEX(Daten!$H$26:$H$429,MATCH(Steuerung_Eckwerte!B393,Daten!$C$26:$C$429,0)))</f>
        <v xml:space="preserve"> </v>
      </c>
    </row>
    <row r="394" spans="1:6" ht="15" customHeight="1">
      <c r="A394" s="105" t="s">
        <v>491</v>
      </c>
      <c r="B394" s="105" t="s">
        <v>120</v>
      </c>
      <c r="C394" s="106" t="str">
        <f t="shared" si="5"/>
        <v xml:space="preserve">JC Verden (Gebietsstand Dezember 2024)  </v>
      </c>
      <c r="D394" s="51"/>
      <c r="E394" s="110"/>
      <c r="F394" s="125" t="str">
        <f>IF(INDEX(Daten!$H$26:$H$429,MATCH(Steuerung_Eckwerte!B394,Daten!$C$26:$C$429,0))=0, " ", INDEX(Daten!$H$26:$H$429,MATCH(Steuerung_Eckwerte!B394,Daten!$C$26:$C$429,0)))</f>
        <v xml:space="preserve"> </v>
      </c>
    </row>
    <row r="395" spans="1:6" ht="15" customHeight="1">
      <c r="A395" s="105" t="s">
        <v>521</v>
      </c>
      <c r="B395" s="105" t="s">
        <v>158</v>
      </c>
      <c r="C395" s="106" t="str">
        <f t="shared" si="5"/>
        <v xml:space="preserve">JC Viersen (Gebietsstand Dezember 2024)  </v>
      </c>
      <c r="D395" s="51"/>
      <c r="E395" s="110"/>
      <c r="F395" s="125" t="str">
        <f>IF(INDEX(Daten!$H$26:$H$429,MATCH(Steuerung_Eckwerte!B395,Daten!$C$26:$C$429,0))=0, " ", INDEX(Daten!$H$26:$H$429,MATCH(Steuerung_Eckwerte!B395,Daten!$C$26:$C$429,0)))</f>
        <v xml:space="preserve"> </v>
      </c>
    </row>
    <row r="396" spans="1:6" ht="15" customHeight="1">
      <c r="A396" s="105" t="s">
        <v>541</v>
      </c>
      <c r="B396" s="105" t="s">
        <v>190</v>
      </c>
      <c r="C396" s="106" t="str">
        <f t="shared" si="5"/>
        <v xml:space="preserve">JC Vogelsbergkreis (Gebietsstand Dezember 2024)  </v>
      </c>
      <c r="D396" s="51"/>
      <c r="E396" s="110"/>
      <c r="F396" s="125" t="str">
        <f>IF(INDEX(Daten!$H$26:$H$429,MATCH(Steuerung_Eckwerte!B396,Daten!$C$26:$C$429,0))=0, " ", INDEX(Daten!$H$26:$H$429,MATCH(Steuerung_Eckwerte!B396,Daten!$C$26:$C$429,0)))</f>
        <v xml:space="preserve"> </v>
      </c>
    </row>
    <row r="397" spans="1:6" ht="15" customHeight="1">
      <c r="A397" s="105" t="s">
        <v>429</v>
      </c>
      <c r="B397" s="105" t="s">
        <v>41</v>
      </c>
      <c r="C397" s="106" t="str">
        <f>CONCATENATE(B397, " ", $D$3, " ", F397)</f>
        <v xml:space="preserve">JC Vogtlandkreis (Gebietsstand Dezember 2024)  </v>
      </c>
      <c r="D397" s="51"/>
      <c r="E397" s="110"/>
      <c r="F397" s="125" t="str">
        <f>IF(INDEX(Daten!$H$26:$H$429,MATCH(Steuerung_Eckwerte!B397,Daten!$C$26:$C$429,0))=0, " ", INDEX(Daten!$H$26:$H$429,MATCH(Steuerung_Eckwerte!B397,Daten!$C$26:$C$429,0)))</f>
        <v xml:space="preserve"> </v>
      </c>
    </row>
    <row r="398" spans="1:6" ht="15" customHeight="1">
      <c r="A398" s="105" t="s">
        <v>559</v>
      </c>
      <c r="B398" s="105" t="s">
        <v>211</v>
      </c>
      <c r="C398" s="106" t="str">
        <f t="shared" si="5"/>
        <v xml:space="preserve">JC Vorderpfalz-Ludwigshafen (Gebietsstand Dezember 2024)  </v>
      </c>
      <c r="D398" s="51"/>
      <c r="E398" s="110"/>
      <c r="F398" s="125" t="str">
        <f>IF(INDEX(Daten!$H$26:$H$429,MATCH(Steuerung_Eckwerte!B398,Daten!$C$26:$C$429,0))=0, " ", INDEX(Daten!$H$26:$H$429,MATCH(Steuerung_Eckwerte!B398,Daten!$C$26:$C$429,0)))</f>
        <v xml:space="preserve"> </v>
      </c>
    </row>
    <row r="399" spans="1:6" ht="15" customHeight="1">
      <c r="A399" s="105" t="s">
        <v>903</v>
      </c>
      <c r="B399" s="105" t="s">
        <v>1199</v>
      </c>
      <c r="C399" s="106" t="str">
        <f t="shared" si="5"/>
        <v xml:space="preserve">JC Vorpommern-Greifswald (Gebietsstand Dezember 2024)  </v>
      </c>
      <c r="D399" s="51"/>
      <c r="E399" s="110"/>
      <c r="F399" s="125" t="str">
        <f>IF(INDEX(Daten!$H$26:$H$429,MATCH(Steuerung_Eckwerte!B399,Daten!$C$26:$C$429,0))=0, " ", INDEX(Daten!$H$26:$H$429,MATCH(Steuerung_Eckwerte!B399,Daten!$C$26:$C$429,0)))</f>
        <v xml:space="preserve"> </v>
      </c>
    </row>
    <row r="400" spans="1:6" ht="15" customHeight="1">
      <c r="A400" s="105" t="s">
        <v>862</v>
      </c>
      <c r="B400" s="105" t="s">
        <v>888</v>
      </c>
      <c r="C400" s="106" t="str">
        <f t="shared" si="5"/>
        <v xml:space="preserve">JC Vorpommern-Rügen (Gebietsstand Dezember 2024)  </v>
      </c>
      <c r="D400" s="51"/>
      <c r="E400" s="110"/>
      <c r="F400" s="125" t="str">
        <f>IF(INDEX(Daten!$H$26:$H$429,MATCH(Steuerung_Eckwerte!B400,Daten!$C$26:$C$429,0))=0, " ", INDEX(Daten!$H$26:$H$429,MATCH(Steuerung_Eckwerte!B400,Daten!$C$26:$C$429,0)))</f>
        <v xml:space="preserve"> </v>
      </c>
    </row>
    <row r="401" spans="1:6" ht="15" customHeight="1">
      <c r="A401" s="105" t="s">
        <v>574</v>
      </c>
      <c r="B401" s="105" t="s">
        <v>237</v>
      </c>
      <c r="C401" s="106" t="str">
        <f t="shared" si="5"/>
        <v xml:space="preserve">JC Vulkaneifel (Gebietsstand Dezember 2024)  </v>
      </c>
      <c r="D401" s="51"/>
      <c r="E401" s="110"/>
      <c r="F401" s="125" t="str">
        <f>IF(INDEX(Daten!$H$26:$H$429,MATCH(Steuerung_Eckwerte!B401,Daten!$C$26:$C$429,0))=0, " ", INDEX(Daten!$H$26:$H$429,MATCH(Steuerung_Eckwerte!B401,Daten!$C$26:$C$429,0)))</f>
        <v xml:space="preserve"> </v>
      </c>
    </row>
    <row r="402" spans="1:6" ht="15" customHeight="1">
      <c r="A402" s="105" t="s">
        <v>546</v>
      </c>
      <c r="B402" s="105" t="s">
        <v>195</v>
      </c>
      <c r="C402" s="106" t="str">
        <f t="shared" si="5"/>
        <v xml:space="preserve">JC Waldeck-Frankenberg (Gebietsstand Dezember 2024)  </v>
      </c>
      <c r="D402" s="51"/>
      <c r="E402" s="110"/>
      <c r="F402" s="125" t="str">
        <f>IF(INDEX(Daten!$H$26:$H$429,MATCH(Steuerung_Eckwerte!B402,Daten!$C$26:$C$429,0))=0, " ", INDEX(Daten!$H$26:$H$429,MATCH(Steuerung_Eckwerte!B402,Daten!$C$26:$C$429,0)))</f>
        <v xml:space="preserve"> </v>
      </c>
    </row>
    <row r="403" spans="1:6" ht="15" customHeight="1">
      <c r="A403" s="105" t="s">
        <v>591</v>
      </c>
      <c r="B403" s="105" t="s">
        <v>255</v>
      </c>
      <c r="C403" s="106" t="str">
        <f t="shared" si="5"/>
        <v xml:space="preserve">JC Waldshut (Gebietsstand Dezember 2024)  </v>
      </c>
      <c r="D403" s="51"/>
      <c r="E403" s="110"/>
      <c r="F403" s="125" t="str">
        <f>IF(INDEX(Daten!$H$26:$H$429,MATCH(Steuerung_Eckwerte!B403,Daten!$C$26:$C$429,0))=0, " ", INDEX(Daten!$H$26:$H$429,MATCH(Steuerung_Eckwerte!B403,Daten!$C$26:$C$429,0)))</f>
        <v xml:space="preserve"> </v>
      </c>
    </row>
    <row r="404" spans="1:6" ht="15" customHeight="1">
      <c r="A404" s="105" t="s">
        <v>796</v>
      </c>
      <c r="B404" s="105" t="s">
        <v>126</v>
      </c>
      <c r="C404" s="106" t="str">
        <f t="shared" si="5"/>
        <v xml:space="preserve">JC Warendorf (Gebietsstand Dezember 2024)  </v>
      </c>
      <c r="D404" s="51"/>
      <c r="E404" s="110"/>
      <c r="F404" s="125" t="str">
        <f>IF(INDEX(Daten!$H$26:$H$429,MATCH(Steuerung_Eckwerte!B404,Daten!$C$26:$C$429,0))=0, " ", INDEX(Daten!$H$26:$H$429,MATCH(Steuerung_Eckwerte!B404,Daten!$C$26:$C$429,0)))</f>
        <v xml:space="preserve"> </v>
      </c>
    </row>
    <row r="405" spans="1:6" ht="15" customHeight="1">
      <c r="A405" s="105" t="s">
        <v>444</v>
      </c>
      <c r="B405" s="105" t="s">
        <v>60</v>
      </c>
      <c r="C405" s="106" t="str">
        <f>CONCATENATE(B405, " ", $D$3, " ", F405)</f>
        <v>JC Wartburgkreis (Gebietsstand Dezember 2024) ⁵</v>
      </c>
      <c r="D405" s="51"/>
      <c r="E405" s="110"/>
      <c r="F405" s="125" t="str">
        <f>IF(INDEX(Daten!$H$26:$H$429,MATCH(Steuerung_Eckwerte!B405,Daten!$C$26:$C$429,0))=0, " ", INDEX(Daten!$H$26:$H$429,MATCH(Steuerung_Eckwerte!B405,Daten!$C$26:$C$429,0)))</f>
        <v>⁵</v>
      </c>
    </row>
    <row r="406" spans="1:6" ht="15" customHeight="1">
      <c r="A406" s="105" t="s">
        <v>668</v>
      </c>
      <c r="B406" s="105" t="s">
        <v>374</v>
      </c>
      <c r="C406" s="106" t="str">
        <f t="shared" ref="C406:C428" si="6">CONCATENATE(B406, " ", $D$3, " ", F406)</f>
        <v xml:space="preserve">JC Weilheim-Schongau (Gebietsstand Dezember 2024)  </v>
      </c>
      <c r="D406" s="51"/>
      <c r="E406" s="110"/>
      <c r="F406" s="125" t="str">
        <f>IF(INDEX(Daten!$H$26:$H$429,MATCH(Steuerung_Eckwerte!B406,Daten!$C$26:$C$429,0))=0, " ", INDEX(Daten!$H$26:$H$429,MATCH(Steuerung_Eckwerte!B406,Daten!$C$26:$C$429,0)))</f>
        <v xml:space="preserve"> </v>
      </c>
    </row>
    <row r="407" spans="1:6" ht="15" customHeight="1">
      <c r="A407" s="105" t="s">
        <v>765</v>
      </c>
      <c r="B407" s="105" t="s">
        <v>766</v>
      </c>
      <c r="C407" s="106" t="str">
        <f t="shared" si="6"/>
        <v xml:space="preserve">JC Weimar, Stadt (Gebietsstand Dezember 2024)  </v>
      </c>
      <c r="D407" s="51"/>
      <c r="E407" s="110"/>
      <c r="F407" s="125" t="str">
        <f>IF(INDEX(Daten!$H$26:$H$429,MATCH(Steuerung_Eckwerte!B407,Daten!$C$26:$C$429,0))=0, " ", INDEX(Daten!$H$26:$H$429,MATCH(Steuerung_Eckwerte!B407,Daten!$C$26:$C$429,0)))</f>
        <v xml:space="preserve"> </v>
      </c>
    </row>
    <row r="408" spans="1:6" ht="15" customHeight="1">
      <c r="A408" s="105" t="s">
        <v>435</v>
      </c>
      <c r="B408" s="105" t="s">
        <v>767</v>
      </c>
      <c r="C408" s="106" t="str">
        <f t="shared" si="6"/>
        <v xml:space="preserve">JC Weimarer Land (Gebietsstand Dezember 2024)  </v>
      </c>
      <c r="D408" s="51"/>
      <c r="E408" s="110"/>
      <c r="F408" s="125" t="str">
        <f>IF(INDEX(Daten!$H$26:$H$429,MATCH(Steuerung_Eckwerte!B408,Daten!$C$26:$C$429,0))=0, " ", INDEX(Daten!$H$26:$H$429,MATCH(Steuerung_Eckwerte!B408,Daten!$C$26:$C$429,0)))</f>
        <v xml:space="preserve"> </v>
      </c>
    </row>
    <row r="409" spans="1:6" ht="15" customHeight="1">
      <c r="A409" s="105" t="s">
        <v>896</v>
      </c>
      <c r="B409" s="105" t="s">
        <v>322</v>
      </c>
      <c r="C409" s="106" t="str">
        <f t="shared" si="6"/>
        <v xml:space="preserve">JC Weißenburg-Gunzenhausen (Gebietsstand Dezember 2024)  </v>
      </c>
      <c r="D409" s="51"/>
      <c r="E409" s="110"/>
      <c r="F409" s="125" t="str">
        <f>IF(INDEX(Daten!$H$26:$H$429,MATCH(Steuerung_Eckwerte!B409,Daten!$C$26:$C$429,0))=0, " ", INDEX(Daten!$H$26:$H$429,MATCH(Steuerung_Eckwerte!B409,Daten!$C$26:$C$429,0)))</f>
        <v xml:space="preserve"> </v>
      </c>
    </row>
    <row r="410" spans="1:6" ht="15" customHeight="1">
      <c r="A410" s="105" t="s">
        <v>802</v>
      </c>
      <c r="B410" s="105" t="s">
        <v>178</v>
      </c>
      <c r="C410" s="106" t="str">
        <f t="shared" si="6"/>
        <v xml:space="preserve">JC Werra-Meißner-Kreis (Gebietsstand Dezember 2024)  </v>
      </c>
      <c r="D410" s="51"/>
      <c r="E410" s="110"/>
      <c r="F410" s="125" t="str">
        <f>IF(INDEX(Daten!$H$26:$H$429,MATCH(Steuerung_Eckwerte!B410,Daten!$C$26:$C$429,0))=0, " ", INDEX(Daten!$H$26:$H$429,MATCH(Steuerung_Eckwerte!B410,Daten!$C$26:$C$429,0)))</f>
        <v xml:space="preserve"> </v>
      </c>
    </row>
    <row r="411" spans="1:6" ht="15" customHeight="1">
      <c r="A411" s="105" t="s">
        <v>532</v>
      </c>
      <c r="B411" s="105" t="s">
        <v>174</v>
      </c>
      <c r="C411" s="106" t="str">
        <f t="shared" si="6"/>
        <v xml:space="preserve">JC Wesel (Gebietsstand Dezember 2024)  </v>
      </c>
      <c r="D411" s="51"/>
      <c r="E411" s="110"/>
      <c r="F411" s="125" t="str">
        <f>IF(INDEX(Daten!$H$26:$H$429,MATCH(Steuerung_Eckwerte!B411,Daten!$C$26:$C$429,0))=0, " ", INDEX(Daten!$H$26:$H$429,MATCH(Steuerung_Eckwerte!B411,Daten!$C$26:$C$429,0)))</f>
        <v xml:space="preserve"> </v>
      </c>
    </row>
    <row r="412" spans="1:6" ht="15" customHeight="1">
      <c r="A412" s="105" t="s">
        <v>481</v>
      </c>
      <c r="B412" s="105" t="s">
        <v>108</v>
      </c>
      <c r="C412" s="106" t="str">
        <f t="shared" si="6"/>
        <v xml:space="preserve">JC Wesermarsch (Gebietsstand Dezember 2024)  </v>
      </c>
      <c r="D412" s="51"/>
      <c r="E412" s="110"/>
      <c r="F412" s="125" t="str">
        <f>IF(INDEX(Daten!$H$26:$H$429,MATCH(Steuerung_Eckwerte!B412,Daten!$C$26:$C$429,0))=0, " ", INDEX(Daten!$H$26:$H$429,MATCH(Steuerung_Eckwerte!B412,Daten!$C$26:$C$429,0)))</f>
        <v xml:space="preserve"> </v>
      </c>
    </row>
    <row r="413" spans="1:6" ht="15" customHeight="1">
      <c r="A413" s="105" t="s">
        <v>564</v>
      </c>
      <c r="B413" s="105" t="s">
        <v>220</v>
      </c>
      <c r="C413" s="106" t="str">
        <f t="shared" si="6"/>
        <v xml:space="preserve">JC Westerwaldkreis (Gebietsstand Dezember 2024)  </v>
      </c>
      <c r="D413" s="51"/>
      <c r="E413" s="110"/>
      <c r="F413" s="125" t="str">
        <f>IF(INDEX(Daten!$H$26:$H$429,MATCH(Steuerung_Eckwerte!B413,Daten!$C$26:$C$429,0))=0, " ", INDEX(Daten!$H$26:$H$429,MATCH(Steuerung_Eckwerte!B413,Daten!$C$26:$C$429,0)))</f>
        <v xml:space="preserve"> </v>
      </c>
    </row>
    <row r="414" spans="1:6" ht="15" customHeight="1">
      <c r="A414" s="105" t="s">
        <v>542</v>
      </c>
      <c r="B414" s="105" t="s">
        <v>191</v>
      </c>
      <c r="C414" s="106" t="str">
        <f t="shared" si="6"/>
        <v xml:space="preserve">JC Wetteraukreis (Gebietsstand Dezember 2024)  </v>
      </c>
      <c r="D414" s="51"/>
      <c r="E414" s="110"/>
      <c r="F414" s="125" t="str">
        <f>IF(INDEX(Daten!$H$26:$H$429,MATCH(Steuerung_Eckwerte!B414,Daten!$C$26:$C$429,0))=0, " ", INDEX(Daten!$H$26:$H$429,MATCH(Steuerung_Eckwerte!B414,Daten!$C$26:$C$429,0)))</f>
        <v xml:space="preserve"> </v>
      </c>
    </row>
    <row r="415" spans="1:6" ht="15" customHeight="1">
      <c r="A415" s="105" t="s">
        <v>549</v>
      </c>
      <c r="B415" s="105" t="s">
        <v>200</v>
      </c>
      <c r="C415" s="106" t="str">
        <f t="shared" si="6"/>
        <v xml:space="preserve">JC Wiesbaden, Landeshauptstadt (Gebietsstand Dezember 2024)  </v>
      </c>
      <c r="D415" s="51"/>
      <c r="E415" s="110"/>
      <c r="F415" s="125" t="str">
        <f>IF(INDEX(Daten!$H$26:$H$429,MATCH(Steuerung_Eckwerte!B415,Daten!$C$26:$C$429,0))=0, " ", INDEX(Daten!$H$26:$H$429,MATCH(Steuerung_Eckwerte!B415,Daten!$C$26:$C$429,0)))</f>
        <v xml:space="preserve"> </v>
      </c>
    </row>
    <row r="416" spans="1:6" ht="15" customHeight="1">
      <c r="A416" s="105" t="s">
        <v>788</v>
      </c>
      <c r="B416" s="105" t="s">
        <v>122</v>
      </c>
      <c r="C416" s="106" t="str">
        <f t="shared" si="6"/>
        <v xml:space="preserve">JC Wilhelmshaven, Stadt (Gebietsstand Dezember 2024)  </v>
      </c>
      <c r="D416" s="51"/>
      <c r="E416" s="110"/>
      <c r="F416" s="125" t="str">
        <f>IF(INDEX(Daten!$H$26:$H$429,MATCH(Steuerung_Eckwerte!B416,Daten!$C$26:$C$429,0))=0, " ", INDEX(Daten!$H$26:$H$429,MATCH(Steuerung_Eckwerte!B416,Daten!$C$26:$C$429,0)))</f>
        <v xml:space="preserve"> </v>
      </c>
    </row>
    <row r="417" spans="1:6" ht="15" customHeight="1">
      <c r="A417" s="105" t="s">
        <v>864</v>
      </c>
      <c r="B417" s="105" t="s">
        <v>34</v>
      </c>
      <c r="C417" s="106" t="str">
        <f t="shared" si="6"/>
        <v xml:space="preserve">JC Wittenberg (Gebietsstand Dezember 2024)  </v>
      </c>
      <c r="D417" s="51"/>
      <c r="E417" s="110"/>
      <c r="F417" s="125" t="str">
        <f>IF(INDEX(Daten!$H$26:$H$429,MATCH(Steuerung_Eckwerte!B417,Daten!$C$26:$C$429,0))=0, " ", INDEX(Daten!$H$26:$H$429,MATCH(Steuerung_Eckwerte!B417,Daten!$C$26:$C$429,0)))</f>
        <v xml:space="preserve"> </v>
      </c>
    </row>
    <row r="418" spans="1:6" ht="15" customHeight="1">
      <c r="A418" s="105" t="s">
        <v>781</v>
      </c>
      <c r="B418" s="105" t="s">
        <v>88</v>
      </c>
      <c r="C418" s="106" t="str">
        <f t="shared" si="6"/>
        <v xml:space="preserve">JC Wittmund (Gebietsstand Dezember 2024)  </v>
      </c>
      <c r="D418" s="51"/>
      <c r="E418" s="110"/>
      <c r="F418" s="125" t="str">
        <f>IF(INDEX(Daten!$H$26:$H$429,MATCH(Steuerung_Eckwerte!B418,Daten!$C$26:$C$429,0))=0, " ", INDEX(Daten!$H$26:$H$429,MATCH(Steuerung_Eckwerte!B418,Daten!$C$26:$C$429,0)))</f>
        <v xml:space="preserve"> </v>
      </c>
    </row>
    <row r="419" spans="1:6" ht="15" customHeight="1">
      <c r="A419" s="105" t="s">
        <v>461</v>
      </c>
      <c r="B419" s="105" t="s">
        <v>80</v>
      </c>
      <c r="C419" s="106" t="str">
        <f t="shared" si="6"/>
        <v xml:space="preserve">JC Wolfenbüttel (Gebietsstand Dezember 2024)  </v>
      </c>
      <c r="D419" s="51"/>
      <c r="E419" s="110"/>
      <c r="F419" s="125" t="str">
        <f>IF(INDEX(Daten!$H$26:$H$429,MATCH(Steuerung_Eckwerte!B419,Daten!$C$26:$C$429,0))=0, " ", INDEX(Daten!$H$26:$H$429,MATCH(Steuerung_Eckwerte!B419,Daten!$C$26:$C$429,0)))</f>
        <v xml:space="preserve"> </v>
      </c>
    </row>
    <row r="420" spans="1:6" ht="15" customHeight="1">
      <c r="A420" s="105" t="s">
        <v>474</v>
      </c>
      <c r="B420" s="105" t="s">
        <v>98</v>
      </c>
      <c r="C420" s="106" t="str">
        <f t="shared" si="6"/>
        <v xml:space="preserve">JC Wolfsburg, Stadt (Gebietsstand Dezember 2024)  </v>
      </c>
      <c r="D420" s="51"/>
      <c r="E420" s="110"/>
      <c r="F420" s="125" t="str">
        <f>IF(INDEX(Daten!$H$26:$H$429,MATCH(Steuerung_Eckwerte!B420,Daten!$C$26:$C$429,0))=0, " ", INDEX(Daten!$H$26:$H$429,MATCH(Steuerung_Eckwerte!B420,Daten!$C$26:$C$429,0)))</f>
        <v xml:space="preserve"> </v>
      </c>
    </row>
    <row r="421" spans="1:6" ht="15" customHeight="1">
      <c r="A421" s="105" t="s">
        <v>562</v>
      </c>
      <c r="B421" s="105" t="s">
        <v>216</v>
      </c>
      <c r="C421" s="106" t="str">
        <f t="shared" si="6"/>
        <v xml:space="preserve">JC Worms, Stadt (Gebietsstand Dezember 2024)  </v>
      </c>
      <c r="D421" s="51"/>
      <c r="E421" s="110"/>
      <c r="F421" s="125" t="str">
        <f>IF(INDEX(Daten!$H$26:$H$429,MATCH(Steuerung_Eckwerte!B421,Daten!$C$26:$C$429,0))=0, " ", INDEX(Daten!$H$26:$H$429,MATCH(Steuerung_Eckwerte!B421,Daten!$C$26:$C$429,0)))</f>
        <v xml:space="preserve"> </v>
      </c>
    </row>
    <row r="422" spans="1:6" ht="15" customHeight="1">
      <c r="A422" s="105" t="s">
        <v>831</v>
      </c>
      <c r="B422" s="105" t="s">
        <v>300</v>
      </c>
      <c r="C422" s="106" t="str">
        <f t="shared" si="6"/>
        <v xml:space="preserve">JC Wunsiedel im Fichtelgebirge (Gebietsstand Dezember 2024)  </v>
      </c>
      <c r="D422" s="51"/>
      <c r="E422" s="110"/>
      <c r="F422" s="125" t="str">
        <f>IF(INDEX(Daten!$H$26:$H$429,MATCH(Steuerung_Eckwerte!B422,Daten!$C$26:$C$429,0))=0, " ", INDEX(Daten!$H$26:$H$429,MATCH(Steuerung_Eckwerte!B422,Daten!$C$26:$C$429,0)))</f>
        <v xml:space="preserve"> </v>
      </c>
    </row>
    <row r="423" spans="1:6" ht="15" customHeight="1">
      <c r="A423" s="105" t="s">
        <v>800</v>
      </c>
      <c r="B423" s="105" t="s">
        <v>176</v>
      </c>
      <c r="C423" s="106" t="str">
        <f t="shared" si="6"/>
        <v xml:space="preserve">JC Wuppertal, Stadt (Gebietsstand Dezember 2024)  </v>
      </c>
      <c r="D423" s="51"/>
      <c r="E423" s="110"/>
      <c r="F423" s="125" t="str">
        <f>IF(INDEX(Daten!$H$26:$H$429,MATCH(Steuerung_Eckwerte!B423,Daten!$C$26:$C$429,0))=0, " ", INDEX(Daten!$H$26:$H$429,MATCH(Steuerung_Eckwerte!B423,Daten!$C$26:$C$429,0)))</f>
        <v xml:space="preserve"> </v>
      </c>
    </row>
    <row r="424" spans="1:6" ht="15" customHeight="1">
      <c r="A424" s="105" t="s">
        <v>635</v>
      </c>
      <c r="B424" s="105" t="s">
        <v>326</v>
      </c>
      <c r="C424" s="106" t="str">
        <f t="shared" si="6"/>
        <v xml:space="preserve">JC Würzburg (Gebietsstand Dezember 2024)  </v>
      </c>
      <c r="D424" s="51"/>
      <c r="E424" s="110"/>
      <c r="F424" s="125" t="str">
        <f>IF(INDEX(Daten!$H$26:$H$429,MATCH(Steuerung_Eckwerte!B424,Daten!$C$26:$C$429,0))=0, " ", INDEX(Daten!$H$26:$H$429,MATCH(Steuerung_Eckwerte!B424,Daten!$C$26:$C$429,0)))</f>
        <v xml:space="preserve"> </v>
      </c>
    </row>
    <row r="425" spans="1:6" ht="15" customHeight="1">
      <c r="A425" s="105" t="s">
        <v>634</v>
      </c>
      <c r="B425" s="105" t="s">
        <v>325</v>
      </c>
      <c r="C425" s="106" t="str">
        <f t="shared" si="6"/>
        <v xml:space="preserve">JC Würzburg, Stadt (Gebietsstand Dezember 2024)  </v>
      </c>
      <c r="D425" s="51"/>
      <c r="E425" s="110"/>
      <c r="F425" s="125" t="str">
        <f>IF(INDEX(Daten!$H$26:$H$429,MATCH(Steuerung_Eckwerte!B425,Daten!$C$26:$C$429,0))=0, " ", INDEX(Daten!$H$26:$H$429,MATCH(Steuerung_Eckwerte!B425,Daten!$C$26:$C$429,0)))</f>
        <v xml:space="preserve"> </v>
      </c>
    </row>
    <row r="426" spans="1:6" ht="15" customHeight="1">
      <c r="A426" s="105" t="s">
        <v>576</v>
      </c>
      <c r="B426" s="105" t="s">
        <v>240</v>
      </c>
      <c r="C426" s="106" t="str">
        <f t="shared" si="6"/>
        <v xml:space="preserve">JC Zollernalbkreis (Gebietsstand Dezember 2024)  </v>
      </c>
      <c r="D426" s="51"/>
      <c r="E426" s="110"/>
      <c r="F426" s="125" t="str">
        <f>IF(INDEX(Daten!$H$26:$H$429,MATCH(Steuerung_Eckwerte!B426,Daten!$C$26:$C$429,0))=0, " ", INDEX(Daten!$H$26:$H$429,MATCH(Steuerung_Eckwerte!B426,Daten!$C$26:$C$429,0)))</f>
        <v xml:space="preserve"> </v>
      </c>
    </row>
    <row r="427" spans="1:6" ht="15" customHeight="1">
      <c r="A427" s="105" t="s">
        <v>807</v>
      </c>
      <c r="B427" s="105" t="s">
        <v>229</v>
      </c>
      <c r="C427" s="106" t="str">
        <f t="shared" si="6"/>
        <v xml:space="preserve">JC Zweibrücken, Stadt (Gebietsstand Dezember 2024)  </v>
      </c>
      <c r="D427" s="51"/>
      <c r="E427" s="110"/>
      <c r="F427" s="125" t="str">
        <f>IF(INDEX(Daten!$H$26:$H$429,MATCH(Steuerung_Eckwerte!B427,Daten!$C$26:$C$429,0))=0, " ", INDEX(Daten!$H$26:$H$429,MATCH(Steuerung_Eckwerte!B427,Daten!$C$26:$C$429,0)))</f>
        <v xml:space="preserve"> </v>
      </c>
    </row>
    <row r="428" spans="1:6" ht="15" customHeight="1">
      <c r="A428" s="107" t="s">
        <v>431</v>
      </c>
      <c r="B428" s="107" t="s">
        <v>760</v>
      </c>
      <c r="C428" s="108" t="str">
        <f t="shared" si="6"/>
        <v xml:space="preserve">JC Zwickau (Gebietsstand Dezember 2024)  </v>
      </c>
      <c r="D428" s="51"/>
      <c r="E428" s="111"/>
      <c r="F428" s="126" t="str">
        <f>IF(INDEX(Daten!$H$26:$H$429,MATCH(Steuerung_Eckwerte!B428,Daten!$C$26:$C$429,0))=0, " ", INDEX(Daten!$H$26:$H$429,MATCH(Steuerung_Eckwerte!B428,Daten!$C$26:$C$429,0)))</f>
        <v xml:space="preserve"> </v>
      </c>
    </row>
  </sheetData>
  <autoFilter ref="A6:C428" xr:uid="{00000000-0009-0000-0000-00000A000000}"/>
  <mergeCells count="2">
    <mergeCell ref="H1:I1"/>
    <mergeCell ref="A1:B1"/>
  </mergeCells>
  <pageMargins left="0.7" right="0.7" top="0.78740157499999996" bottom="0.78740157499999996" header="0.3" footer="0.3"/>
  <pageSetup paperSize="9" orientation="portrait" r:id="rId1"/>
  <ignoredErrors>
    <ignoredError sqref="A207:A232 A9:A71 A150:A181 A107:A143 A73:A106 A145:A149 A183:A205 A234:A335 A337:A338 A340:A343 A345:A390 A392:A399 A400:A428"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1">
    <tabColor rgb="FF0070C0"/>
  </sheetPr>
  <dimension ref="A1:AP429"/>
  <sheetViews>
    <sheetView showGridLines="0" zoomScale="115" zoomScaleNormal="115" workbookViewId="0">
      <selection activeCell="A5" sqref="A5:G5"/>
    </sheetView>
  </sheetViews>
  <sheetFormatPr baseColWidth="10" defaultColWidth="11.42578125" defaultRowHeight="12"/>
  <cols>
    <col min="1" max="1" width="8.42578125" style="36" customWidth="1"/>
    <col min="2" max="2" width="8.7109375" style="36" customWidth="1"/>
    <col min="3" max="3" width="32.140625" style="36" bestFit="1" customWidth="1"/>
    <col min="4" max="5" width="10.5703125" style="36" customWidth="1"/>
    <col min="6" max="6" width="10.5703125" style="37" customWidth="1"/>
    <col min="7" max="7" width="22.85546875" style="37" customWidth="1"/>
    <col min="8" max="8" width="10.140625" style="36" customWidth="1"/>
    <col min="9" max="9" width="38" style="36" customWidth="1"/>
    <col min="10" max="10" width="10.140625" style="36" customWidth="1"/>
    <col min="11" max="11" width="12.140625" style="36" customWidth="1"/>
    <col min="12" max="12" width="12.7109375" style="36" customWidth="1"/>
    <col min="13" max="13" width="13.5703125" style="36" customWidth="1"/>
    <col min="14" max="14" width="13" style="36" customWidth="1"/>
    <col min="15" max="17" width="12.5703125" style="36" customWidth="1"/>
    <col min="18" max="18" width="13.28515625" style="36" customWidth="1"/>
    <col min="19" max="20" width="13" style="36" bestFit="1" customWidth="1"/>
    <col min="21" max="22" width="13.85546875" style="36" bestFit="1" customWidth="1"/>
    <col min="23" max="23" width="12.28515625" style="36" bestFit="1" customWidth="1"/>
    <col min="24" max="24" width="13" style="36" bestFit="1" customWidth="1"/>
    <col min="25" max="25" width="10" style="36" bestFit="1" customWidth="1"/>
    <col min="26" max="26" width="13.85546875" style="36" bestFit="1" customWidth="1"/>
    <col min="27" max="28" width="12.85546875" style="36" bestFit="1" customWidth="1"/>
    <col min="29" max="30" width="13.5703125" style="36" bestFit="1" customWidth="1"/>
    <col min="31" max="32" width="12.85546875" style="36" bestFit="1" customWidth="1"/>
    <col min="33" max="33" width="11.85546875" style="36" bestFit="1" customWidth="1"/>
    <col min="34" max="34" width="13.5703125" style="36" bestFit="1" customWidth="1"/>
    <col min="35" max="16384" width="11.42578125" style="36"/>
  </cols>
  <sheetData>
    <row r="1" spans="1:42" ht="12.75">
      <c r="A1" s="131" t="s">
        <v>3</v>
      </c>
      <c r="B1" s="131"/>
    </row>
    <row r="2" spans="1:42">
      <c r="A2" s="132" t="s">
        <v>1192</v>
      </c>
      <c r="B2" s="132"/>
    </row>
    <row r="3" spans="1:42">
      <c r="A3" s="133">
        <v>2024</v>
      </c>
      <c r="B3" s="133"/>
    </row>
    <row r="5" spans="1:42" s="38" customFormat="1" ht="21" customHeight="1">
      <c r="A5" s="534" t="s">
        <v>1017</v>
      </c>
      <c r="B5" s="535"/>
      <c r="C5" s="535"/>
      <c r="D5" s="535"/>
      <c r="E5" s="535"/>
      <c r="F5" s="535"/>
      <c r="G5" s="536"/>
      <c r="H5" s="177"/>
      <c r="I5" s="540" t="s">
        <v>1203</v>
      </c>
      <c r="J5" s="541"/>
      <c r="K5" s="537">
        <v>2024</v>
      </c>
      <c r="L5" s="538"/>
      <c r="M5" s="538"/>
      <c r="N5" s="538"/>
      <c r="O5" s="538"/>
      <c r="P5" s="538"/>
      <c r="Q5" s="538"/>
      <c r="R5" s="539"/>
      <c r="S5" s="537">
        <v>2023</v>
      </c>
      <c r="T5" s="538"/>
      <c r="U5" s="538"/>
      <c r="V5" s="538"/>
      <c r="W5" s="538"/>
      <c r="X5" s="538"/>
      <c r="Y5" s="538"/>
      <c r="Z5" s="539"/>
      <c r="AA5" s="537" t="s">
        <v>1201</v>
      </c>
      <c r="AB5" s="538"/>
      <c r="AC5" s="538"/>
      <c r="AD5" s="538"/>
      <c r="AE5" s="538"/>
      <c r="AF5" s="538"/>
      <c r="AG5" s="538"/>
      <c r="AH5" s="539"/>
      <c r="AI5" s="537" t="s">
        <v>1202</v>
      </c>
      <c r="AJ5" s="538"/>
      <c r="AK5" s="538"/>
      <c r="AL5" s="538"/>
      <c r="AM5" s="538"/>
      <c r="AN5" s="538"/>
      <c r="AO5" s="538"/>
      <c r="AP5" s="539"/>
    </row>
    <row r="6" spans="1:42" s="38" customFormat="1" ht="47.25" customHeight="1">
      <c r="A6" s="178" t="s">
        <v>1200</v>
      </c>
      <c r="B6" s="179" t="s">
        <v>1040</v>
      </c>
      <c r="C6" s="179" t="s">
        <v>752</v>
      </c>
      <c r="D6" s="180" t="s">
        <v>753</v>
      </c>
      <c r="E6" s="180" t="s">
        <v>1042</v>
      </c>
      <c r="F6" s="181" t="s">
        <v>1041</v>
      </c>
      <c r="G6" s="182" t="s">
        <v>751</v>
      </c>
      <c r="H6" s="188" t="s">
        <v>771</v>
      </c>
      <c r="I6" s="183"/>
      <c r="J6" s="181" t="s">
        <v>905</v>
      </c>
      <c r="K6" s="184" t="s">
        <v>737</v>
      </c>
      <c r="L6" s="184" t="s">
        <v>387</v>
      </c>
      <c r="M6" s="185" t="s">
        <v>1039</v>
      </c>
      <c r="N6" s="185" t="s">
        <v>954</v>
      </c>
      <c r="O6" s="185" t="s">
        <v>735</v>
      </c>
      <c r="P6" s="185" t="s">
        <v>740</v>
      </c>
      <c r="Q6" s="186" t="s">
        <v>736</v>
      </c>
      <c r="R6" s="185" t="s">
        <v>870</v>
      </c>
      <c r="S6" s="186" t="s">
        <v>737</v>
      </c>
      <c r="T6" s="184" t="s">
        <v>387</v>
      </c>
      <c r="U6" s="185" t="s">
        <v>1039</v>
      </c>
      <c r="V6" s="185" t="s">
        <v>954</v>
      </c>
      <c r="W6" s="185" t="s">
        <v>735</v>
      </c>
      <c r="X6" s="185" t="s">
        <v>740</v>
      </c>
      <c r="Y6" s="186" t="s">
        <v>736</v>
      </c>
      <c r="Z6" s="185" t="s">
        <v>870</v>
      </c>
      <c r="AA6" s="186" t="s">
        <v>737</v>
      </c>
      <c r="AB6" s="184" t="s">
        <v>387</v>
      </c>
      <c r="AC6" s="185" t="s">
        <v>1039</v>
      </c>
      <c r="AD6" s="185" t="s">
        <v>954</v>
      </c>
      <c r="AE6" s="185" t="s">
        <v>735</v>
      </c>
      <c r="AF6" s="185" t="s">
        <v>740</v>
      </c>
      <c r="AG6" s="186" t="s">
        <v>736</v>
      </c>
      <c r="AH6" s="185" t="s">
        <v>870</v>
      </c>
      <c r="AI6" s="186" t="s">
        <v>737</v>
      </c>
      <c r="AJ6" s="184" t="s">
        <v>387</v>
      </c>
      <c r="AK6" s="185" t="s">
        <v>1039</v>
      </c>
      <c r="AL6" s="185" t="s">
        <v>954</v>
      </c>
      <c r="AM6" s="185" t="s">
        <v>735</v>
      </c>
      <c r="AN6" s="185" t="s">
        <v>740</v>
      </c>
      <c r="AO6" s="185" t="s">
        <v>736</v>
      </c>
      <c r="AP6" s="187" t="s">
        <v>870</v>
      </c>
    </row>
    <row r="7" spans="1:42" ht="12" customHeight="1">
      <c r="A7" s="189" t="s">
        <v>713</v>
      </c>
      <c r="B7" s="189" t="s">
        <v>713</v>
      </c>
      <c r="C7" s="189" t="s">
        <v>388</v>
      </c>
      <c r="D7" s="189" t="s">
        <v>754</v>
      </c>
      <c r="E7" s="189" t="s">
        <v>754</v>
      </c>
      <c r="F7" s="190" t="s">
        <v>713</v>
      </c>
      <c r="G7" s="190" t="s">
        <v>388</v>
      </c>
      <c r="H7" s="190"/>
      <c r="I7" s="191"/>
      <c r="J7" s="191"/>
      <c r="K7" s="192">
        <v>6448299525.5069923</v>
      </c>
      <c r="L7" s="192">
        <v>3683565207.0999999</v>
      </c>
      <c r="M7" s="192">
        <v>22057312989.938328</v>
      </c>
      <c r="N7" s="192">
        <v>17474337168.650002</v>
      </c>
      <c r="O7" s="192">
        <v>261157669.91999999</v>
      </c>
      <c r="P7" s="192">
        <v>7165247667.5187511</v>
      </c>
      <c r="Q7" s="192" t="s">
        <v>985</v>
      </c>
      <c r="R7" s="192">
        <v>57089920228.634064</v>
      </c>
      <c r="S7" s="192">
        <v>6139998991.7960815</v>
      </c>
      <c r="T7" s="192">
        <v>3813185765.2600007</v>
      </c>
      <c r="U7" s="192">
        <v>19138870316.010342</v>
      </c>
      <c r="V7" s="192">
        <v>16520604220.820171</v>
      </c>
      <c r="W7" s="192">
        <v>299792538.65999997</v>
      </c>
      <c r="X7" s="192">
        <v>6686730956.4236202</v>
      </c>
      <c r="Y7" s="192" t="s">
        <v>985</v>
      </c>
      <c r="Z7" s="192">
        <v>52599182788.970215</v>
      </c>
      <c r="AA7" s="193">
        <v>308300533.7109108</v>
      </c>
      <c r="AB7" s="193">
        <v>-129620558.1600008</v>
      </c>
      <c r="AC7" s="193">
        <v>2918442673.9279861</v>
      </c>
      <c r="AD7" s="193">
        <v>953732947.82983017</v>
      </c>
      <c r="AE7" s="193">
        <v>-38634868.73999998</v>
      </c>
      <c r="AF7" s="193">
        <v>478516711.09513092</v>
      </c>
      <c r="AG7" s="193" t="s">
        <v>985</v>
      </c>
      <c r="AH7" s="193">
        <v>4490737439.6638489</v>
      </c>
      <c r="AI7" s="194">
        <v>5.0211821552877209</v>
      </c>
      <c r="AJ7" s="194">
        <v>-3.3992720559514273</v>
      </c>
      <c r="AK7" s="194">
        <v>15.248771874934572</v>
      </c>
      <c r="AL7" s="194">
        <v>5.7729907156052054</v>
      </c>
      <c r="AM7" s="194">
        <v>-12.887201567019806</v>
      </c>
      <c r="AN7" s="194">
        <v>7.1562130166975377</v>
      </c>
      <c r="AO7" s="194" t="s">
        <v>985</v>
      </c>
      <c r="AP7" s="194">
        <v>8.5376562934082969</v>
      </c>
    </row>
    <row r="8" spans="1:42" ht="12" customHeight="1">
      <c r="A8" s="189" t="s">
        <v>714</v>
      </c>
      <c r="B8" s="189" t="s">
        <v>714</v>
      </c>
      <c r="C8" s="189" t="s">
        <v>389</v>
      </c>
      <c r="D8" s="189" t="s">
        <v>754</v>
      </c>
      <c r="E8" s="189" t="s">
        <v>754</v>
      </c>
      <c r="F8" s="190" t="s">
        <v>714</v>
      </c>
      <c r="G8" s="190" t="s">
        <v>389</v>
      </c>
      <c r="H8" s="190"/>
      <c r="I8" s="191"/>
      <c r="J8" s="191"/>
      <c r="K8" s="192">
        <v>4851426940.842432</v>
      </c>
      <c r="L8" s="192">
        <v>2796983776.73</v>
      </c>
      <c r="M8" s="192">
        <v>16936316420.748341</v>
      </c>
      <c r="N8" s="192">
        <v>13642555792.640001</v>
      </c>
      <c r="O8" s="192">
        <v>194543089.38</v>
      </c>
      <c r="P8" s="192">
        <v>5504213726.4987526</v>
      </c>
      <c r="Q8" s="192" t="s">
        <v>985</v>
      </c>
      <c r="R8" s="192">
        <v>43926039746.839523</v>
      </c>
      <c r="S8" s="192">
        <v>4570872089.2891541</v>
      </c>
      <c r="T8" s="192">
        <v>2872288136.7700005</v>
      </c>
      <c r="U8" s="192">
        <v>14652038438.400408</v>
      </c>
      <c r="V8" s="192">
        <v>12841436456.060173</v>
      </c>
      <c r="W8" s="192">
        <v>223128206.12999997</v>
      </c>
      <c r="X8" s="192">
        <v>5129399585.2372885</v>
      </c>
      <c r="Y8" s="192" t="s">
        <v>985</v>
      </c>
      <c r="Z8" s="192">
        <v>40289162911.887024</v>
      </c>
      <c r="AA8" s="193">
        <v>280554851.55327797</v>
      </c>
      <c r="AB8" s="193">
        <v>-75304360.040000439</v>
      </c>
      <c r="AC8" s="193">
        <v>2284277982.3479328</v>
      </c>
      <c r="AD8" s="193">
        <v>801119336.57982826</v>
      </c>
      <c r="AE8" s="193">
        <v>-28585116.74999997</v>
      </c>
      <c r="AF8" s="193">
        <v>374814141.26146412</v>
      </c>
      <c r="AG8" s="193" t="s">
        <v>985</v>
      </c>
      <c r="AH8" s="193">
        <v>3636876834.9524994</v>
      </c>
      <c r="AI8" s="194">
        <v>6.1378845452861679</v>
      </c>
      <c r="AJ8" s="194">
        <v>-2.6217550765879332</v>
      </c>
      <c r="AK8" s="194">
        <v>15.590171920114837</v>
      </c>
      <c r="AL8" s="194">
        <v>6.2385492411307411</v>
      </c>
      <c r="AM8" s="194">
        <v>-12.811072721727337</v>
      </c>
      <c r="AN8" s="194">
        <v>7.3071737741041103</v>
      </c>
      <c r="AO8" s="194" t="s">
        <v>985</v>
      </c>
      <c r="AP8" s="194">
        <v>9.0269357119838922</v>
      </c>
    </row>
    <row r="9" spans="1:42" ht="12" customHeight="1">
      <c r="A9" s="189" t="s">
        <v>715</v>
      </c>
      <c r="B9" s="189" t="s">
        <v>715</v>
      </c>
      <c r="C9" s="189" t="s">
        <v>390</v>
      </c>
      <c r="D9" s="189" t="s">
        <v>754</v>
      </c>
      <c r="E9" s="189" t="s">
        <v>754</v>
      </c>
      <c r="F9" s="190" t="s">
        <v>715</v>
      </c>
      <c r="G9" s="190" t="s">
        <v>390</v>
      </c>
      <c r="H9" s="190"/>
      <c r="I9" s="191"/>
      <c r="J9" s="191"/>
      <c r="K9" s="192">
        <v>1596872584.664561</v>
      </c>
      <c r="L9" s="192">
        <v>886581430.36999989</v>
      </c>
      <c r="M9" s="192">
        <v>5120997093.0999994</v>
      </c>
      <c r="N9" s="192">
        <v>3831781376.0100002</v>
      </c>
      <c r="O9" s="192">
        <v>66614580.539999999</v>
      </c>
      <c r="P9" s="192">
        <v>1660784345.02</v>
      </c>
      <c r="Q9" s="192" t="s">
        <v>985</v>
      </c>
      <c r="R9" s="192">
        <v>13163631409.704561</v>
      </c>
      <c r="S9" s="192">
        <v>1569126902.5069275</v>
      </c>
      <c r="T9" s="192">
        <v>940897628.49000013</v>
      </c>
      <c r="U9" s="192">
        <v>4486831663.6499319</v>
      </c>
      <c r="V9" s="192">
        <v>3679167764.7600002</v>
      </c>
      <c r="W9" s="192">
        <v>76664332.530000001</v>
      </c>
      <c r="X9" s="192">
        <v>1557331371.1863303</v>
      </c>
      <c r="Y9" s="192" t="s">
        <v>985</v>
      </c>
      <c r="Z9" s="192">
        <v>12310019663.12319</v>
      </c>
      <c r="AA9" s="193">
        <v>27745682.157633543</v>
      </c>
      <c r="AB9" s="193">
        <v>-54316198.120000243</v>
      </c>
      <c r="AC9" s="193">
        <v>634165429.45006752</v>
      </c>
      <c r="AD9" s="193">
        <v>152613611.25</v>
      </c>
      <c r="AE9" s="193">
        <v>-10049751.990000002</v>
      </c>
      <c r="AF9" s="193">
        <v>103452973.83366966</v>
      </c>
      <c r="AG9" s="193" t="s">
        <v>985</v>
      </c>
      <c r="AH9" s="193">
        <v>853611746.58137131</v>
      </c>
      <c r="AI9" s="194">
        <v>1.7682242343372894</v>
      </c>
      <c r="AJ9" s="194">
        <v>-5.7728063580274522</v>
      </c>
      <c r="AK9" s="194">
        <v>14.133925161216965</v>
      </c>
      <c r="AL9" s="194">
        <v>4.1480470858592478</v>
      </c>
      <c r="AM9" s="194">
        <v>-13.108771260830283</v>
      </c>
      <c r="AN9" s="194">
        <v>6.64296473748308</v>
      </c>
      <c r="AO9" s="194" t="s">
        <v>985</v>
      </c>
      <c r="AP9" s="194">
        <v>6.934284184277252</v>
      </c>
    </row>
    <row r="10" spans="1:42" ht="12" customHeight="1">
      <c r="A10" s="189" t="s">
        <v>716</v>
      </c>
      <c r="B10" s="189" t="s">
        <v>716</v>
      </c>
      <c r="C10" s="189" t="s">
        <v>694</v>
      </c>
      <c r="D10" s="189" t="s">
        <v>754</v>
      </c>
      <c r="E10" s="189" t="s">
        <v>754</v>
      </c>
      <c r="F10" s="190" t="s">
        <v>716</v>
      </c>
      <c r="G10" s="190" t="s">
        <v>694</v>
      </c>
      <c r="H10" s="190"/>
      <c r="I10" s="191"/>
      <c r="J10" s="191"/>
      <c r="K10" s="192">
        <v>233185877.04999998</v>
      </c>
      <c r="L10" s="192">
        <v>123170519.88000001</v>
      </c>
      <c r="M10" s="192">
        <v>758166575.24000001</v>
      </c>
      <c r="N10" s="192">
        <v>616698034.2900002</v>
      </c>
      <c r="O10" s="192">
        <v>7703793.2600000007</v>
      </c>
      <c r="P10" s="192">
        <v>254032157.31999999</v>
      </c>
      <c r="Q10" s="192" t="s">
        <v>985</v>
      </c>
      <c r="R10" s="192">
        <v>1992956957.0400002</v>
      </c>
      <c r="S10" s="192">
        <v>225219396.14000005</v>
      </c>
      <c r="T10" s="192">
        <v>134804852.83000001</v>
      </c>
      <c r="U10" s="192">
        <v>652689855.8900001</v>
      </c>
      <c r="V10" s="192">
        <v>581131168.35000002</v>
      </c>
      <c r="W10" s="192">
        <v>8220452.0899999999</v>
      </c>
      <c r="X10" s="192">
        <v>237694789.26000005</v>
      </c>
      <c r="Y10" s="192" t="s">
        <v>985</v>
      </c>
      <c r="Z10" s="192">
        <v>1839760514.5600002</v>
      </c>
      <c r="AA10" s="193">
        <v>7966480.9099999368</v>
      </c>
      <c r="AB10" s="193">
        <v>-11634332.950000003</v>
      </c>
      <c r="AC10" s="193">
        <v>105476719.3499999</v>
      </c>
      <c r="AD10" s="193">
        <v>35566865.940000176</v>
      </c>
      <c r="AE10" s="193">
        <v>-516658.82999999914</v>
      </c>
      <c r="AF10" s="193">
        <v>16337368.059999943</v>
      </c>
      <c r="AG10" s="193" t="s">
        <v>985</v>
      </c>
      <c r="AH10" s="193">
        <v>153196442.48000002</v>
      </c>
      <c r="AI10" s="194">
        <v>3.5372090710374886</v>
      </c>
      <c r="AJ10" s="194">
        <v>-8.6305000938444341</v>
      </c>
      <c r="AK10" s="194">
        <v>16.1603123440877</v>
      </c>
      <c r="AL10" s="194">
        <v>6.1202819392710985</v>
      </c>
      <c r="AM10" s="194">
        <v>-6.2850415566377826</v>
      </c>
      <c r="AN10" s="194">
        <v>6.8732546097716423</v>
      </c>
      <c r="AO10" s="194" t="s">
        <v>985</v>
      </c>
      <c r="AP10" s="194">
        <v>8.3269774118746493</v>
      </c>
    </row>
    <row r="11" spans="1:42" ht="12" customHeight="1">
      <c r="A11" s="189" t="s">
        <v>717</v>
      </c>
      <c r="B11" s="189" t="s">
        <v>717</v>
      </c>
      <c r="C11" s="189" t="s">
        <v>685</v>
      </c>
      <c r="D11" s="189" t="s">
        <v>754</v>
      </c>
      <c r="E11" s="189" t="s">
        <v>754</v>
      </c>
      <c r="F11" s="190" t="s">
        <v>717</v>
      </c>
      <c r="G11" s="190" t="s">
        <v>685</v>
      </c>
      <c r="H11" s="190"/>
      <c r="I11" s="191"/>
      <c r="J11" s="191"/>
      <c r="K11" s="192">
        <v>198238934.85999998</v>
      </c>
      <c r="L11" s="192">
        <v>151944146.05999997</v>
      </c>
      <c r="M11" s="192">
        <v>760290788.40999985</v>
      </c>
      <c r="N11" s="192">
        <v>853949045.69000018</v>
      </c>
      <c r="O11" s="192">
        <v>8170745.1500000004</v>
      </c>
      <c r="P11" s="192">
        <v>246859974.53999999</v>
      </c>
      <c r="Q11" s="192" t="s">
        <v>985</v>
      </c>
      <c r="R11" s="192">
        <v>2219453634.71</v>
      </c>
      <c r="S11" s="192">
        <v>184633467.59</v>
      </c>
      <c r="T11" s="192">
        <v>175925084.05999994</v>
      </c>
      <c r="U11" s="192">
        <v>659277943.80000007</v>
      </c>
      <c r="V11" s="192">
        <v>757451424</v>
      </c>
      <c r="W11" s="192">
        <v>9924418.25</v>
      </c>
      <c r="X11" s="192">
        <v>232755617.33000001</v>
      </c>
      <c r="Y11" s="192" t="s">
        <v>985</v>
      </c>
      <c r="Z11" s="192">
        <v>2019967955.03</v>
      </c>
      <c r="AA11" s="193">
        <v>13605467.269999981</v>
      </c>
      <c r="AB11" s="193">
        <v>-23980937.99999997</v>
      </c>
      <c r="AC11" s="193">
        <v>101012844.60999978</v>
      </c>
      <c r="AD11" s="193">
        <v>96497621.690000176</v>
      </c>
      <c r="AE11" s="193">
        <v>-1753673.0999999996</v>
      </c>
      <c r="AF11" s="193">
        <v>14104357.209999979</v>
      </c>
      <c r="AG11" s="193" t="s">
        <v>985</v>
      </c>
      <c r="AH11" s="193">
        <v>199485679.68000007</v>
      </c>
      <c r="AI11" s="194">
        <v>7.3689063242924613</v>
      </c>
      <c r="AJ11" s="194">
        <v>-13.631335251669499</v>
      </c>
      <c r="AK11" s="194">
        <v>15.321738814402572</v>
      </c>
      <c r="AL11" s="194">
        <v>12.739776919344756</v>
      </c>
      <c r="AM11" s="194">
        <v>-17.670286114755388</v>
      </c>
      <c r="AN11" s="194">
        <v>6.0597279549231571</v>
      </c>
      <c r="AO11" s="194" t="s">
        <v>985</v>
      </c>
      <c r="AP11" s="194">
        <v>9.8756853633867347</v>
      </c>
    </row>
    <row r="12" spans="1:42" ht="12" customHeight="1">
      <c r="A12" s="189" t="s">
        <v>718</v>
      </c>
      <c r="B12" s="189" t="s">
        <v>718</v>
      </c>
      <c r="C12" s="189" t="s">
        <v>688</v>
      </c>
      <c r="D12" s="189" t="s">
        <v>754</v>
      </c>
      <c r="E12" s="189" t="s">
        <v>754</v>
      </c>
      <c r="F12" s="190" t="s">
        <v>718</v>
      </c>
      <c r="G12" s="190" t="s">
        <v>688</v>
      </c>
      <c r="H12" s="190"/>
      <c r="I12" s="191"/>
      <c r="J12" s="191"/>
      <c r="K12" s="192">
        <v>635244311.49999988</v>
      </c>
      <c r="L12" s="192">
        <v>337591375.89999998</v>
      </c>
      <c r="M12" s="192">
        <v>2103907011.4383395</v>
      </c>
      <c r="N12" s="192">
        <v>1631125599.0100005</v>
      </c>
      <c r="O12" s="192">
        <v>22282759.640000004</v>
      </c>
      <c r="P12" s="192">
        <v>689585104.87999988</v>
      </c>
      <c r="Q12" s="192" t="s">
        <v>985</v>
      </c>
      <c r="R12" s="192">
        <v>5419736162.3683395</v>
      </c>
      <c r="S12" s="192">
        <v>602297520.50000012</v>
      </c>
      <c r="T12" s="192">
        <v>349579715.28000003</v>
      </c>
      <c r="U12" s="192">
        <v>1863926391.499943</v>
      </c>
      <c r="V12" s="192">
        <v>1584377663.8599997</v>
      </c>
      <c r="W12" s="192">
        <v>29838490.799999997</v>
      </c>
      <c r="X12" s="192">
        <v>656309888.22000003</v>
      </c>
      <c r="Y12" s="192" t="s">
        <v>985</v>
      </c>
      <c r="Z12" s="192">
        <v>5086329670.1599436</v>
      </c>
      <c r="AA12" s="193">
        <v>32946790.999999762</v>
      </c>
      <c r="AB12" s="193">
        <v>-11988339.380000055</v>
      </c>
      <c r="AC12" s="193">
        <v>239980619.93839645</v>
      </c>
      <c r="AD12" s="193">
        <v>46747935.150000811</v>
      </c>
      <c r="AE12" s="193">
        <v>-7555731.1599999927</v>
      </c>
      <c r="AF12" s="193">
        <v>33275216.659999847</v>
      </c>
      <c r="AG12" s="193" t="s">
        <v>985</v>
      </c>
      <c r="AH12" s="193">
        <v>333406492.20839596</v>
      </c>
      <c r="AI12" s="194">
        <v>5.4701853948608035</v>
      </c>
      <c r="AJ12" s="194">
        <v>-3.4293578420011732</v>
      </c>
      <c r="AK12" s="194">
        <v>12.875005205826756</v>
      </c>
      <c r="AL12" s="194">
        <v>2.950555048605608</v>
      </c>
      <c r="AM12" s="194">
        <v>-25.322095579981525</v>
      </c>
      <c r="AN12" s="194">
        <v>5.0700465218110118</v>
      </c>
      <c r="AO12" s="194" t="s">
        <v>985</v>
      </c>
      <c r="AP12" s="194">
        <v>6.5549524672849548</v>
      </c>
    </row>
    <row r="13" spans="1:42" ht="12" customHeight="1">
      <c r="A13" s="189" t="s">
        <v>719</v>
      </c>
      <c r="B13" s="189" t="s">
        <v>719</v>
      </c>
      <c r="C13" s="189" t="s">
        <v>684</v>
      </c>
      <c r="D13" s="189" t="s">
        <v>754</v>
      </c>
      <c r="E13" s="189" t="s">
        <v>754</v>
      </c>
      <c r="F13" s="190" t="s">
        <v>719</v>
      </c>
      <c r="G13" s="190" t="s">
        <v>684</v>
      </c>
      <c r="H13" s="190"/>
      <c r="I13" s="191"/>
      <c r="J13" s="191"/>
      <c r="K13" s="192">
        <v>103232597.87</v>
      </c>
      <c r="L13" s="192">
        <v>80920806.040000021</v>
      </c>
      <c r="M13" s="192">
        <v>386747131.84999996</v>
      </c>
      <c r="N13" s="192">
        <v>303003536.46999997</v>
      </c>
      <c r="O13" s="192">
        <v>5360530.62</v>
      </c>
      <c r="P13" s="192">
        <v>122492990.04000001</v>
      </c>
      <c r="Q13" s="192" t="s">
        <v>985</v>
      </c>
      <c r="R13" s="192">
        <v>1001757592.89</v>
      </c>
      <c r="S13" s="192">
        <v>101571485.73</v>
      </c>
      <c r="T13" s="192">
        <v>86519447.389999986</v>
      </c>
      <c r="U13" s="192">
        <v>333647912.92999989</v>
      </c>
      <c r="V13" s="192">
        <v>289896207.13000011</v>
      </c>
      <c r="W13" s="192">
        <v>5551460.79</v>
      </c>
      <c r="X13" s="192">
        <v>114841732.7</v>
      </c>
      <c r="Y13" s="192" t="s">
        <v>985</v>
      </c>
      <c r="Z13" s="192">
        <v>932028246.66999996</v>
      </c>
      <c r="AA13" s="193">
        <v>1661112.1400000006</v>
      </c>
      <c r="AB13" s="193">
        <v>-5598641.3499999642</v>
      </c>
      <c r="AC13" s="193">
        <v>53099218.920000076</v>
      </c>
      <c r="AD13" s="193">
        <v>13107329.339999855</v>
      </c>
      <c r="AE13" s="193">
        <v>-190930.16999999993</v>
      </c>
      <c r="AF13" s="193">
        <v>7651257.3400000036</v>
      </c>
      <c r="AG13" s="193" t="s">
        <v>985</v>
      </c>
      <c r="AH13" s="193">
        <v>69729346.220000029</v>
      </c>
      <c r="AI13" s="194">
        <v>1.6354118757459279</v>
      </c>
      <c r="AJ13" s="194">
        <v>-6.4709629093713588</v>
      </c>
      <c r="AK13" s="194">
        <v>15.914746312571845</v>
      </c>
      <c r="AL13" s="194">
        <v>4.5213869714832269</v>
      </c>
      <c r="AM13" s="194">
        <v>-3.4392780066811914</v>
      </c>
      <c r="AN13" s="194">
        <v>6.6624363461907281</v>
      </c>
      <c r="AO13" s="194" t="s">
        <v>985</v>
      </c>
      <c r="AP13" s="194">
        <v>7.4814627635088033</v>
      </c>
    </row>
    <row r="14" spans="1:42" ht="12" customHeight="1">
      <c r="A14" s="189" t="s">
        <v>720</v>
      </c>
      <c r="B14" s="189" t="s">
        <v>720</v>
      </c>
      <c r="C14" s="189" t="s">
        <v>689</v>
      </c>
      <c r="D14" s="189" t="s">
        <v>754</v>
      </c>
      <c r="E14" s="189" t="s">
        <v>754</v>
      </c>
      <c r="F14" s="190" t="s">
        <v>720</v>
      </c>
      <c r="G14" s="190" t="s">
        <v>689</v>
      </c>
      <c r="H14" s="190"/>
      <c r="I14" s="191"/>
      <c r="J14" s="191"/>
      <c r="K14" s="192">
        <v>1752762244.0100002</v>
      </c>
      <c r="L14" s="192">
        <v>1172739057.77</v>
      </c>
      <c r="M14" s="192">
        <v>6389290012.3899994</v>
      </c>
      <c r="N14" s="192">
        <v>4883996743.5400009</v>
      </c>
      <c r="O14" s="192">
        <v>70703407.470000014</v>
      </c>
      <c r="P14" s="192">
        <v>2031891607.5300004</v>
      </c>
      <c r="Q14" s="192" t="s">
        <v>985</v>
      </c>
      <c r="R14" s="192">
        <v>16301383072.710001</v>
      </c>
      <c r="S14" s="192">
        <v>1658063028.7964284</v>
      </c>
      <c r="T14" s="192">
        <v>1222521700.23</v>
      </c>
      <c r="U14" s="192">
        <v>5544971141.0999994</v>
      </c>
      <c r="V14" s="192">
        <v>4625026477.319272</v>
      </c>
      <c r="W14" s="192">
        <v>79519220.99000001</v>
      </c>
      <c r="X14" s="192">
        <v>1901150282.5700002</v>
      </c>
      <c r="Y14" s="192" t="s">
        <v>985</v>
      </c>
      <c r="Z14" s="192">
        <v>15031251851.005701</v>
      </c>
      <c r="AA14" s="193">
        <v>94699215.213571787</v>
      </c>
      <c r="AB14" s="193">
        <v>-49782642.460000038</v>
      </c>
      <c r="AC14" s="193">
        <v>844318871.28999996</v>
      </c>
      <c r="AD14" s="193">
        <v>258970266.22072887</v>
      </c>
      <c r="AE14" s="193">
        <v>-8815813.5199999958</v>
      </c>
      <c r="AF14" s="193">
        <v>130741324.96000028</v>
      </c>
      <c r="AG14" s="193" t="s">
        <v>985</v>
      </c>
      <c r="AH14" s="193">
        <v>1270131221.7042999</v>
      </c>
      <c r="AI14" s="194">
        <v>5.7114363910709116</v>
      </c>
      <c r="AJ14" s="194">
        <v>-4.072127509117764</v>
      </c>
      <c r="AK14" s="194">
        <v>15.226749604372255</v>
      </c>
      <c r="AL14" s="194">
        <v>5.5993250523147609</v>
      </c>
      <c r="AM14" s="194">
        <v>-11.086393214426275</v>
      </c>
      <c r="AN14" s="194">
        <v>6.8769589736621146</v>
      </c>
      <c r="AO14" s="194" t="s">
        <v>985</v>
      </c>
      <c r="AP14" s="194">
        <v>8.4499364011342735</v>
      </c>
    </row>
    <row r="15" spans="1:42" ht="12" customHeight="1">
      <c r="A15" s="189" t="s">
        <v>721</v>
      </c>
      <c r="B15" s="189" t="s">
        <v>721</v>
      </c>
      <c r="C15" s="189" t="s">
        <v>686</v>
      </c>
      <c r="D15" s="189" t="s">
        <v>754</v>
      </c>
      <c r="E15" s="189" t="s">
        <v>754</v>
      </c>
      <c r="F15" s="190" t="s">
        <v>721</v>
      </c>
      <c r="G15" s="190" t="s">
        <v>686</v>
      </c>
      <c r="H15" s="190"/>
      <c r="I15" s="191"/>
      <c r="J15" s="191"/>
      <c r="K15" s="192">
        <v>481542238.26999998</v>
      </c>
      <c r="L15" s="192">
        <v>221691368.12</v>
      </c>
      <c r="M15" s="192">
        <v>1602947815.79</v>
      </c>
      <c r="N15" s="192">
        <v>1419614048.1400001</v>
      </c>
      <c r="O15" s="192">
        <v>22398623.199999999</v>
      </c>
      <c r="P15" s="192">
        <v>527699348.9087525</v>
      </c>
      <c r="Q15" s="192" t="s">
        <v>985</v>
      </c>
      <c r="R15" s="192">
        <v>4275893442.4287519</v>
      </c>
      <c r="S15" s="192">
        <v>453320772.63076109</v>
      </c>
      <c r="T15" s="192">
        <v>229018733.80000004</v>
      </c>
      <c r="U15" s="192">
        <v>1373875907.1999998</v>
      </c>
      <c r="V15" s="192">
        <v>1322275729.7822709</v>
      </c>
      <c r="W15" s="192">
        <v>24142825.039999999</v>
      </c>
      <c r="X15" s="192">
        <v>490298496.09000003</v>
      </c>
      <c r="Y15" s="192" t="s">
        <v>985</v>
      </c>
      <c r="Z15" s="192">
        <v>3892932464.5430317</v>
      </c>
      <c r="AA15" s="193">
        <v>28221465.639238894</v>
      </c>
      <c r="AB15" s="193">
        <v>-7327365.680000037</v>
      </c>
      <c r="AC15" s="193">
        <v>229071908.59000015</v>
      </c>
      <c r="AD15" s="193">
        <v>97338318.357729197</v>
      </c>
      <c r="AE15" s="193">
        <v>-1744201.8399999999</v>
      </c>
      <c r="AF15" s="193">
        <v>37400852.818752468</v>
      </c>
      <c r="AG15" s="193" t="s">
        <v>985</v>
      </c>
      <c r="AH15" s="193">
        <v>382960977.88572025</v>
      </c>
      <c r="AI15" s="194">
        <v>6.2254957952755996</v>
      </c>
      <c r="AJ15" s="194">
        <v>-3.1994612660809474</v>
      </c>
      <c r="AK15" s="194">
        <v>16.67340604704653</v>
      </c>
      <c r="AL15" s="194">
        <v>7.3614236550917536</v>
      </c>
      <c r="AM15" s="194">
        <v>-7.2245142691884405</v>
      </c>
      <c r="AN15" s="194">
        <v>7.6281802038991167</v>
      </c>
      <c r="AO15" s="194" t="s">
        <v>985</v>
      </c>
      <c r="AP15" s="194">
        <v>9.8373393675267309</v>
      </c>
    </row>
    <row r="16" spans="1:42" ht="12" customHeight="1">
      <c r="A16" s="189" t="s">
        <v>722</v>
      </c>
      <c r="B16" s="189" t="s">
        <v>722</v>
      </c>
      <c r="C16" s="189" t="s">
        <v>690</v>
      </c>
      <c r="D16" s="189" t="s">
        <v>754</v>
      </c>
      <c r="E16" s="189" t="s">
        <v>754</v>
      </c>
      <c r="F16" s="190" t="s">
        <v>722</v>
      </c>
      <c r="G16" s="190" t="s">
        <v>690</v>
      </c>
      <c r="H16" s="190"/>
      <c r="I16" s="191"/>
      <c r="J16" s="191"/>
      <c r="K16" s="192">
        <v>256585374.49000001</v>
      </c>
      <c r="L16" s="192">
        <v>123406318.30999999</v>
      </c>
      <c r="M16" s="192">
        <v>886609227.51000011</v>
      </c>
      <c r="N16" s="192">
        <v>649720714.8299998</v>
      </c>
      <c r="O16" s="192">
        <v>8094916.3499999996</v>
      </c>
      <c r="P16" s="192">
        <v>290251443.28999996</v>
      </c>
      <c r="Q16" s="192" t="s">
        <v>985</v>
      </c>
      <c r="R16" s="192">
        <v>2214667994.7799997</v>
      </c>
      <c r="S16" s="192">
        <v>240681559.17999998</v>
      </c>
      <c r="T16" s="192">
        <v>126886800.28999999</v>
      </c>
      <c r="U16" s="192">
        <v>758444712.56999993</v>
      </c>
      <c r="V16" s="192">
        <v>607978830.75999999</v>
      </c>
      <c r="W16" s="192">
        <v>8616296.5100000016</v>
      </c>
      <c r="X16" s="192">
        <v>267010113.18999997</v>
      </c>
      <c r="Y16" s="192" t="s">
        <v>985</v>
      </c>
      <c r="Z16" s="192">
        <v>2009618312.5</v>
      </c>
      <c r="AA16" s="193">
        <v>15903815.310000032</v>
      </c>
      <c r="AB16" s="193">
        <v>-3480481.9800000042</v>
      </c>
      <c r="AC16" s="193">
        <v>128164514.94000018</v>
      </c>
      <c r="AD16" s="193">
        <v>41741884.069999814</v>
      </c>
      <c r="AE16" s="193">
        <v>-521380.16000000201</v>
      </c>
      <c r="AF16" s="193">
        <v>23241330.099999994</v>
      </c>
      <c r="AG16" s="193" t="s">
        <v>985</v>
      </c>
      <c r="AH16" s="193">
        <v>205049682.27999973</v>
      </c>
      <c r="AI16" s="194">
        <v>6.6078246144757395</v>
      </c>
      <c r="AJ16" s="194">
        <v>-2.742981911471766</v>
      </c>
      <c r="AK16" s="194">
        <v>16.898333235881232</v>
      </c>
      <c r="AL16" s="194">
        <v>6.8656805069710476</v>
      </c>
      <c r="AM16" s="194">
        <v>-6.0510935225464042</v>
      </c>
      <c r="AN16" s="194">
        <v>8.7042883216419042</v>
      </c>
      <c r="AO16" s="194" t="s">
        <v>985</v>
      </c>
      <c r="AP16" s="194">
        <v>10.203414300346138</v>
      </c>
    </row>
    <row r="17" spans="1:42" ht="12" customHeight="1">
      <c r="A17" s="189" t="s">
        <v>723</v>
      </c>
      <c r="B17" s="189" t="s">
        <v>723</v>
      </c>
      <c r="C17" s="189" t="s">
        <v>680</v>
      </c>
      <c r="D17" s="189" t="s">
        <v>754</v>
      </c>
      <c r="E17" s="189" t="s">
        <v>754</v>
      </c>
      <c r="F17" s="190" t="s">
        <v>723</v>
      </c>
      <c r="G17" s="190" t="s">
        <v>680</v>
      </c>
      <c r="H17" s="190"/>
      <c r="I17" s="191"/>
      <c r="J17" s="191"/>
      <c r="K17" s="192">
        <v>544081242.35000014</v>
      </c>
      <c r="L17" s="192">
        <v>293856620.56</v>
      </c>
      <c r="M17" s="192">
        <v>1939107827.0899997</v>
      </c>
      <c r="N17" s="192">
        <v>1644757589.3399999</v>
      </c>
      <c r="O17" s="192">
        <v>21847515.510000002</v>
      </c>
      <c r="P17" s="192">
        <v>639902678.53999996</v>
      </c>
      <c r="Q17" s="192" t="s">
        <v>985</v>
      </c>
      <c r="R17" s="192">
        <v>5083553473.3900003</v>
      </c>
      <c r="S17" s="192">
        <v>498947020.47195125</v>
      </c>
      <c r="T17" s="192">
        <v>276222695.72000003</v>
      </c>
      <c r="U17" s="192">
        <v>1666730011.9542255</v>
      </c>
      <c r="V17" s="192">
        <v>1529012880.52</v>
      </c>
      <c r="W17" s="192">
        <v>25916878.109999999</v>
      </c>
      <c r="X17" s="192">
        <v>586269978.15728796</v>
      </c>
      <c r="Y17" s="192" t="s">
        <v>985</v>
      </c>
      <c r="Z17" s="192">
        <v>4583099464.933465</v>
      </c>
      <c r="AA17" s="193">
        <v>45134221.878048897</v>
      </c>
      <c r="AB17" s="193">
        <v>17633924.839999974</v>
      </c>
      <c r="AC17" s="193">
        <v>272377815.13577414</v>
      </c>
      <c r="AD17" s="193">
        <v>115744708.81999993</v>
      </c>
      <c r="AE17" s="193">
        <v>-4069362.5999999978</v>
      </c>
      <c r="AF17" s="193">
        <v>53632700.382712007</v>
      </c>
      <c r="AG17" s="193" t="s">
        <v>985</v>
      </c>
      <c r="AH17" s="193">
        <v>500454008.45653534</v>
      </c>
      <c r="AI17" s="194">
        <v>9.0458946593882228</v>
      </c>
      <c r="AJ17" s="194">
        <v>6.3839521926449665</v>
      </c>
      <c r="AK17" s="194">
        <v>16.342047793116397</v>
      </c>
      <c r="AL17" s="194">
        <v>7.5698975655873131</v>
      </c>
      <c r="AM17" s="194">
        <v>-15.70159254030615</v>
      </c>
      <c r="AN17" s="194">
        <v>9.1481232846487508</v>
      </c>
      <c r="AO17" s="194" t="s">
        <v>985</v>
      </c>
      <c r="AP17" s="194">
        <v>10.91955372746423</v>
      </c>
    </row>
    <row r="18" spans="1:42" ht="12" customHeight="1">
      <c r="A18" s="189" t="s">
        <v>724</v>
      </c>
      <c r="B18" s="189" t="s">
        <v>724</v>
      </c>
      <c r="C18" s="189" t="s">
        <v>681</v>
      </c>
      <c r="D18" s="189" t="s">
        <v>754</v>
      </c>
      <c r="E18" s="189" t="s">
        <v>754</v>
      </c>
      <c r="F18" s="190" t="s">
        <v>724</v>
      </c>
      <c r="G18" s="190" t="s">
        <v>681</v>
      </c>
      <c r="H18" s="190"/>
      <c r="I18" s="191"/>
      <c r="J18" s="191"/>
      <c r="K18" s="192">
        <v>552034334.43243074</v>
      </c>
      <c r="L18" s="192">
        <v>234126200.86000001</v>
      </c>
      <c r="M18" s="192">
        <v>1775339925.21</v>
      </c>
      <c r="N18" s="192">
        <v>1393552921.9000003</v>
      </c>
      <c r="O18" s="192">
        <v>24320913.089999996</v>
      </c>
      <c r="P18" s="192">
        <v>595089658.01999998</v>
      </c>
      <c r="Q18" s="192" t="s">
        <v>985</v>
      </c>
      <c r="R18" s="192">
        <v>4574463953.5124311</v>
      </c>
      <c r="S18" s="192">
        <v>514310379.75001377</v>
      </c>
      <c r="T18" s="192">
        <v>212109543.14999998</v>
      </c>
      <c r="U18" s="192">
        <v>1512206314.6162415</v>
      </c>
      <c r="V18" s="192">
        <v>1314251470.8586318</v>
      </c>
      <c r="W18" s="192">
        <v>27456011.260000002</v>
      </c>
      <c r="X18" s="192">
        <v>544069787.26999998</v>
      </c>
      <c r="Y18" s="192" t="s">
        <v>985</v>
      </c>
      <c r="Z18" s="192">
        <v>4124403506.9048872</v>
      </c>
      <c r="AA18" s="193">
        <v>37723954.682416975</v>
      </c>
      <c r="AB18" s="193">
        <v>22016657.710000038</v>
      </c>
      <c r="AC18" s="193">
        <v>263133610.59375858</v>
      </c>
      <c r="AD18" s="193">
        <v>79301451.041368484</v>
      </c>
      <c r="AE18" s="193">
        <v>-3135098.1700000055</v>
      </c>
      <c r="AF18" s="193">
        <v>51019870.75</v>
      </c>
      <c r="AG18" s="193" t="s">
        <v>985</v>
      </c>
      <c r="AH18" s="193">
        <v>450060446.60754395</v>
      </c>
      <c r="AI18" s="194">
        <v>7.3348616259219037</v>
      </c>
      <c r="AJ18" s="194">
        <v>10.379852496514154</v>
      </c>
      <c r="AK18" s="194">
        <v>17.400642230523619</v>
      </c>
      <c r="AL18" s="194">
        <v>6.0339632710898892</v>
      </c>
      <c r="AM18" s="194">
        <v>-11.418622101774318</v>
      </c>
      <c r="AN18" s="194">
        <v>9.3774497212948322</v>
      </c>
      <c r="AO18" s="194" t="s">
        <v>985</v>
      </c>
      <c r="AP18" s="194">
        <v>10.91213422387197</v>
      </c>
    </row>
    <row r="19" spans="1:42" ht="12" customHeight="1">
      <c r="A19" s="189" t="s">
        <v>725</v>
      </c>
      <c r="B19" s="189" t="s">
        <v>725</v>
      </c>
      <c r="C19" s="189" t="s">
        <v>691</v>
      </c>
      <c r="D19" s="189" t="s">
        <v>754</v>
      </c>
      <c r="E19" s="189" t="s">
        <v>754</v>
      </c>
      <c r="F19" s="190" t="s">
        <v>725</v>
      </c>
      <c r="G19" s="190" t="s">
        <v>691</v>
      </c>
      <c r="H19" s="190"/>
      <c r="I19" s="191"/>
      <c r="J19" s="191"/>
      <c r="K19" s="192">
        <v>94519786.00999999</v>
      </c>
      <c r="L19" s="192">
        <v>57537363.229999997</v>
      </c>
      <c r="M19" s="192">
        <v>333910105.81999993</v>
      </c>
      <c r="N19" s="192">
        <v>246137559.42999998</v>
      </c>
      <c r="O19" s="192">
        <v>3659885.09</v>
      </c>
      <c r="P19" s="192">
        <v>106408763.43000002</v>
      </c>
      <c r="Q19" s="192" t="s">
        <v>985</v>
      </c>
      <c r="R19" s="192">
        <v>842173463.00999999</v>
      </c>
      <c r="S19" s="192">
        <v>91827458.5</v>
      </c>
      <c r="T19" s="192">
        <v>58699564.019999996</v>
      </c>
      <c r="U19" s="192">
        <v>286268246.84000003</v>
      </c>
      <c r="V19" s="192">
        <v>230034603.47999996</v>
      </c>
      <c r="W19" s="192">
        <v>3942152.2899999996</v>
      </c>
      <c r="X19" s="192">
        <v>98998900.450000003</v>
      </c>
      <c r="Y19" s="192" t="s">
        <v>985</v>
      </c>
      <c r="Z19" s="192">
        <v>769770925.57999992</v>
      </c>
      <c r="AA19" s="193">
        <v>2692327.5099999905</v>
      </c>
      <c r="AB19" s="193">
        <v>-1162200.7899999991</v>
      </c>
      <c r="AC19" s="193">
        <v>47641858.9799999</v>
      </c>
      <c r="AD19" s="193">
        <v>16102955.950000018</v>
      </c>
      <c r="AE19" s="193">
        <v>-282267.19999999972</v>
      </c>
      <c r="AF19" s="193">
        <v>7409862.9800000191</v>
      </c>
      <c r="AG19" s="193" t="s">
        <v>985</v>
      </c>
      <c r="AH19" s="193">
        <v>72402537.430000067</v>
      </c>
      <c r="AI19" s="194">
        <v>2.9319416588230967</v>
      </c>
      <c r="AJ19" s="194">
        <v>-1.9799138365048443</v>
      </c>
      <c r="AK19" s="194">
        <v>16.642383326093345</v>
      </c>
      <c r="AL19" s="194">
        <v>7.0002320113547896</v>
      </c>
      <c r="AM19" s="194">
        <v>-7.1602307378135253</v>
      </c>
      <c r="AN19" s="194">
        <v>7.4847932111553259</v>
      </c>
      <c r="AO19" s="194" t="s">
        <v>985</v>
      </c>
      <c r="AP19" s="194">
        <v>9.4057251351039088</v>
      </c>
    </row>
    <row r="20" spans="1:42" ht="12" customHeight="1">
      <c r="A20" s="189" t="s">
        <v>726</v>
      </c>
      <c r="B20" s="189" t="s">
        <v>726</v>
      </c>
      <c r="C20" s="189" t="s">
        <v>682</v>
      </c>
      <c r="D20" s="189" t="s">
        <v>754</v>
      </c>
      <c r="E20" s="189" t="s">
        <v>754</v>
      </c>
      <c r="F20" s="190" t="s">
        <v>726</v>
      </c>
      <c r="G20" s="190" t="s">
        <v>682</v>
      </c>
      <c r="H20" s="190"/>
      <c r="I20" s="191"/>
      <c r="J20" s="191"/>
      <c r="K20" s="192">
        <v>511705184.43999994</v>
      </c>
      <c r="L20" s="192">
        <v>364868366.13</v>
      </c>
      <c r="M20" s="192">
        <v>1805872898.7300003</v>
      </c>
      <c r="N20" s="192">
        <v>1719663531.3400002</v>
      </c>
      <c r="O20" s="192">
        <v>21402818.260000002</v>
      </c>
      <c r="P20" s="192">
        <v>596772374.67999995</v>
      </c>
      <c r="Q20" s="192" t="s">
        <v>985</v>
      </c>
      <c r="R20" s="192">
        <v>5020285173.5799999</v>
      </c>
      <c r="S20" s="192">
        <v>507961096.80000007</v>
      </c>
      <c r="T20" s="192">
        <v>400203041.06</v>
      </c>
      <c r="U20" s="192">
        <v>1557224439.2900004</v>
      </c>
      <c r="V20" s="192">
        <v>1638072782.6399999</v>
      </c>
      <c r="W20" s="192">
        <v>25385391.690000005</v>
      </c>
      <c r="X20" s="192">
        <v>559471100.87000012</v>
      </c>
      <c r="Y20" s="192" t="s">
        <v>985</v>
      </c>
      <c r="Z20" s="192">
        <v>4688317852.3499994</v>
      </c>
      <c r="AA20" s="193">
        <v>3744087.6399998665</v>
      </c>
      <c r="AB20" s="193">
        <v>-35334674.930000007</v>
      </c>
      <c r="AC20" s="193">
        <v>248648459.43999982</v>
      </c>
      <c r="AD20" s="193">
        <v>81590748.700000286</v>
      </c>
      <c r="AE20" s="193">
        <v>-3982573.4300000034</v>
      </c>
      <c r="AF20" s="193">
        <v>37301273.809999824</v>
      </c>
      <c r="AG20" s="193" t="s">
        <v>985</v>
      </c>
      <c r="AH20" s="193">
        <v>331967321.2300005</v>
      </c>
      <c r="AI20" s="194">
        <v>0.73708157250357875</v>
      </c>
      <c r="AJ20" s="194">
        <v>-8.8291870137744652</v>
      </c>
      <c r="AK20" s="194">
        <v>15.967413120832369</v>
      </c>
      <c r="AL20" s="194">
        <v>4.9808988687611651</v>
      </c>
      <c r="AM20" s="194">
        <v>-15.688445853560918</v>
      </c>
      <c r="AN20" s="194">
        <v>6.6672387102738346</v>
      </c>
      <c r="AO20" s="194" t="s">
        <v>985</v>
      </c>
      <c r="AP20" s="194">
        <v>7.08073410730041</v>
      </c>
    </row>
    <row r="21" spans="1:42" ht="12" customHeight="1">
      <c r="A21" s="189" t="s">
        <v>727</v>
      </c>
      <c r="B21" s="189" t="s">
        <v>727</v>
      </c>
      <c r="C21" s="189" t="s">
        <v>683</v>
      </c>
      <c r="D21" s="189" t="s">
        <v>754</v>
      </c>
      <c r="E21" s="189" t="s">
        <v>754</v>
      </c>
      <c r="F21" s="190" t="s">
        <v>727</v>
      </c>
      <c r="G21" s="190" t="s">
        <v>683</v>
      </c>
      <c r="H21" s="190"/>
      <c r="I21" s="191"/>
      <c r="J21" s="191"/>
      <c r="K21" s="192">
        <v>213269020.37399802</v>
      </c>
      <c r="L21" s="192">
        <v>86908637.689999998</v>
      </c>
      <c r="M21" s="192">
        <v>611870867.28999996</v>
      </c>
      <c r="N21" s="192">
        <v>413749729.23000002</v>
      </c>
      <c r="O21" s="192">
        <v>7319228.6299999999</v>
      </c>
      <c r="P21" s="192">
        <v>197646591.88999999</v>
      </c>
      <c r="Q21" s="192" t="s">
        <v>985</v>
      </c>
      <c r="R21" s="192">
        <v>1530764075.1039982</v>
      </c>
      <c r="S21" s="192">
        <v>209498241.56569707</v>
      </c>
      <c r="T21" s="192">
        <v>92963311.99000001</v>
      </c>
      <c r="U21" s="192">
        <v>540705612.78993189</v>
      </c>
      <c r="V21" s="192">
        <v>402805798.3900001</v>
      </c>
      <c r="W21" s="192">
        <v>8070345.7199999997</v>
      </c>
      <c r="X21" s="192">
        <v>187427538.59999996</v>
      </c>
      <c r="Y21" s="192" t="s">
        <v>985</v>
      </c>
      <c r="Z21" s="192">
        <v>1441470849.055629</v>
      </c>
      <c r="AA21" s="193">
        <v>3770778.8083009422</v>
      </c>
      <c r="AB21" s="193">
        <v>-6054674.3000000119</v>
      </c>
      <c r="AC21" s="193">
        <v>71165254.500068069</v>
      </c>
      <c r="AD21" s="193">
        <v>10943930.839999914</v>
      </c>
      <c r="AE21" s="193">
        <v>-751117.08999999985</v>
      </c>
      <c r="AF21" s="193">
        <v>10219053.290000021</v>
      </c>
      <c r="AG21" s="193" t="s">
        <v>985</v>
      </c>
      <c r="AH21" s="193">
        <v>89293226.048369169</v>
      </c>
      <c r="AI21" s="194">
        <v>1.7999095267434282</v>
      </c>
      <c r="AJ21" s="194">
        <v>-6.5129718061801718</v>
      </c>
      <c r="AK21" s="194">
        <v>13.161552759341577</v>
      </c>
      <c r="AL21" s="194">
        <v>2.7169248515643023</v>
      </c>
      <c r="AM21" s="194">
        <v>-9.307124081916033</v>
      </c>
      <c r="AN21" s="194">
        <v>5.4522688428455002</v>
      </c>
      <c r="AO21" s="194" t="s">
        <v>985</v>
      </c>
      <c r="AP21" s="194">
        <v>6.1945911779533445</v>
      </c>
    </row>
    <row r="22" spans="1:42" ht="12" customHeight="1">
      <c r="A22" s="189" t="s">
        <v>728</v>
      </c>
      <c r="B22" s="189" t="s">
        <v>728</v>
      </c>
      <c r="C22" s="189" t="s">
        <v>687</v>
      </c>
      <c r="D22" s="189" t="s">
        <v>754</v>
      </c>
      <c r="E22" s="189" t="s">
        <v>754</v>
      </c>
      <c r="F22" s="190" t="s">
        <v>728</v>
      </c>
      <c r="G22" s="190" t="s">
        <v>687</v>
      </c>
      <c r="H22" s="190"/>
      <c r="I22" s="191"/>
      <c r="J22" s="191"/>
      <c r="K22" s="192">
        <v>156023440.72056323</v>
      </c>
      <c r="L22" s="192">
        <v>74156199.159999996</v>
      </c>
      <c r="M22" s="192">
        <v>461335569.79999989</v>
      </c>
      <c r="N22" s="192">
        <v>294221157.61000007</v>
      </c>
      <c r="O22" s="192">
        <v>7113804.54</v>
      </c>
      <c r="P22" s="192">
        <v>149555087.50999999</v>
      </c>
      <c r="Q22" s="192" t="s">
        <v>985</v>
      </c>
      <c r="R22" s="192">
        <v>1142405259.3405631</v>
      </c>
      <c r="S22" s="192">
        <v>151479478.43000001</v>
      </c>
      <c r="T22" s="192">
        <v>77584144.730000004</v>
      </c>
      <c r="U22" s="192">
        <v>406263354.73000008</v>
      </c>
      <c r="V22" s="192">
        <v>285200485.72000003</v>
      </c>
      <c r="W22" s="192">
        <v>7186186.2199999997</v>
      </c>
      <c r="X22" s="192">
        <v>141042831.56</v>
      </c>
      <c r="Y22" s="192" t="s">
        <v>985</v>
      </c>
      <c r="Z22" s="192">
        <v>1068756481.3900001</v>
      </c>
      <c r="AA22" s="193">
        <v>4543962.2905632257</v>
      </c>
      <c r="AB22" s="193">
        <v>-3427945.5700000077</v>
      </c>
      <c r="AC22" s="193">
        <v>55072215.069999814</v>
      </c>
      <c r="AD22" s="193">
        <v>9020671.8900000453</v>
      </c>
      <c r="AE22" s="193">
        <v>-72381.679999999702</v>
      </c>
      <c r="AF22" s="193">
        <v>8512255.9499999881</v>
      </c>
      <c r="AG22" s="193" t="s">
        <v>985</v>
      </c>
      <c r="AH22" s="193">
        <v>73648777.950562954</v>
      </c>
      <c r="AI22" s="194">
        <v>2.9997213732571906</v>
      </c>
      <c r="AJ22" s="194">
        <v>-4.4183583925937127</v>
      </c>
      <c r="AK22" s="194">
        <v>13.555791933683125</v>
      </c>
      <c r="AL22" s="194">
        <v>3.1629230459502895</v>
      </c>
      <c r="AM22" s="194">
        <v>-1.0072335698531301</v>
      </c>
      <c r="AN22" s="194">
        <v>6.0352276367756073</v>
      </c>
      <c r="AO22" s="194" t="s">
        <v>985</v>
      </c>
      <c r="AP22" s="194">
        <v>6.8910719357488288</v>
      </c>
    </row>
    <row r="23" spans="1:42" ht="12" customHeight="1">
      <c r="A23" s="189" t="s">
        <v>729</v>
      </c>
      <c r="B23" s="189" t="s">
        <v>729</v>
      </c>
      <c r="C23" s="189" t="s">
        <v>692</v>
      </c>
      <c r="D23" s="189" t="s">
        <v>754</v>
      </c>
      <c r="E23" s="189" t="s">
        <v>754</v>
      </c>
      <c r="F23" s="190" t="s">
        <v>729</v>
      </c>
      <c r="G23" s="190" t="s">
        <v>692</v>
      </c>
      <c r="H23" s="190"/>
      <c r="I23" s="191"/>
      <c r="J23" s="191"/>
      <c r="K23" s="192">
        <v>321057718.38999999</v>
      </c>
      <c r="L23" s="192">
        <v>172689038.81</v>
      </c>
      <c r="M23" s="192">
        <v>1042679699.7099998</v>
      </c>
      <c r="N23" s="192">
        <v>676612575.45999992</v>
      </c>
      <c r="O23" s="192">
        <v>16093116.579999998</v>
      </c>
      <c r="P23" s="192">
        <v>332628579.64000005</v>
      </c>
      <c r="Q23" s="192" t="s">
        <v>985</v>
      </c>
      <c r="R23" s="192">
        <v>2561760728.5899997</v>
      </c>
      <c r="S23" s="192">
        <v>315485407.40999997</v>
      </c>
      <c r="T23" s="192">
        <v>171031710.63000005</v>
      </c>
      <c r="U23" s="192">
        <v>906755695.22000027</v>
      </c>
      <c r="V23" s="192">
        <v>637432473.91000009</v>
      </c>
      <c r="W23" s="192">
        <v>18479807.420000002</v>
      </c>
      <c r="X23" s="192">
        <v>309801102.80000001</v>
      </c>
      <c r="Y23" s="192" t="s">
        <v>985</v>
      </c>
      <c r="Z23" s="192">
        <v>2358986197.3900003</v>
      </c>
      <c r="AA23" s="193">
        <v>5572310.9800000191</v>
      </c>
      <c r="AB23" s="193">
        <v>1657328.1799999475</v>
      </c>
      <c r="AC23" s="193">
        <v>135924004.48999953</v>
      </c>
      <c r="AD23" s="193">
        <v>39180101.549999833</v>
      </c>
      <c r="AE23" s="193">
        <v>-2386690.8400000036</v>
      </c>
      <c r="AF23" s="193">
        <v>22827476.840000033</v>
      </c>
      <c r="AG23" s="193" t="s">
        <v>985</v>
      </c>
      <c r="AH23" s="193">
        <v>202774531.19999933</v>
      </c>
      <c r="AI23" s="194">
        <v>1.7662658395981938</v>
      </c>
      <c r="AJ23" s="194">
        <v>0.96901806916105393</v>
      </c>
      <c r="AK23" s="194">
        <v>14.9901462109947</v>
      </c>
      <c r="AL23" s="194">
        <v>6.1465493450105786</v>
      </c>
      <c r="AM23" s="194">
        <v>-12.915128311439966</v>
      </c>
      <c r="AN23" s="194">
        <v>7.3684298195467983</v>
      </c>
      <c r="AO23" s="194" t="s">
        <v>985</v>
      </c>
      <c r="AP23" s="194">
        <v>8.5958337282494739</v>
      </c>
    </row>
    <row r="24" spans="1:42" ht="12" customHeight="1">
      <c r="A24" s="189" t="s">
        <v>730</v>
      </c>
      <c r="B24" s="189" t="s">
        <v>730</v>
      </c>
      <c r="C24" s="189" t="s">
        <v>693</v>
      </c>
      <c r="D24" s="189" t="s">
        <v>754</v>
      </c>
      <c r="E24" s="189" t="s">
        <v>754</v>
      </c>
      <c r="F24" s="190" t="s">
        <v>730</v>
      </c>
      <c r="G24" s="190" t="s">
        <v>693</v>
      </c>
      <c r="H24" s="190"/>
      <c r="I24" s="191"/>
      <c r="J24" s="191"/>
      <c r="K24" s="192">
        <v>232455296.51000002</v>
      </c>
      <c r="L24" s="192">
        <v>123753552.89999999</v>
      </c>
      <c r="M24" s="192">
        <v>711525282.11000013</v>
      </c>
      <c r="N24" s="192">
        <v>431737778.85999995</v>
      </c>
      <c r="O24" s="192">
        <v>7807010.7799999993</v>
      </c>
      <c r="P24" s="192">
        <v>226736781.01000002</v>
      </c>
      <c r="Q24" s="192" t="s">
        <v>985</v>
      </c>
      <c r="R24" s="192">
        <v>1734015702.1700001</v>
      </c>
      <c r="S24" s="192">
        <v>226463743.95000002</v>
      </c>
      <c r="T24" s="192">
        <v>131287371.23999999</v>
      </c>
      <c r="U24" s="192">
        <v>640067988.50999999</v>
      </c>
      <c r="V24" s="192">
        <v>431729952.75999999</v>
      </c>
      <c r="W24" s="192">
        <v>8893959.1899999995</v>
      </c>
      <c r="X24" s="192">
        <v>211008609.43633047</v>
      </c>
      <c r="Y24" s="192" t="s">
        <v>985</v>
      </c>
      <c r="Z24" s="192">
        <v>1649451625.0863307</v>
      </c>
      <c r="AA24" s="193">
        <v>5991552.5600000024</v>
      </c>
      <c r="AB24" s="193">
        <v>-7533818.3400000036</v>
      </c>
      <c r="AC24" s="193">
        <v>71457293.600000143</v>
      </c>
      <c r="AD24" s="193">
        <v>7826.0999999642372</v>
      </c>
      <c r="AE24" s="193">
        <v>-1086948.4100000001</v>
      </c>
      <c r="AF24" s="193">
        <v>15728171.573669553</v>
      </c>
      <c r="AG24" s="193" t="s">
        <v>985</v>
      </c>
      <c r="AH24" s="193">
        <v>84564077.083669424</v>
      </c>
      <c r="AI24" s="194">
        <v>2.6457005680003474</v>
      </c>
      <c r="AJ24" s="194">
        <v>-5.7384181500807108</v>
      </c>
      <c r="AK24" s="194">
        <v>11.164016148713198</v>
      </c>
      <c r="AL24" s="194">
        <v>1.8127303769249455E-3</v>
      </c>
      <c r="AM24" s="194">
        <v>-12.221198532393988</v>
      </c>
      <c r="AN24" s="194">
        <v>7.4538056128062191</v>
      </c>
      <c r="AO24" s="194" t="s">
        <v>985</v>
      </c>
      <c r="AP24" s="194">
        <v>5.1267994645943871</v>
      </c>
    </row>
    <row r="25" spans="1:42" ht="12" customHeight="1">
      <c r="A25" s="189" t="s">
        <v>731</v>
      </c>
      <c r="B25" s="189" t="s">
        <v>731</v>
      </c>
      <c r="C25" s="189" t="s">
        <v>695</v>
      </c>
      <c r="D25" s="189" t="s">
        <v>754</v>
      </c>
      <c r="E25" s="189" t="s">
        <v>754</v>
      </c>
      <c r="F25" s="190" t="s">
        <v>731</v>
      </c>
      <c r="G25" s="190" t="s">
        <v>695</v>
      </c>
      <c r="H25" s="190"/>
      <c r="I25" s="191"/>
      <c r="J25" s="191"/>
      <c r="K25" s="192">
        <v>162361924.23000002</v>
      </c>
      <c r="L25" s="192">
        <v>64205635.68</v>
      </c>
      <c r="M25" s="192">
        <v>487712775.4600001</v>
      </c>
      <c r="N25" s="192">
        <v>295796603.50999999</v>
      </c>
      <c r="O25" s="192">
        <v>6878601.75</v>
      </c>
      <c r="P25" s="192">
        <v>157444930.28999999</v>
      </c>
      <c r="Q25" s="192" t="s">
        <v>985</v>
      </c>
      <c r="R25" s="192">
        <v>1174400470.9200001</v>
      </c>
      <c r="S25" s="192">
        <v>158238934.35123026</v>
      </c>
      <c r="T25" s="192">
        <v>67828048.840000004</v>
      </c>
      <c r="U25" s="192">
        <v>435814573.10999978</v>
      </c>
      <c r="V25" s="192">
        <v>283926271.34000003</v>
      </c>
      <c r="W25" s="192">
        <v>8648642.2899999991</v>
      </c>
      <c r="X25" s="192">
        <v>148580187.91999996</v>
      </c>
      <c r="Y25" s="192" t="s">
        <v>985</v>
      </c>
      <c r="Z25" s="192">
        <v>1103036657.8512301</v>
      </c>
      <c r="AA25" s="193">
        <v>4122989.8787697554</v>
      </c>
      <c r="AB25" s="193">
        <v>-3622413.1600000039</v>
      </c>
      <c r="AC25" s="193">
        <v>51898202.350000322</v>
      </c>
      <c r="AD25" s="193">
        <v>11870332.169999957</v>
      </c>
      <c r="AE25" s="193">
        <v>-1770040.5399999991</v>
      </c>
      <c r="AF25" s="193">
        <v>8864742.3700000346</v>
      </c>
      <c r="AG25" s="193" t="s">
        <v>985</v>
      </c>
      <c r="AH25" s="193">
        <v>71363813.068769932</v>
      </c>
      <c r="AI25" s="194">
        <v>2.6055470454687755</v>
      </c>
      <c r="AJ25" s="194">
        <v>-5.3405828738269268</v>
      </c>
      <c r="AK25" s="194">
        <v>11.908321922245861</v>
      </c>
      <c r="AL25" s="194">
        <v>4.1807797897593302</v>
      </c>
      <c r="AM25" s="194">
        <v>-20.466108790816914</v>
      </c>
      <c r="AN25" s="194">
        <v>5.9663017620983751</v>
      </c>
      <c r="AO25" s="194" t="s">
        <v>985</v>
      </c>
      <c r="AP25" s="194">
        <v>6.4697589659250463</v>
      </c>
    </row>
    <row r="26" spans="1:42" ht="12" customHeight="1">
      <c r="A26" s="189" t="s">
        <v>903</v>
      </c>
      <c r="B26" s="189"/>
      <c r="C26" s="189" t="s">
        <v>1199</v>
      </c>
      <c r="D26" s="189" t="s">
        <v>755</v>
      </c>
      <c r="E26" s="189" t="s">
        <v>884</v>
      </c>
      <c r="F26" s="190" t="s">
        <v>728</v>
      </c>
      <c r="G26" s="189" t="s">
        <v>687</v>
      </c>
      <c r="H26" s="279"/>
      <c r="I26" s="195"/>
      <c r="J26" s="195"/>
      <c r="K26" s="192">
        <v>25300147.539999995</v>
      </c>
      <c r="L26" s="192">
        <v>12585732.960000003</v>
      </c>
      <c r="M26" s="192">
        <v>73434908.329999983</v>
      </c>
      <c r="N26" s="192">
        <v>45391276.32</v>
      </c>
      <c r="O26" s="192">
        <v>1023801.2100000001</v>
      </c>
      <c r="P26" s="192">
        <v>23870982.699999999</v>
      </c>
      <c r="Q26" s="192">
        <v>2276910.62</v>
      </c>
      <c r="R26" s="192">
        <v>181606849.05999997</v>
      </c>
      <c r="S26" s="192">
        <v>23992421.949999999</v>
      </c>
      <c r="T26" s="192">
        <v>15332276.950000001</v>
      </c>
      <c r="U26" s="192">
        <v>64621571.340000004</v>
      </c>
      <c r="V26" s="192">
        <v>45629287.759999998</v>
      </c>
      <c r="W26" s="192">
        <v>1024665.19</v>
      </c>
      <c r="X26" s="192">
        <v>22551201.690000001</v>
      </c>
      <c r="Y26" s="192">
        <v>2210816.16</v>
      </c>
      <c r="Z26" s="192">
        <v>173151424.88</v>
      </c>
      <c r="AA26" s="193">
        <v>1307725.5899999961</v>
      </c>
      <c r="AB26" s="193">
        <v>-2746543.9899999984</v>
      </c>
      <c r="AC26" s="193">
        <v>8813336.9899999797</v>
      </c>
      <c r="AD26" s="193">
        <v>-238011.43999999762</v>
      </c>
      <c r="AE26" s="193">
        <v>-863.97999999986496</v>
      </c>
      <c r="AF26" s="193">
        <v>1319781.0099999979</v>
      </c>
      <c r="AG26" s="193">
        <v>66094.459999999963</v>
      </c>
      <c r="AH26" s="193">
        <v>8455424.1799999774</v>
      </c>
      <c r="AI26" s="194">
        <v>5.4505776562503154</v>
      </c>
      <c r="AJ26" s="194">
        <v>-17.913477554291102</v>
      </c>
      <c r="AK26" s="194">
        <v>13.638382365587304</v>
      </c>
      <c r="AL26" s="194">
        <v>-0.52161988863794095</v>
      </c>
      <c r="AM26" s="194">
        <v>-8.431827375729091E-2</v>
      </c>
      <c r="AN26" s="194">
        <v>5.8523755325430642</v>
      </c>
      <c r="AO26" s="194">
        <v>2.9895954804310803</v>
      </c>
      <c r="AP26" s="194">
        <v>4.8832541723869047</v>
      </c>
    </row>
    <row r="27" spans="1:42" ht="12" customHeight="1">
      <c r="A27" s="189" t="s">
        <v>391</v>
      </c>
      <c r="B27" s="189"/>
      <c r="C27" s="189" t="s">
        <v>912</v>
      </c>
      <c r="D27" s="189" t="s">
        <v>755</v>
      </c>
      <c r="E27" s="189" t="s">
        <v>884</v>
      </c>
      <c r="F27" s="190" t="s">
        <v>728</v>
      </c>
      <c r="G27" s="189" t="s">
        <v>687</v>
      </c>
      <c r="H27" s="197"/>
      <c r="I27" s="195"/>
      <c r="J27" s="195"/>
      <c r="K27" s="192">
        <v>17339874.829999998</v>
      </c>
      <c r="L27" s="192">
        <v>7073905.6300000008</v>
      </c>
      <c r="M27" s="192">
        <v>50412561.280000001</v>
      </c>
      <c r="N27" s="192">
        <v>31117423.220000006</v>
      </c>
      <c r="O27" s="192">
        <v>858317.28</v>
      </c>
      <c r="P27" s="192">
        <v>16241827.139999999</v>
      </c>
      <c r="Q27" s="192">
        <v>1775195.9400000004</v>
      </c>
      <c r="R27" s="192">
        <v>123043909.38000001</v>
      </c>
      <c r="S27" s="192">
        <v>16539619.560000001</v>
      </c>
      <c r="T27" s="192">
        <v>6492249.040000001</v>
      </c>
      <c r="U27" s="192">
        <v>43752351.100000016</v>
      </c>
      <c r="V27" s="192">
        <v>29558970.619999997</v>
      </c>
      <c r="W27" s="192">
        <v>874281.11</v>
      </c>
      <c r="X27" s="192">
        <v>15055669.4</v>
      </c>
      <c r="Y27" s="192">
        <v>1549998.41</v>
      </c>
      <c r="Z27" s="192">
        <v>112273140.83000003</v>
      </c>
      <c r="AA27" s="193">
        <v>800255.26999999769</v>
      </c>
      <c r="AB27" s="193">
        <v>581656.58999999985</v>
      </c>
      <c r="AC27" s="193">
        <v>6660210.1799999848</v>
      </c>
      <c r="AD27" s="193">
        <v>1558452.6000000089</v>
      </c>
      <c r="AE27" s="193">
        <v>-15963.829999999958</v>
      </c>
      <c r="AF27" s="193">
        <v>1186157.7399999984</v>
      </c>
      <c r="AG27" s="193">
        <v>225197.53000000049</v>
      </c>
      <c r="AH27" s="193">
        <v>10770768.549999982</v>
      </c>
      <c r="AI27" s="194">
        <v>4.8384140100499247</v>
      </c>
      <c r="AJ27" s="194">
        <v>8.9592464247181702</v>
      </c>
      <c r="AK27" s="194">
        <v>15.222519504786069</v>
      </c>
      <c r="AL27" s="194">
        <v>5.2723507189575098</v>
      </c>
      <c r="AM27" s="194">
        <v>-1.8259378839833287</v>
      </c>
      <c r="AN27" s="194">
        <v>7.8784789203726699</v>
      </c>
      <c r="AO27" s="194">
        <v>14.528887807052687</v>
      </c>
      <c r="AP27" s="194">
        <v>9.5933617518625347</v>
      </c>
    </row>
    <row r="28" spans="1:42" ht="12" customHeight="1">
      <c r="A28" s="189" t="s">
        <v>392</v>
      </c>
      <c r="B28" s="189"/>
      <c r="C28" s="189" t="s">
        <v>911</v>
      </c>
      <c r="D28" s="189" t="s">
        <v>755</v>
      </c>
      <c r="E28" s="189" t="s">
        <v>884</v>
      </c>
      <c r="F28" s="190" t="s">
        <v>728</v>
      </c>
      <c r="G28" s="189" t="s">
        <v>687</v>
      </c>
      <c r="H28" s="197"/>
      <c r="I28" s="195"/>
      <c r="J28" s="195"/>
      <c r="K28" s="192">
        <v>12866846.909999998</v>
      </c>
      <c r="L28" s="192">
        <v>4007726.9699999997</v>
      </c>
      <c r="M28" s="192">
        <v>32101051.66</v>
      </c>
      <c r="N28" s="192">
        <v>19767627.720000003</v>
      </c>
      <c r="O28" s="192">
        <v>464567.07999999996</v>
      </c>
      <c r="P28" s="192">
        <v>10390223.57</v>
      </c>
      <c r="Q28" s="192">
        <v>932499.98</v>
      </c>
      <c r="R28" s="192">
        <v>79598043.909999996</v>
      </c>
      <c r="S28" s="192">
        <v>13148430.410000002</v>
      </c>
      <c r="T28" s="192">
        <v>4658640.05</v>
      </c>
      <c r="U28" s="192">
        <v>28591251.259999994</v>
      </c>
      <c r="V28" s="192">
        <v>19529064.050000001</v>
      </c>
      <c r="W28" s="192">
        <v>397953.44000000006</v>
      </c>
      <c r="X28" s="192">
        <v>10096488.899999999</v>
      </c>
      <c r="Y28" s="192">
        <v>904267.97000000009</v>
      </c>
      <c r="Z28" s="192">
        <v>76421828.109999985</v>
      </c>
      <c r="AA28" s="193">
        <v>-281583.50000000373</v>
      </c>
      <c r="AB28" s="193">
        <v>-650913.08000000007</v>
      </c>
      <c r="AC28" s="193">
        <v>3509800.400000006</v>
      </c>
      <c r="AD28" s="193">
        <v>238563.67000000179</v>
      </c>
      <c r="AE28" s="193">
        <v>66613.639999999898</v>
      </c>
      <c r="AF28" s="193">
        <v>293734.67000000179</v>
      </c>
      <c r="AG28" s="193">
        <v>28232.009999999893</v>
      </c>
      <c r="AH28" s="193">
        <v>3176215.8000000119</v>
      </c>
      <c r="AI28" s="194">
        <v>-2.1415750110054672</v>
      </c>
      <c r="AJ28" s="194">
        <v>-13.972169410255256</v>
      </c>
      <c r="AK28" s="194">
        <v>12.275784533118076</v>
      </c>
      <c r="AL28" s="194">
        <v>1.2215827107188058</v>
      </c>
      <c r="AM28" s="194">
        <v>16.739053694321598</v>
      </c>
      <c r="AN28" s="194">
        <v>2.9092754214784691</v>
      </c>
      <c r="AO28" s="194">
        <v>3.122084485642004</v>
      </c>
      <c r="AP28" s="194">
        <v>4.1561630734981021</v>
      </c>
    </row>
    <row r="29" spans="1:42" ht="12" customHeight="1">
      <c r="A29" s="189" t="s">
        <v>393</v>
      </c>
      <c r="B29" s="189"/>
      <c r="C29" s="189" t="s">
        <v>4</v>
      </c>
      <c r="D29" s="189" t="s">
        <v>755</v>
      </c>
      <c r="E29" s="189" t="s">
        <v>885</v>
      </c>
      <c r="F29" s="190" t="s">
        <v>728</v>
      </c>
      <c r="G29" s="189" t="s">
        <v>687</v>
      </c>
      <c r="H29" s="197"/>
      <c r="I29" s="195"/>
      <c r="J29" s="195"/>
      <c r="K29" s="192">
        <v>22567061.049999997</v>
      </c>
      <c r="L29" s="192">
        <v>9931609.629999999</v>
      </c>
      <c r="M29" s="192">
        <v>64311827.140000001</v>
      </c>
      <c r="N29" s="192">
        <v>45230145.079999991</v>
      </c>
      <c r="O29" s="192">
        <v>998142.20000000007</v>
      </c>
      <c r="P29" s="192">
        <v>21574233.419999998</v>
      </c>
      <c r="Q29" s="192">
        <v>768130.97999999986</v>
      </c>
      <c r="R29" s="192">
        <v>164613018.51999995</v>
      </c>
      <c r="S29" s="192">
        <v>22678137.879999999</v>
      </c>
      <c r="T29" s="192">
        <v>11041181.210000001</v>
      </c>
      <c r="U29" s="192">
        <v>56513808.279999986</v>
      </c>
      <c r="V29" s="192">
        <v>43657663.219999999</v>
      </c>
      <c r="W29" s="192">
        <v>1138693.07</v>
      </c>
      <c r="X29" s="192">
        <v>20352232.66</v>
      </c>
      <c r="Y29" s="192">
        <v>745464.77</v>
      </c>
      <c r="Z29" s="192">
        <v>155381716.31999999</v>
      </c>
      <c r="AA29" s="193">
        <v>-111076.83000000194</v>
      </c>
      <c r="AB29" s="193">
        <v>-1109571.5800000019</v>
      </c>
      <c r="AC29" s="193">
        <v>7798018.8600000143</v>
      </c>
      <c r="AD29" s="193">
        <v>1572481.859999992</v>
      </c>
      <c r="AE29" s="193">
        <v>-140550.87</v>
      </c>
      <c r="AF29" s="193">
        <v>1222000.7599999979</v>
      </c>
      <c r="AG29" s="193">
        <v>22666.209999999846</v>
      </c>
      <c r="AH29" s="193">
        <v>9231302.1999999583</v>
      </c>
      <c r="AI29" s="194">
        <v>-0.48979696034902998</v>
      </c>
      <c r="AJ29" s="194">
        <v>-10.049391988921101</v>
      </c>
      <c r="AK29" s="194">
        <v>13.798431033641211</v>
      </c>
      <c r="AL29" s="194">
        <v>3.6018461457177189</v>
      </c>
      <c r="AM29" s="194">
        <v>-12.343174267320341</v>
      </c>
      <c r="AN29" s="194">
        <v>6.0042589941579312</v>
      </c>
      <c r="AO29" s="194">
        <v>3.0405474426376777</v>
      </c>
      <c r="AP29" s="194">
        <v>5.9410479035954307</v>
      </c>
    </row>
    <row r="30" spans="1:42" ht="12" customHeight="1">
      <c r="A30" s="189" t="s">
        <v>394</v>
      </c>
      <c r="B30" s="189"/>
      <c r="C30" s="189" t="s">
        <v>978</v>
      </c>
      <c r="D30" s="189" t="s">
        <v>755</v>
      </c>
      <c r="E30" s="189" t="s">
        <v>881</v>
      </c>
      <c r="F30" s="190" t="s">
        <v>728</v>
      </c>
      <c r="G30" s="189" t="s">
        <v>687</v>
      </c>
      <c r="H30" s="198"/>
      <c r="I30" s="195"/>
      <c r="J30" s="195"/>
      <c r="K30" s="192">
        <v>15117537.32</v>
      </c>
      <c r="L30" s="192">
        <v>8058731.3400000008</v>
      </c>
      <c r="M30" s="192">
        <v>48224426.949999996</v>
      </c>
      <c r="N30" s="192">
        <v>31607848.849999994</v>
      </c>
      <c r="O30" s="192">
        <v>539498.75</v>
      </c>
      <c r="P30" s="192">
        <v>15334952.030000001</v>
      </c>
      <c r="Q30" s="192">
        <v>1581754</v>
      </c>
      <c r="R30" s="192">
        <v>118882995.23999999</v>
      </c>
      <c r="S30" s="192">
        <v>15272342.659999998</v>
      </c>
      <c r="T30" s="192">
        <v>7027011.1699999999</v>
      </c>
      <c r="U30" s="192">
        <v>42662715.399999984</v>
      </c>
      <c r="V30" s="192">
        <v>30313279.889999997</v>
      </c>
      <c r="W30" s="192">
        <v>655520.15999999992</v>
      </c>
      <c r="X30" s="192">
        <v>14502804.600000001</v>
      </c>
      <c r="Y30" s="192">
        <v>1394189.4500000002</v>
      </c>
      <c r="Z30" s="192">
        <v>110433673.87999997</v>
      </c>
      <c r="AA30" s="193">
        <v>-154805.33999999799</v>
      </c>
      <c r="AB30" s="193">
        <v>1031720.1700000009</v>
      </c>
      <c r="AC30" s="193">
        <v>5561711.5500000119</v>
      </c>
      <c r="AD30" s="193">
        <v>1294568.9599999972</v>
      </c>
      <c r="AE30" s="193">
        <v>-116021.40999999992</v>
      </c>
      <c r="AF30" s="193">
        <v>832147.4299999997</v>
      </c>
      <c r="AG30" s="193">
        <v>187564.54999999981</v>
      </c>
      <c r="AH30" s="193">
        <v>8449321.3600000292</v>
      </c>
      <c r="AI30" s="194">
        <v>-1.0136319191256151</v>
      </c>
      <c r="AJ30" s="194">
        <v>14.682204781524502</v>
      </c>
      <c r="AK30" s="194">
        <v>13.036468724163802</v>
      </c>
      <c r="AL30" s="194">
        <v>4.2706330845678657</v>
      </c>
      <c r="AM30" s="194">
        <v>-17.699136819834791</v>
      </c>
      <c r="AN30" s="194">
        <v>5.7378379765248972</v>
      </c>
      <c r="AO30" s="194">
        <v>13.453304355444647</v>
      </c>
      <c r="AP30" s="194">
        <v>7.6510371004964277</v>
      </c>
    </row>
    <row r="31" spans="1:42" ht="12" customHeight="1">
      <c r="A31" s="189" t="s">
        <v>395</v>
      </c>
      <c r="B31" s="189"/>
      <c r="C31" s="189" t="s">
        <v>5</v>
      </c>
      <c r="D31" s="189" t="s">
        <v>755</v>
      </c>
      <c r="E31" s="189" t="s">
        <v>885</v>
      </c>
      <c r="F31" s="190" t="s">
        <v>728</v>
      </c>
      <c r="G31" s="189" t="s">
        <v>687</v>
      </c>
      <c r="H31" s="197"/>
      <c r="I31" s="195"/>
      <c r="J31" s="195"/>
      <c r="K31" s="192">
        <v>13145603.899999999</v>
      </c>
      <c r="L31" s="192">
        <v>7746878.9000000004</v>
      </c>
      <c r="M31" s="192">
        <v>44877131.720000014</v>
      </c>
      <c r="N31" s="192">
        <v>28679217.590000004</v>
      </c>
      <c r="O31" s="192">
        <v>1158691.5199999998</v>
      </c>
      <c r="P31" s="192">
        <v>14314467.129999999</v>
      </c>
      <c r="Q31" s="192">
        <v>1989494.8199999998</v>
      </c>
      <c r="R31" s="192">
        <v>109921990.76000001</v>
      </c>
      <c r="S31" s="192">
        <v>12960597.220000001</v>
      </c>
      <c r="T31" s="192">
        <v>7765231.6300000008</v>
      </c>
      <c r="U31" s="192">
        <v>38686342.070000008</v>
      </c>
      <c r="V31" s="192">
        <v>26280256.02</v>
      </c>
      <c r="W31" s="192">
        <v>1188879.4300000002</v>
      </c>
      <c r="X31" s="192">
        <v>13325210.809999999</v>
      </c>
      <c r="Y31" s="192">
        <v>1847875.51</v>
      </c>
      <c r="Z31" s="192">
        <v>100206517.18000002</v>
      </c>
      <c r="AA31" s="193">
        <v>185006.67999999784</v>
      </c>
      <c r="AB31" s="193">
        <v>-18352.730000000447</v>
      </c>
      <c r="AC31" s="193">
        <v>6190789.650000006</v>
      </c>
      <c r="AD31" s="193">
        <v>2398961.570000004</v>
      </c>
      <c r="AE31" s="193">
        <v>-30187.910000000382</v>
      </c>
      <c r="AF31" s="193">
        <v>989256.3200000003</v>
      </c>
      <c r="AG31" s="193">
        <v>141619.30999999982</v>
      </c>
      <c r="AH31" s="193">
        <v>9715473.5799999833</v>
      </c>
      <c r="AI31" s="194">
        <v>1.4274548993352472</v>
      </c>
      <c r="AJ31" s="194">
        <v>-0.2363449137704659</v>
      </c>
      <c r="AK31" s="194">
        <v>16.002520059400396</v>
      </c>
      <c r="AL31" s="194">
        <v>9.1283797546505188</v>
      </c>
      <c r="AM31" s="194">
        <v>-2.5391902019871249</v>
      </c>
      <c r="AN31" s="194">
        <v>7.4239449874789667</v>
      </c>
      <c r="AO31" s="194">
        <v>7.6638988521472324</v>
      </c>
      <c r="AP31" s="194">
        <v>9.6954508084021818</v>
      </c>
    </row>
    <row r="32" spans="1:42" ht="12" customHeight="1">
      <c r="A32" s="189" t="s">
        <v>396</v>
      </c>
      <c r="B32" s="189"/>
      <c r="C32" s="189" t="s">
        <v>6</v>
      </c>
      <c r="D32" s="189" t="s">
        <v>755</v>
      </c>
      <c r="E32" s="189" t="s">
        <v>881</v>
      </c>
      <c r="F32" s="190" t="s">
        <v>728</v>
      </c>
      <c r="G32" s="189" t="s">
        <v>687</v>
      </c>
      <c r="H32" s="197"/>
      <c r="I32" s="195"/>
      <c r="J32" s="195"/>
      <c r="K32" s="192">
        <v>12398500.050000001</v>
      </c>
      <c r="L32" s="192">
        <v>5892383.4000000004</v>
      </c>
      <c r="M32" s="192">
        <v>36695688.180000022</v>
      </c>
      <c r="N32" s="192">
        <v>22717095.509999998</v>
      </c>
      <c r="O32" s="192">
        <v>305675.52000000002</v>
      </c>
      <c r="P32" s="192">
        <v>11957198.160000002</v>
      </c>
      <c r="Q32" s="192">
        <v>407111.45</v>
      </c>
      <c r="R32" s="192">
        <v>89966540.820000008</v>
      </c>
      <c r="S32" s="192">
        <v>12052212.630000001</v>
      </c>
      <c r="T32" s="192">
        <v>5514736.4199999999</v>
      </c>
      <c r="U32" s="192">
        <v>32407250.350000001</v>
      </c>
      <c r="V32" s="192">
        <v>22617452.069999997</v>
      </c>
      <c r="W32" s="192">
        <v>455136.46</v>
      </c>
      <c r="X32" s="192">
        <v>11459009.010000002</v>
      </c>
      <c r="Y32" s="192">
        <v>432172.64</v>
      </c>
      <c r="Z32" s="192">
        <v>84505796.939999998</v>
      </c>
      <c r="AA32" s="193">
        <v>346287.41999999993</v>
      </c>
      <c r="AB32" s="193">
        <v>377646.98000000045</v>
      </c>
      <c r="AC32" s="193">
        <v>4288437.8300000206</v>
      </c>
      <c r="AD32" s="193">
        <v>99643.440000001341</v>
      </c>
      <c r="AE32" s="193">
        <v>-149460.94</v>
      </c>
      <c r="AF32" s="193">
        <v>498189.15000000037</v>
      </c>
      <c r="AG32" s="193">
        <v>-25061.190000000002</v>
      </c>
      <c r="AH32" s="193">
        <v>5460743.8800000101</v>
      </c>
      <c r="AI32" s="194">
        <v>2.8732269387451046</v>
      </c>
      <c r="AJ32" s="194">
        <v>6.8479606501302275</v>
      </c>
      <c r="AK32" s="194">
        <v>13.23295800688015</v>
      </c>
      <c r="AL32" s="194">
        <v>0.44055996975967665</v>
      </c>
      <c r="AM32" s="194">
        <v>-32.838709515823012</v>
      </c>
      <c r="AN32" s="194">
        <v>4.3475762133116627</v>
      </c>
      <c r="AO32" s="194">
        <v>-5.7988839830304855</v>
      </c>
      <c r="AP32" s="194">
        <v>6.4619754830277447</v>
      </c>
    </row>
    <row r="33" spans="1:42" ht="12" customHeight="1">
      <c r="A33" s="189" t="s">
        <v>397</v>
      </c>
      <c r="B33" s="189"/>
      <c r="C33" s="189" t="s">
        <v>774</v>
      </c>
      <c r="D33" s="189" t="s">
        <v>755</v>
      </c>
      <c r="E33" s="189" t="s">
        <v>884</v>
      </c>
      <c r="F33" s="190" t="s">
        <v>728</v>
      </c>
      <c r="G33" s="189" t="s">
        <v>687</v>
      </c>
      <c r="H33" s="197"/>
      <c r="I33" s="195"/>
      <c r="J33" s="195"/>
      <c r="K33" s="192">
        <v>14990419.319999998</v>
      </c>
      <c r="L33" s="192">
        <v>7394498.3300000001</v>
      </c>
      <c r="M33" s="192">
        <v>46079780.759999983</v>
      </c>
      <c r="N33" s="192">
        <v>26435416.280000005</v>
      </c>
      <c r="O33" s="192">
        <v>684633.9800000001</v>
      </c>
      <c r="P33" s="192">
        <v>14356149.360000001</v>
      </c>
      <c r="Q33" s="192">
        <v>1553636.52</v>
      </c>
      <c r="R33" s="192">
        <v>109940898.02999999</v>
      </c>
      <c r="S33" s="192">
        <v>14687780.119999999</v>
      </c>
      <c r="T33" s="192">
        <v>8135660.2599999998</v>
      </c>
      <c r="U33" s="192">
        <v>40796687.490000002</v>
      </c>
      <c r="V33" s="192">
        <v>26252619.979999997</v>
      </c>
      <c r="W33" s="192">
        <v>478106.35999999993</v>
      </c>
      <c r="X33" s="192">
        <v>13810860.489999998</v>
      </c>
      <c r="Y33" s="192">
        <v>1367918.35</v>
      </c>
      <c r="Z33" s="192">
        <v>104161714.69999999</v>
      </c>
      <c r="AA33" s="193">
        <v>302639.19999999925</v>
      </c>
      <c r="AB33" s="193">
        <v>-741161.9299999997</v>
      </c>
      <c r="AC33" s="193">
        <v>5283093.2699999809</v>
      </c>
      <c r="AD33" s="193">
        <v>182796.3000000082</v>
      </c>
      <c r="AE33" s="193">
        <v>206527.62000000017</v>
      </c>
      <c r="AF33" s="193">
        <v>545288.87000000291</v>
      </c>
      <c r="AG33" s="193">
        <v>185718.16999999993</v>
      </c>
      <c r="AH33" s="193">
        <v>5779183.3299999982</v>
      </c>
      <c r="AI33" s="194">
        <v>2.0604829152357929</v>
      </c>
      <c r="AJ33" s="194">
        <v>-9.1100403201939955</v>
      </c>
      <c r="AK33" s="194">
        <v>12.949809396400042</v>
      </c>
      <c r="AL33" s="194">
        <v>0.6962973605654128</v>
      </c>
      <c r="AM33" s="194">
        <v>43.197003277680764</v>
      </c>
      <c r="AN33" s="194">
        <v>3.948261372959557</v>
      </c>
      <c r="AO33" s="194">
        <v>13.576699954350339</v>
      </c>
      <c r="AP33" s="194">
        <v>5.5482797558055168</v>
      </c>
    </row>
    <row r="34" spans="1:42" ht="12" customHeight="1">
      <c r="A34" s="189" t="s">
        <v>862</v>
      </c>
      <c r="B34" s="189"/>
      <c r="C34" s="189" t="s">
        <v>888</v>
      </c>
      <c r="D34" s="189" t="s">
        <v>756</v>
      </c>
      <c r="E34" s="189" t="s">
        <v>884</v>
      </c>
      <c r="F34" s="190" t="s">
        <v>728</v>
      </c>
      <c r="G34" s="189" t="s">
        <v>687</v>
      </c>
      <c r="H34" s="279"/>
      <c r="I34" s="195"/>
      <c r="J34" s="195"/>
      <c r="K34" s="192" t="s">
        <v>987</v>
      </c>
      <c r="L34" s="192">
        <v>11464732</v>
      </c>
      <c r="M34" s="192">
        <v>65200239</v>
      </c>
      <c r="N34" s="192">
        <v>43275418</v>
      </c>
      <c r="O34" s="192">
        <v>1080477</v>
      </c>
      <c r="P34" s="192">
        <v>21515054</v>
      </c>
      <c r="Q34" s="192">
        <v>453355</v>
      </c>
      <c r="R34" s="192" t="s">
        <v>987</v>
      </c>
      <c r="S34" s="192">
        <v>20147936</v>
      </c>
      <c r="T34" s="192">
        <v>11617158</v>
      </c>
      <c r="U34" s="192">
        <v>58234951</v>
      </c>
      <c r="V34" s="192">
        <v>41361501</v>
      </c>
      <c r="W34" s="192">
        <v>972951</v>
      </c>
      <c r="X34" s="192">
        <v>19889354</v>
      </c>
      <c r="Y34" s="192">
        <v>418004</v>
      </c>
      <c r="Z34" s="192">
        <v>152223851</v>
      </c>
      <c r="AA34" s="193" t="s">
        <v>985</v>
      </c>
      <c r="AB34" s="193">
        <v>-152426</v>
      </c>
      <c r="AC34" s="193">
        <v>6965288</v>
      </c>
      <c r="AD34" s="193">
        <v>1913917</v>
      </c>
      <c r="AE34" s="193">
        <v>107526</v>
      </c>
      <c r="AF34" s="193">
        <v>1625700</v>
      </c>
      <c r="AG34" s="193">
        <v>35351</v>
      </c>
      <c r="AH34" s="193" t="s">
        <v>985</v>
      </c>
      <c r="AI34" s="194" t="s">
        <v>985</v>
      </c>
      <c r="AJ34" s="194">
        <v>-1.3120764992608347</v>
      </c>
      <c r="AK34" s="194">
        <v>11.960666026833266</v>
      </c>
      <c r="AL34" s="194">
        <v>4.6272909679946093</v>
      </c>
      <c r="AM34" s="194">
        <v>11.051532913784969</v>
      </c>
      <c r="AN34" s="194">
        <v>8.1737194682139993</v>
      </c>
      <c r="AO34" s="194">
        <v>8.4570961043434991</v>
      </c>
      <c r="AP34" s="194" t="s">
        <v>985</v>
      </c>
    </row>
    <row r="35" spans="1:42" ht="12" customHeight="1">
      <c r="A35" s="189" t="s">
        <v>398</v>
      </c>
      <c r="B35" s="189"/>
      <c r="C35" s="189" t="s">
        <v>7</v>
      </c>
      <c r="D35" s="189" t="s">
        <v>755</v>
      </c>
      <c r="E35" s="189" t="s">
        <v>885</v>
      </c>
      <c r="F35" s="190" t="s">
        <v>727</v>
      </c>
      <c r="G35" s="189" t="s">
        <v>683</v>
      </c>
      <c r="H35" s="197"/>
      <c r="I35" s="195"/>
      <c r="J35" s="195"/>
      <c r="K35" s="192">
        <v>12788881.520000001</v>
      </c>
      <c r="L35" s="192">
        <v>6904215.2500000009</v>
      </c>
      <c r="M35" s="192">
        <v>39389676.310000032</v>
      </c>
      <c r="N35" s="192">
        <v>25056525.229999997</v>
      </c>
      <c r="O35" s="192">
        <v>627507.55999999994</v>
      </c>
      <c r="P35" s="192">
        <v>12814033.549999997</v>
      </c>
      <c r="Q35" s="192">
        <v>2041326.83</v>
      </c>
      <c r="R35" s="192">
        <v>97580839.420000032</v>
      </c>
      <c r="S35" s="192">
        <v>12318259.609999999</v>
      </c>
      <c r="T35" s="192">
        <v>8251069.629999998</v>
      </c>
      <c r="U35" s="192">
        <v>35244068.880000003</v>
      </c>
      <c r="V35" s="192">
        <v>25078185.789999995</v>
      </c>
      <c r="W35" s="192">
        <v>834006.79</v>
      </c>
      <c r="X35" s="192">
        <v>12161631</v>
      </c>
      <c r="Y35" s="192">
        <v>1951848.1400000001</v>
      </c>
      <c r="Z35" s="192">
        <v>93887221.700000003</v>
      </c>
      <c r="AA35" s="193">
        <v>470621.91000000201</v>
      </c>
      <c r="AB35" s="193">
        <v>-1346854.3799999971</v>
      </c>
      <c r="AC35" s="193">
        <v>4145607.4300000295</v>
      </c>
      <c r="AD35" s="193">
        <v>-21660.559999998659</v>
      </c>
      <c r="AE35" s="193">
        <v>-206499.2300000001</v>
      </c>
      <c r="AF35" s="193">
        <v>652402.54999999702</v>
      </c>
      <c r="AG35" s="193">
        <v>89478.689999999944</v>
      </c>
      <c r="AH35" s="193">
        <v>3693617.7200000286</v>
      </c>
      <c r="AI35" s="194">
        <v>3.8205227434722171</v>
      </c>
      <c r="AJ35" s="194">
        <v>-16.323391274059549</v>
      </c>
      <c r="AK35" s="194">
        <v>11.762567608510556</v>
      </c>
      <c r="AL35" s="194">
        <v>-8.6372117111580993E-2</v>
      </c>
      <c r="AM35" s="194">
        <v>-24.75989793800121</v>
      </c>
      <c r="AN35" s="194">
        <v>5.3644330271161573</v>
      </c>
      <c r="AO35" s="194">
        <v>4.5843059286364323</v>
      </c>
      <c r="AP35" s="194">
        <v>3.9341005656790338</v>
      </c>
    </row>
    <row r="36" spans="1:42" ht="12" customHeight="1">
      <c r="A36" s="189" t="s">
        <v>399</v>
      </c>
      <c r="B36" s="189"/>
      <c r="C36" s="189" t="s">
        <v>8</v>
      </c>
      <c r="D36" s="189" t="s">
        <v>755</v>
      </c>
      <c r="E36" s="189" t="s">
        <v>884</v>
      </c>
      <c r="F36" s="190" t="s">
        <v>727</v>
      </c>
      <c r="G36" s="189" t="s">
        <v>683</v>
      </c>
      <c r="H36" s="197"/>
      <c r="I36" s="195"/>
      <c r="J36" s="195"/>
      <c r="K36" s="192">
        <v>8779904.6899999995</v>
      </c>
      <c r="L36" s="192">
        <v>3608379.67</v>
      </c>
      <c r="M36" s="192">
        <v>24732204.480000008</v>
      </c>
      <c r="N36" s="192">
        <v>15742993.490000002</v>
      </c>
      <c r="O36" s="192">
        <v>320022.77</v>
      </c>
      <c r="P36" s="192">
        <v>7964689.5900000008</v>
      </c>
      <c r="Q36" s="192">
        <v>560948.77</v>
      </c>
      <c r="R36" s="192">
        <v>61148194.690000013</v>
      </c>
      <c r="S36" s="192">
        <v>9012191.620000001</v>
      </c>
      <c r="T36" s="192">
        <v>3933749.9200000004</v>
      </c>
      <c r="U36" s="192">
        <v>22023514.800000004</v>
      </c>
      <c r="V36" s="192">
        <v>15790499.700000001</v>
      </c>
      <c r="W36" s="192">
        <v>449843.69999999995</v>
      </c>
      <c r="X36" s="192">
        <v>7598315.2799999993</v>
      </c>
      <c r="Y36" s="192">
        <v>515942.97000000003</v>
      </c>
      <c r="Z36" s="192">
        <v>58808115.020000011</v>
      </c>
      <c r="AA36" s="193">
        <v>-232286.93000000156</v>
      </c>
      <c r="AB36" s="193">
        <v>-325370.25000000047</v>
      </c>
      <c r="AC36" s="193">
        <v>2708689.6800000034</v>
      </c>
      <c r="AD36" s="193">
        <v>-47506.209999999031</v>
      </c>
      <c r="AE36" s="193">
        <v>-129820.92999999993</v>
      </c>
      <c r="AF36" s="193">
        <v>366374.31000000145</v>
      </c>
      <c r="AG36" s="193">
        <v>45005.799999999988</v>
      </c>
      <c r="AH36" s="193">
        <v>2340079.6700000018</v>
      </c>
      <c r="AI36" s="194">
        <v>-2.5774743790900612</v>
      </c>
      <c r="AJ36" s="194">
        <v>-8.2712489765999262</v>
      </c>
      <c r="AK36" s="194">
        <v>12.29907989073571</v>
      </c>
      <c r="AL36" s="194">
        <v>-0.30085311359715255</v>
      </c>
      <c r="AM36" s="194">
        <v>-28.859119289655482</v>
      </c>
      <c r="AN36" s="194">
        <v>4.8217834677689435</v>
      </c>
      <c r="AO36" s="194">
        <v>8.7230183599555566</v>
      </c>
      <c r="AP36" s="194">
        <v>3.9791781613883832</v>
      </c>
    </row>
    <row r="37" spans="1:42" ht="12" customHeight="1">
      <c r="A37" s="189" t="s">
        <v>400</v>
      </c>
      <c r="B37" s="189"/>
      <c r="C37" s="189" t="s">
        <v>9</v>
      </c>
      <c r="D37" s="189" t="s">
        <v>755</v>
      </c>
      <c r="E37" s="189" t="s">
        <v>884</v>
      </c>
      <c r="F37" s="190" t="s">
        <v>727</v>
      </c>
      <c r="G37" s="189" t="s">
        <v>683</v>
      </c>
      <c r="H37" s="197"/>
      <c r="I37" s="195"/>
      <c r="J37" s="195"/>
      <c r="K37" s="192">
        <v>11431408.029999999</v>
      </c>
      <c r="L37" s="192">
        <v>4200927.2300000004</v>
      </c>
      <c r="M37" s="192">
        <v>30504896.180000003</v>
      </c>
      <c r="N37" s="192">
        <v>19540023.93</v>
      </c>
      <c r="O37" s="192">
        <v>253086.55000000002</v>
      </c>
      <c r="P37" s="192">
        <v>9912761.160000002</v>
      </c>
      <c r="Q37" s="192">
        <v>749214.95</v>
      </c>
      <c r="R37" s="192">
        <v>75843103.079999998</v>
      </c>
      <c r="S37" s="192">
        <v>11758653.09</v>
      </c>
      <c r="T37" s="192">
        <v>4467777.2700000005</v>
      </c>
      <c r="U37" s="192">
        <v>26983495.399999995</v>
      </c>
      <c r="V37" s="192">
        <v>20104388.549999997</v>
      </c>
      <c r="W37" s="192">
        <v>222674.97</v>
      </c>
      <c r="X37" s="192">
        <v>9450680.6800000016</v>
      </c>
      <c r="Y37" s="192">
        <v>739224.71999999986</v>
      </c>
      <c r="Z37" s="192">
        <v>72987669.959999993</v>
      </c>
      <c r="AA37" s="193">
        <v>-327245.06000000052</v>
      </c>
      <c r="AB37" s="193">
        <v>-266850.04000000004</v>
      </c>
      <c r="AC37" s="193">
        <v>3521400.7800000086</v>
      </c>
      <c r="AD37" s="193">
        <v>-564364.61999999732</v>
      </c>
      <c r="AE37" s="193">
        <v>30411.580000000016</v>
      </c>
      <c r="AF37" s="193">
        <v>462080.48000000045</v>
      </c>
      <c r="AG37" s="193">
        <v>9990.2300000000978</v>
      </c>
      <c r="AH37" s="193">
        <v>2855433.1200000048</v>
      </c>
      <c r="AI37" s="194">
        <v>-2.7830148359279518</v>
      </c>
      <c r="AJ37" s="194">
        <v>-5.9727695422918874</v>
      </c>
      <c r="AK37" s="194">
        <v>13.05020245820343</v>
      </c>
      <c r="AL37" s="194">
        <v>-2.8071712730601668</v>
      </c>
      <c r="AM37" s="194">
        <v>13.657385919935239</v>
      </c>
      <c r="AN37" s="194">
        <v>4.8893883482686915</v>
      </c>
      <c r="AO37" s="194">
        <v>1.3514469591872009</v>
      </c>
      <c r="AP37" s="194">
        <v>3.9122130101767736</v>
      </c>
    </row>
    <row r="38" spans="1:42" ht="12" customHeight="1">
      <c r="A38" s="189" t="s">
        <v>859</v>
      </c>
      <c r="B38" s="189"/>
      <c r="C38" s="189" t="s">
        <v>24</v>
      </c>
      <c r="D38" s="189" t="s">
        <v>755</v>
      </c>
      <c r="E38" s="189" t="s">
        <v>885</v>
      </c>
      <c r="F38" s="190" t="s">
        <v>727</v>
      </c>
      <c r="G38" s="189" t="s">
        <v>683</v>
      </c>
      <c r="H38" s="197"/>
      <c r="I38" s="195"/>
      <c r="J38" s="195"/>
      <c r="K38" s="192">
        <v>10049014.609999999</v>
      </c>
      <c r="L38" s="192">
        <v>3851995.1300000008</v>
      </c>
      <c r="M38" s="192">
        <v>28496915.509999998</v>
      </c>
      <c r="N38" s="192">
        <v>21550453.84</v>
      </c>
      <c r="O38" s="192">
        <v>352567.83999999997</v>
      </c>
      <c r="P38" s="192">
        <v>9445266.4100000001</v>
      </c>
      <c r="Q38" s="192">
        <v>927830.63</v>
      </c>
      <c r="R38" s="192">
        <v>73746213.340000004</v>
      </c>
      <c r="S38" s="192">
        <v>9628385.1100000013</v>
      </c>
      <c r="T38" s="192">
        <v>4462035.5</v>
      </c>
      <c r="U38" s="192">
        <v>24988024.060000006</v>
      </c>
      <c r="V38" s="192">
        <v>21011842.400000002</v>
      </c>
      <c r="W38" s="192">
        <v>305649.56</v>
      </c>
      <c r="X38" s="192">
        <v>8976710.3900000006</v>
      </c>
      <c r="Y38" s="192">
        <v>834370.44999999984</v>
      </c>
      <c r="Z38" s="192">
        <v>69372647.020000011</v>
      </c>
      <c r="AA38" s="193">
        <v>420629.49999999814</v>
      </c>
      <c r="AB38" s="193">
        <v>-610040.36999999918</v>
      </c>
      <c r="AC38" s="193">
        <v>3508891.4499999918</v>
      </c>
      <c r="AD38" s="193">
        <v>538611.43999999762</v>
      </c>
      <c r="AE38" s="193">
        <v>46918.27999999997</v>
      </c>
      <c r="AF38" s="193">
        <v>468556.01999999955</v>
      </c>
      <c r="AG38" s="193">
        <v>93460.180000000168</v>
      </c>
      <c r="AH38" s="193">
        <v>4373566.3199999928</v>
      </c>
      <c r="AI38" s="194">
        <v>4.3686401737622029</v>
      </c>
      <c r="AJ38" s="194">
        <v>-13.671795529192879</v>
      </c>
      <c r="AK38" s="194">
        <v>14.042292586138927</v>
      </c>
      <c r="AL38" s="194">
        <v>2.5633708351058142</v>
      </c>
      <c r="AM38" s="194">
        <v>15.350350905134617</v>
      </c>
      <c r="AN38" s="194">
        <v>5.2196851590752891</v>
      </c>
      <c r="AO38" s="194">
        <v>11.201281157548207</v>
      </c>
      <c r="AP38" s="194">
        <v>6.3044535676130415</v>
      </c>
    </row>
    <row r="39" spans="1:42" ht="12" customHeight="1">
      <c r="A39" s="189" t="s">
        <v>401</v>
      </c>
      <c r="B39" s="189"/>
      <c r="C39" s="189" t="s">
        <v>10</v>
      </c>
      <c r="D39" s="189" t="s">
        <v>756</v>
      </c>
      <c r="E39" s="189" t="s">
        <v>881</v>
      </c>
      <c r="F39" s="190" t="s">
        <v>727</v>
      </c>
      <c r="G39" s="189" t="s">
        <v>683</v>
      </c>
      <c r="H39" s="197"/>
      <c r="I39" s="195"/>
      <c r="J39" s="195"/>
      <c r="K39" s="192">
        <v>10239195</v>
      </c>
      <c r="L39" s="192">
        <v>3747302</v>
      </c>
      <c r="M39" s="192">
        <v>27233724</v>
      </c>
      <c r="N39" s="192">
        <v>16555343</v>
      </c>
      <c r="O39" s="192">
        <v>194379</v>
      </c>
      <c r="P39" s="192">
        <v>8443353</v>
      </c>
      <c r="Q39" s="192">
        <v>1360261</v>
      </c>
      <c r="R39" s="192">
        <v>66413296</v>
      </c>
      <c r="S39" s="192">
        <v>10137973</v>
      </c>
      <c r="T39" s="192">
        <v>4321045</v>
      </c>
      <c r="U39" s="192">
        <v>25232091</v>
      </c>
      <c r="V39" s="192">
        <v>17052281</v>
      </c>
      <c r="W39" s="192">
        <v>321754</v>
      </c>
      <c r="X39" s="192">
        <v>8283698</v>
      </c>
      <c r="Y39" s="192">
        <v>1255087</v>
      </c>
      <c r="Z39" s="192">
        <v>65348842</v>
      </c>
      <c r="AA39" s="193">
        <v>101222</v>
      </c>
      <c r="AB39" s="193">
        <v>-573743</v>
      </c>
      <c r="AC39" s="193">
        <v>2001633</v>
      </c>
      <c r="AD39" s="193">
        <v>-496938</v>
      </c>
      <c r="AE39" s="193">
        <v>-127375</v>
      </c>
      <c r="AF39" s="193">
        <v>159655</v>
      </c>
      <c r="AG39" s="193">
        <v>105174</v>
      </c>
      <c r="AH39" s="193">
        <v>1064454</v>
      </c>
      <c r="AI39" s="194">
        <v>0.99844416630425026</v>
      </c>
      <c r="AJ39" s="194">
        <v>-13.277876069330452</v>
      </c>
      <c r="AK39" s="194">
        <v>7.9328859427464815</v>
      </c>
      <c r="AL39" s="194">
        <v>-2.9142025046385291</v>
      </c>
      <c r="AM39" s="194">
        <v>-39.587697433442941</v>
      </c>
      <c r="AN39" s="194">
        <v>1.9273396978016339</v>
      </c>
      <c r="AO39" s="194">
        <v>8.3798174947234738</v>
      </c>
      <c r="AP39" s="194">
        <v>1.6288796670643375</v>
      </c>
    </row>
    <row r="40" spans="1:42" ht="12" customHeight="1">
      <c r="A40" s="189" t="s">
        <v>402</v>
      </c>
      <c r="B40" s="189"/>
      <c r="C40" s="189" t="s">
        <v>11</v>
      </c>
      <c r="D40" s="189" t="s">
        <v>755</v>
      </c>
      <c r="E40" s="189" t="s">
        <v>881</v>
      </c>
      <c r="F40" s="190" t="s">
        <v>727</v>
      </c>
      <c r="G40" s="189" t="s">
        <v>683</v>
      </c>
      <c r="H40" s="197"/>
      <c r="I40" s="195"/>
      <c r="J40" s="195"/>
      <c r="K40" s="192">
        <v>13377554.34</v>
      </c>
      <c r="L40" s="192">
        <v>5500206.1000000006</v>
      </c>
      <c r="M40" s="192">
        <v>39032062.779999979</v>
      </c>
      <c r="N40" s="192">
        <v>25879496.509999994</v>
      </c>
      <c r="O40" s="192">
        <v>272457.93</v>
      </c>
      <c r="P40" s="192">
        <v>12710486.510000004</v>
      </c>
      <c r="Q40" s="192">
        <v>961819.4600000002</v>
      </c>
      <c r="R40" s="192">
        <v>96772264.169999987</v>
      </c>
      <c r="S40" s="192">
        <v>13177531.15</v>
      </c>
      <c r="T40" s="192">
        <v>6381465.54</v>
      </c>
      <c r="U40" s="192">
        <v>34801211.940000005</v>
      </c>
      <c r="V40" s="192">
        <v>25280446.549999997</v>
      </c>
      <c r="W40" s="192">
        <v>374345.61</v>
      </c>
      <c r="X40" s="192">
        <v>12176806.039999997</v>
      </c>
      <c r="Y40" s="192">
        <v>936938.5</v>
      </c>
      <c r="Z40" s="192">
        <v>92191806.829999998</v>
      </c>
      <c r="AA40" s="193">
        <v>200023.18999999948</v>
      </c>
      <c r="AB40" s="193">
        <v>-881259.43999999948</v>
      </c>
      <c r="AC40" s="193">
        <v>4230850.8399999738</v>
      </c>
      <c r="AD40" s="193">
        <v>599049.95999999717</v>
      </c>
      <c r="AE40" s="193">
        <v>-101887.67999999999</v>
      </c>
      <c r="AF40" s="193">
        <v>533680.47000000626</v>
      </c>
      <c r="AG40" s="193">
        <v>24880.960000000196</v>
      </c>
      <c r="AH40" s="193">
        <v>4580457.3399999887</v>
      </c>
      <c r="AI40" s="194">
        <v>1.5179109631624697</v>
      </c>
      <c r="AJ40" s="194">
        <v>-13.809671688676071</v>
      </c>
      <c r="AK40" s="194">
        <v>12.157193971561362</v>
      </c>
      <c r="AL40" s="194">
        <v>2.3696177945875614</v>
      </c>
      <c r="AM40" s="194">
        <v>-27.217543702462542</v>
      </c>
      <c r="AN40" s="194">
        <v>4.3827623454533269</v>
      </c>
      <c r="AO40" s="194">
        <v>2.6555595698116998</v>
      </c>
      <c r="AP40" s="194">
        <v>4.9683995763813025</v>
      </c>
    </row>
    <row r="41" spans="1:42" ht="12" customHeight="1">
      <c r="A41" s="189" t="s">
        <v>403</v>
      </c>
      <c r="B41" s="189"/>
      <c r="C41" s="189" t="s">
        <v>12</v>
      </c>
      <c r="D41" s="189" t="s">
        <v>756</v>
      </c>
      <c r="E41" s="189" t="s">
        <v>884</v>
      </c>
      <c r="F41" s="190" t="s">
        <v>727</v>
      </c>
      <c r="G41" s="189" t="s">
        <v>683</v>
      </c>
      <c r="H41" s="197"/>
      <c r="I41" s="195"/>
      <c r="J41" s="195"/>
      <c r="K41" s="192">
        <v>15260617</v>
      </c>
      <c r="L41" s="192">
        <v>9342258</v>
      </c>
      <c r="M41" s="192">
        <v>48170046</v>
      </c>
      <c r="N41" s="192">
        <v>31331952</v>
      </c>
      <c r="O41" s="192">
        <v>576045</v>
      </c>
      <c r="P41" s="192">
        <v>15512338</v>
      </c>
      <c r="Q41" s="192">
        <v>1388454</v>
      </c>
      <c r="R41" s="192">
        <v>120193256</v>
      </c>
      <c r="S41" s="192">
        <v>15002331</v>
      </c>
      <c r="T41" s="192">
        <v>10594986</v>
      </c>
      <c r="U41" s="192">
        <v>41032699</v>
      </c>
      <c r="V41" s="192">
        <v>30020359</v>
      </c>
      <c r="W41" s="192">
        <v>542535</v>
      </c>
      <c r="X41" s="192">
        <v>14344581</v>
      </c>
      <c r="Y41" s="192">
        <v>1306894</v>
      </c>
      <c r="Z41" s="192">
        <v>111537491</v>
      </c>
      <c r="AA41" s="193">
        <v>258286</v>
      </c>
      <c r="AB41" s="193">
        <v>-1252728</v>
      </c>
      <c r="AC41" s="193">
        <v>7137347</v>
      </c>
      <c r="AD41" s="193">
        <v>1311593</v>
      </c>
      <c r="AE41" s="193">
        <v>33510</v>
      </c>
      <c r="AF41" s="193">
        <v>1167757</v>
      </c>
      <c r="AG41" s="193">
        <v>81560</v>
      </c>
      <c r="AH41" s="193">
        <v>8655765</v>
      </c>
      <c r="AI41" s="194">
        <v>1.7216391239468054</v>
      </c>
      <c r="AJ41" s="194">
        <v>-11.823781551009128</v>
      </c>
      <c r="AK41" s="194">
        <v>17.394290831319676</v>
      </c>
      <c r="AL41" s="194">
        <v>4.3690117096867498</v>
      </c>
      <c r="AM41" s="194">
        <v>6.176560037601261</v>
      </c>
      <c r="AN41" s="194">
        <v>8.1407536406953955</v>
      </c>
      <c r="AO41" s="194">
        <v>6.2407509713871212</v>
      </c>
      <c r="AP41" s="194">
        <v>7.7604085607412481</v>
      </c>
    </row>
    <row r="42" spans="1:42" ht="12" customHeight="1">
      <c r="A42" s="189" t="s">
        <v>404</v>
      </c>
      <c r="B42" s="189"/>
      <c r="C42" s="189" t="s">
        <v>13</v>
      </c>
      <c r="D42" s="189" t="s">
        <v>755</v>
      </c>
      <c r="E42" s="189" t="s">
        <v>885</v>
      </c>
      <c r="F42" s="190" t="s">
        <v>727</v>
      </c>
      <c r="G42" s="189" t="s">
        <v>683</v>
      </c>
      <c r="H42" s="197"/>
      <c r="I42" s="195"/>
      <c r="J42" s="195"/>
      <c r="K42" s="192">
        <v>8600673.8200000003</v>
      </c>
      <c r="L42" s="192">
        <v>2976471.5000000005</v>
      </c>
      <c r="M42" s="192">
        <v>22583274.959999993</v>
      </c>
      <c r="N42" s="192">
        <v>16157496.400000002</v>
      </c>
      <c r="O42" s="192">
        <v>561169.11</v>
      </c>
      <c r="P42" s="192">
        <v>7397098.540000001</v>
      </c>
      <c r="Q42" s="192">
        <v>850844.63</v>
      </c>
      <c r="R42" s="192">
        <v>58276184.329999991</v>
      </c>
      <c r="S42" s="192">
        <v>8324439.2600000007</v>
      </c>
      <c r="T42" s="192">
        <v>3424689.83</v>
      </c>
      <c r="U42" s="192">
        <v>19928147.790000003</v>
      </c>
      <c r="V42" s="192">
        <v>15784953.130000003</v>
      </c>
      <c r="W42" s="192">
        <v>590226.04999999993</v>
      </c>
      <c r="X42" s="192">
        <v>7108599.919999999</v>
      </c>
      <c r="Y42" s="192">
        <v>787266.58999999985</v>
      </c>
      <c r="Z42" s="192">
        <v>55161055.980000004</v>
      </c>
      <c r="AA42" s="193">
        <v>276234.55999999959</v>
      </c>
      <c r="AB42" s="193">
        <v>-448218.32999999961</v>
      </c>
      <c r="AC42" s="193">
        <v>2655127.1699999906</v>
      </c>
      <c r="AD42" s="193">
        <v>372543.26999999955</v>
      </c>
      <c r="AE42" s="193">
        <v>-29056.939999999944</v>
      </c>
      <c r="AF42" s="193">
        <v>288498.62000000197</v>
      </c>
      <c r="AG42" s="193">
        <v>63578.040000000154</v>
      </c>
      <c r="AH42" s="193">
        <v>3115128.3499999866</v>
      </c>
      <c r="AI42" s="194">
        <v>3.3183563645823222</v>
      </c>
      <c r="AJ42" s="194">
        <v>-13.087851812845766</v>
      </c>
      <c r="AK42" s="194">
        <v>13.323502003193394</v>
      </c>
      <c r="AL42" s="194">
        <v>2.3601164154992933</v>
      </c>
      <c r="AM42" s="194">
        <v>-4.9230189009786924</v>
      </c>
      <c r="AN42" s="194">
        <v>4.0584450278079798</v>
      </c>
      <c r="AO42" s="194">
        <v>8.0757955192789481</v>
      </c>
      <c r="AP42" s="194">
        <v>5.6473326963309995</v>
      </c>
    </row>
    <row r="43" spans="1:42" ht="12" customHeight="1">
      <c r="A43" s="189" t="s">
        <v>405</v>
      </c>
      <c r="B43" s="189"/>
      <c r="C43" s="189" t="s">
        <v>14</v>
      </c>
      <c r="D43" s="189" t="s">
        <v>756</v>
      </c>
      <c r="E43" s="189" t="s">
        <v>881</v>
      </c>
      <c r="F43" s="190" t="s">
        <v>727</v>
      </c>
      <c r="G43" s="189" t="s">
        <v>683</v>
      </c>
      <c r="H43" s="197"/>
      <c r="I43" s="195"/>
      <c r="J43" s="195"/>
      <c r="K43" s="192">
        <v>15333119</v>
      </c>
      <c r="L43" s="192">
        <v>5511167</v>
      </c>
      <c r="M43" s="192">
        <v>47576138</v>
      </c>
      <c r="N43" s="192">
        <v>30409567</v>
      </c>
      <c r="O43" s="192">
        <v>412187</v>
      </c>
      <c r="P43" s="192">
        <v>14421004</v>
      </c>
      <c r="Q43" s="192">
        <v>1620931</v>
      </c>
      <c r="R43" s="192">
        <v>113663182</v>
      </c>
      <c r="S43" s="192">
        <v>14638093</v>
      </c>
      <c r="T43" s="192">
        <v>5920528</v>
      </c>
      <c r="U43" s="192">
        <v>41848711</v>
      </c>
      <c r="V43" s="192">
        <v>29194462</v>
      </c>
      <c r="W43" s="192">
        <v>491494</v>
      </c>
      <c r="X43" s="192">
        <v>13618605</v>
      </c>
      <c r="Y43" s="192">
        <v>1368296</v>
      </c>
      <c r="Z43" s="192">
        <v>105711893</v>
      </c>
      <c r="AA43" s="193">
        <v>695026</v>
      </c>
      <c r="AB43" s="193">
        <v>-409361</v>
      </c>
      <c r="AC43" s="193">
        <v>5727427</v>
      </c>
      <c r="AD43" s="193">
        <v>1215105</v>
      </c>
      <c r="AE43" s="193">
        <v>-79307</v>
      </c>
      <c r="AF43" s="193">
        <v>802399</v>
      </c>
      <c r="AG43" s="193">
        <v>252635</v>
      </c>
      <c r="AH43" s="193">
        <v>7951289</v>
      </c>
      <c r="AI43" s="194">
        <v>4.7480638359108669</v>
      </c>
      <c r="AJ43" s="194">
        <v>-6.9142650790605167</v>
      </c>
      <c r="AK43" s="194">
        <v>13.686029660507346</v>
      </c>
      <c r="AL43" s="194">
        <v>4.1621078682662489</v>
      </c>
      <c r="AM43" s="194">
        <v>-16.135903998828063</v>
      </c>
      <c r="AN43" s="194">
        <v>5.8919323968938082</v>
      </c>
      <c r="AO43" s="194">
        <v>18.463475739167549</v>
      </c>
      <c r="AP43" s="194">
        <v>7.5216598382170679</v>
      </c>
    </row>
    <row r="44" spans="1:42" ht="12" customHeight="1">
      <c r="A44" s="189" t="s">
        <v>406</v>
      </c>
      <c r="B44" s="189"/>
      <c r="C44" s="189" t="s">
        <v>15</v>
      </c>
      <c r="D44" s="189" t="s">
        <v>755</v>
      </c>
      <c r="E44" s="189" t="s">
        <v>881</v>
      </c>
      <c r="F44" s="190" t="s">
        <v>727</v>
      </c>
      <c r="G44" s="189" t="s">
        <v>683</v>
      </c>
      <c r="H44" s="197"/>
      <c r="I44" s="195"/>
      <c r="J44" s="195"/>
      <c r="K44" s="192">
        <v>14433021.390000001</v>
      </c>
      <c r="L44" s="192">
        <v>5471924.8199999994</v>
      </c>
      <c r="M44" s="192">
        <v>40562850.759999998</v>
      </c>
      <c r="N44" s="192">
        <v>24748942.020000007</v>
      </c>
      <c r="O44" s="192">
        <v>540051.27</v>
      </c>
      <c r="P44" s="192">
        <v>13029528.489999998</v>
      </c>
      <c r="Q44" s="192">
        <v>1536435.85</v>
      </c>
      <c r="R44" s="192">
        <v>98786318.75</v>
      </c>
      <c r="S44" s="192">
        <v>14496370.16</v>
      </c>
      <c r="T44" s="192">
        <v>6522033.620000001</v>
      </c>
      <c r="U44" s="192">
        <v>35932325.760000005</v>
      </c>
      <c r="V44" s="192">
        <v>23985085.280000005</v>
      </c>
      <c r="W44" s="192">
        <v>659553.91999999993</v>
      </c>
      <c r="X44" s="192">
        <v>12416178.049999999</v>
      </c>
      <c r="Y44" s="192">
        <v>1389806.22</v>
      </c>
      <c r="Z44" s="192">
        <v>94011546.790000007</v>
      </c>
      <c r="AA44" s="193">
        <v>-63348.769999999553</v>
      </c>
      <c r="AB44" s="193">
        <v>-1050108.8000000017</v>
      </c>
      <c r="AC44" s="193">
        <v>4630524.9999999925</v>
      </c>
      <c r="AD44" s="193">
        <v>763856.74000000209</v>
      </c>
      <c r="AE44" s="193">
        <v>-119502.64999999991</v>
      </c>
      <c r="AF44" s="193">
        <v>613350.43999999948</v>
      </c>
      <c r="AG44" s="193">
        <v>146629.63000000012</v>
      </c>
      <c r="AH44" s="193">
        <v>4774771.9599999934</v>
      </c>
      <c r="AI44" s="194">
        <v>-0.43699746419830349</v>
      </c>
      <c r="AJ44" s="194">
        <v>-16.100941227592163</v>
      </c>
      <c r="AK44" s="194">
        <v>12.886794556323181</v>
      </c>
      <c r="AL44" s="194">
        <v>3.1847155475279671</v>
      </c>
      <c r="AM44" s="194">
        <v>-18.118708171729146</v>
      </c>
      <c r="AN44" s="194">
        <v>4.9399294817618982</v>
      </c>
      <c r="AO44" s="194">
        <v>10.550365071757998</v>
      </c>
      <c r="AP44" s="194">
        <v>5.0789207528578659</v>
      </c>
    </row>
    <row r="45" spans="1:42" ht="12" customHeight="1">
      <c r="A45" s="189" t="s">
        <v>407</v>
      </c>
      <c r="B45" s="189"/>
      <c r="C45" s="189" t="s">
        <v>16</v>
      </c>
      <c r="D45" s="189" t="s">
        <v>756</v>
      </c>
      <c r="E45" s="189" t="s">
        <v>884</v>
      </c>
      <c r="F45" s="190" t="s">
        <v>727</v>
      </c>
      <c r="G45" s="189" t="s">
        <v>683</v>
      </c>
      <c r="H45" s="197"/>
      <c r="I45" s="195"/>
      <c r="J45" s="195"/>
      <c r="K45" s="192">
        <v>10510741</v>
      </c>
      <c r="L45" s="192">
        <v>3241152</v>
      </c>
      <c r="M45" s="192">
        <v>25958257</v>
      </c>
      <c r="N45" s="192">
        <v>16574508</v>
      </c>
      <c r="O45" s="192">
        <v>230745</v>
      </c>
      <c r="P45" s="192">
        <v>8406900</v>
      </c>
      <c r="Q45" s="192">
        <v>746749</v>
      </c>
      <c r="R45" s="192">
        <v>64922303</v>
      </c>
      <c r="S45" s="192">
        <v>10146884</v>
      </c>
      <c r="T45" s="192">
        <v>3172618</v>
      </c>
      <c r="U45" s="192">
        <v>23771427</v>
      </c>
      <c r="V45" s="192">
        <v>16392654</v>
      </c>
      <c r="W45" s="192">
        <v>297737</v>
      </c>
      <c r="X45" s="192">
        <v>8171057</v>
      </c>
      <c r="Y45" s="192">
        <v>648175</v>
      </c>
      <c r="Z45" s="192">
        <v>61952377</v>
      </c>
      <c r="AA45" s="193">
        <v>363857</v>
      </c>
      <c r="AB45" s="193">
        <v>68534</v>
      </c>
      <c r="AC45" s="193">
        <v>2186830</v>
      </c>
      <c r="AD45" s="193">
        <v>181854</v>
      </c>
      <c r="AE45" s="193">
        <v>-66992</v>
      </c>
      <c r="AF45" s="193">
        <v>235843</v>
      </c>
      <c r="AG45" s="193">
        <v>98574</v>
      </c>
      <c r="AH45" s="193">
        <v>2969926</v>
      </c>
      <c r="AI45" s="194">
        <v>3.585898882849158</v>
      </c>
      <c r="AJ45" s="194">
        <v>2.1601718202443534</v>
      </c>
      <c r="AK45" s="194">
        <v>9.1994056562107094</v>
      </c>
      <c r="AL45" s="194">
        <v>1.1093627670052695</v>
      </c>
      <c r="AM45" s="194">
        <v>-22.500394643594852</v>
      </c>
      <c r="AN45" s="194">
        <v>2.8863218063464742</v>
      </c>
      <c r="AO45" s="194">
        <v>15.207929957187488</v>
      </c>
      <c r="AP45" s="194">
        <v>4.7938854710933851</v>
      </c>
    </row>
    <row r="46" spans="1:42" ht="12" customHeight="1">
      <c r="A46" s="189" t="s">
        <v>408</v>
      </c>
      <c r="B46" s="189"/>
      <c r="C46" s="189" t="s">
        <v>17</v>
      </c>
      <c r="D46" s="189" t="s">
        <v>755</v>
      </c>
      <c r="E46" s="189" t="s">
        <v>884</v>
      </c>
      <c r="F46" s="190" t="s">
        <v>727</v>
      </c>
      <c r="G46" s="189" t="s">
        <v>683</v>
      </c>
      <c r="H46" s="197"/>
      <c r="I46" s="195"/>
      <c r="J46" s="195"/>
      <c r="K46" s="192">
        <v>7814044.3200000003</v>
      </c>
      <c r="L46" s="192">
        <v>3307498.69</v>
      </c>
      <c r="M46" s="192">
        <v>23956022.82</v>
      </c>
      <c r="N46" s="192">
        <v>14482765.860000001</v>
      </c>
      <c r="O46" s="192">
        <v>497831.94999999995</v>
      </c>
      <c r="P46" s="192">
        <v>7505671.8600000003</v>
      </c>
      <c r="Q46" s="192">
        <v>626717.06999999995</v>
      </c>
      <c r="R46" s="192">
        <v>57563835.5</v>
      </c>
      <c r="S46" s="192">
        <v>7820742.370000002</v>
      </c>
      <c r="T46" s="192">
        <v>3421559.21</v>
      </c>
      <c r="U46" s="192">
        <v>20451912.269999996</v>
      </c>
      <c r="V46" s="192">
        <v>13690776.450000001</v>
      </c>
      <c r="W46" s="192">
        <v>393227.51999999996</v>
      </c>
      <c r="X46" s="192">
        <v>6974058.6100000003</v>
      </c>
      <c r="Y46" s="192">
        <v>562600.66999999981</v>
      </c>
      <c r="Z46" s="192">
        <v>52752276.43</v>
      </c>
      <c r="AA46" s="193">
        <v>-6698.0500000016764</v>
      </c>
      <c r="AB46" s="193">
        <v>-114060.52000000002</v>
      </c>
      <c r="AC46" s="193">
        <v>3504110.5500000045</v>
      </c>
      <c r="AD46" s="193">
        <v>791989.41000000015</v>
      </c>
      <c r="AE46" s="193">
        <v>104604.43</v>
      </c>
      <c r="AF46" s="193">
        <v>531613.25</v>
      </c>
      <c r="AG46" s="193">
        <v>64116.40000000014</v>
      </c>
      <c r="AH46" s="193">
        <v>4811559.07</v>
      </c>
      <c r="AI46" s="194">
        <v>-8.5644682858945456E-2</v>
      </c>
      <c r="AJ46" s="194">
        <v>-3.3335831122443156</v>
      </c>
      <c r="AK46" s="194">
        <v>17.133412776955968</v>
      </c>
      <c r="AL46" s="194">
        <v>5.7848392521229144</v>
      </c>
      <c r="AM46" s="194">
        <v>26.601502865313194</v>
      </c>
      <c r="AN46" s="194">
        <v>7.6227241514392725</v>
      </c>
      <c r="AO46" s="194">
        <v>11.396431504427493</v>
      </c>
      <c r="AP46" s="194">
        <v>9.1210453758990528</v>
      </c>
    </row>
    <row r="47" spans="1:42" ht="12" customHeight="1">
      <c r="A47" s="189" t="s">
        <v>409</v>
      </c>
      <c r="B47" s="189"/>
      <c r="C47" s="189" t="s">
        <v>18</v>
      </c>
      <c r="D47" s="189" t="s">
        <v>756</v>
      </c>
      <c r="E47" s="189" t="s">
        <v>881</v>
      </c>
      <c r="F47" s="190" t="s">
        <v>727</v>
      </c>
      <c r="G47" s="189" t="s">
        <v>683</v>
      </c>
      <c r="H47" s="197"/>
      <c r="I47" s="195"/>
      <c r="J47" s="195"/>
      <c r="K47" s="192" t="s">
        <v>987</v>
      </c>
      <c r="L47" s="192">
        <v>6918539</v>
      </c>
      <c r="M47" s="192">
        <v>40102971</v>
      </c>
      <c r="N47" s="192">
        <v>27712658</v>
      </c>
      <c r="O47" s="192">
        <v>414529</v>
      </c>
      <c r="P47" s="192">
        <v>13403410</v>
      </c>
      <c r="Q47" s="192">
        <v>1066068</v>
      </c>
      <c r="R47" s="192" t="s">
        <v>987</v>
      </c>
      <c r="S47" s="192" t="s">
        <v>987</v>
      </c>
      <c r="T47" s="192">
        <v>7085188</v>
      </c>
      <c r="U47" s="192">
        <v>35981319</v>
      </c>
      <c r="V47" s="192">
        <v>27307179</v>
      </c>
      <c r="W47" s="192">
        <v>506109</v>
      </c>
      <c r="X47" s="192">
        <v>12748809</v>
      </c>
      <c r="Y47" s="192">
        <v>1036863</v>
      </c>
      <c r="Z47" s="192" t="s">
        <v>987</v>
      </c>
      <c r="AA47" s="193" t="s">
        <v>985</v>
      </c>
      <c r="AB47" s="193">
        <v>-166649</v>
      </c>
      <c r="AC47" s="193">
        <v>4121652</v>
      </c>
      <c r="AD47" s="193">
        <v>405479</v>
      </c>
      <c r="AE47" s="193">
        <v>-91580</v>
      </c>
      <c r="AF47" s="193">
        <v>654601</v>
      </c>
      <c r="AG47" s="193">
        <v>29205</v>
      </c>
      <c r="AH47" s="193" t="s">
        <v>985</v>
      </c>
      <c r="AI47" s="194" t="s">
        <v>985</v>
      </c>
      <c r="AJ47" s="194">
        <v>-2.3520759082186671</v>
      </c>
      <c r="AK47" s="194">
        <v>11.454977512080644</v>
      </c>
      <c r="AL47" s="194">
        <v>1.4848805876286233</v>
      </c>
      <c r="AM47" s="194">
        <v>-18.09491631249395</v>
      </c>
      <c r="AN47" s="194">
        <v>5.13460512272166</v>
      </c>
      <c r="AO47" s="194">
        <v>2.8166691260079686</v>
      </c>
      <c r="AP47" s="194" t="s">
        <v>985</v>
      </c>
    </row>
    <row r="48" spans="1:42" ht="12" customHeight="1">
      <c r="A48" s="189" t="s">
        <v>860</v>
      </c>
      <c r="B48" s="189"/>
      <c r="C48" s="189" t="s">
        <v>19</v>
      </c>
      <c r="D48" s="189" t="s">
        <v>756</v>
      </c>
      <c r="E48" s="189" t="s">
        <v>881</v>
      </c>
      <c r="F48" s="190" t="s">
        <v>727</v>
      </c>
      <c r="G48" s="189" t="s">
        <v>683</v>
      </c>
      <c r="H48" s="197"/>
      <c r="I48" s="195"/>
      <c r="J48" s="195"/>
      <c r="K48" s="192">
        <v>12885874</v>
      </c>
      <c r="L48" s="192">
        <v>3252531</v>
      </c>
      <c r="M48" s="192">
        <v>36759117</v>
      </c>
      <c r="N48" s="192">
        <v>26006744</v>
      </c>
      <c r="O48" s="192">
        <v>391688</v>
      </c>
      <c r="P48" s="192">
        <v>10864997</v>
      </c>
      <c r="Q48" s="192">
        <v>1176911</v>
      </c>
      <c r="R48" s="192">
        <v>90160951</v>
      </c>
      <c r="S48" s="192">
        <v>12226997</v>
      </c>
      <c r="T48" s="192">
        <v>2968387</v>
      </c>
      <c r="U48" s="192" t="s">
        <v>987</v>
      </c>
      <c r="V48" s="192">
        <v>24693384</v>
      </c>
      <c r="W48" s="192">
        <v>72849</v>
      </c>
      <c r="X48" s="192">
        <v>9978328</v>
      </c>
      <c r="Y48" s="192">
        <v>909760</v>
      </c>
      <c r="Z48" s="192" t="s">
        <v>987</v>
      </c>
      <c r="AA48" s="193">
        <v>658877</v>
      </c>
      <c r="AB48" s="193">
        <v>284144</v>
      </c>
      <c r="AC48" s="193" t="s">
        <v>985</v>
      </c>
      <c r="AD48" s="193">
        <v>1313360</v>
      </c>
      <c r="AE48" s="193">
        <v>318839</v>
      </c>
      <c r="AF48" s="193">
        <v>886669</v>
      </c>
      <c r="AG48" s="193">
        <v>267151</v>
      </c>
      <c r="AH48" s="193" t="s">
        <v>985</v>
      </c>
      <c r="AI48" s="194">
        <v>5.3887066464480204</v>
      </c>
      <c r="AJ48" s="194">
        <v>9.5723367606717051</v>
      </c>
      <c r="AK48" s="194" t="s">
        <v>985</v>
      </c>
      <c r="AL48" s="194">
        <v>5.3186715923585037</v>
      </c>
      <c r="AM48" s="194" t="s">
        <v>951</v>
      </c>
      <c r="AN48" s="194">
        <v>8.8859476256944063</v>
      </c>
      <c r="AO48" s="194">
        <v>29.364997361941608</v>
      </c>
      <c r="AP48" s="194" t="s">
        <v>985</v>
      </c>
    </row>
    <row r="49" spans="1:42" ht="12" customHeight="1">
      <c r="A49" s="189" t="s">
        <v>410</v>
      </c>
      <c r="B49" s="189"/>
      <c r="C49" s="189" t="s">
        <v>20</v>
      </c>
      <c r="D49" s="189" t="s">
        <v>755</v>
      </c>
      <c r="E49" s="189" t="s">
        <v>885</v>
      </c>
      <c r="F49" s="190" t="s">
        <v>727</v>
      </c>
      <c r="G49" s="189" t="s">
        <v>683</v>
      </c>
      <c r="H49" s="197"/>
      <c r="I49" s="195"/>
      <c r="J49" s="195"/>
      <c r="K49" s="192">
        <v>10635574.75</v>
      </c>
      <c r="L49" s="192">
        <v>3965072.1399999997</v>
      </c>
      <c r="M49" s="192">
        <v>29471602.400000002</v>
      </c>
      <c r="N49" s="192">
        <v>21276353.34</v>
      </c>
      <c r="O49" s="192">
        <v>427344.54</v>
      </c>
      <c r="P49" s="192">
        <v>9645183.5600000024</v>
      </c>
      <c r="Q49" s="192">
        <v>937423.46</v>
      </c>
      <c r="R49" s="192">
        <v>75421130.730000019</v>
      </c>
      <c r="S49" s="192">
        <v>10074206.060000001</v>
      </c>
      <c r="T49" s="192">
        <v>3765580.6400000011</v>
      </c>
      <c r="U49" s="192">
        <v>26039369.670000002</v>
      </c>
      <c r="V49" s="192">
        <v>20619432.649999995</v>
      </c>
      <c r="W49" s="192">
        <v>506797.52</v>
      </c>
      <c r="X49" s="192">
        <v>9161791.389999995</v>
      </c>
      <c r="Y49" s="192">
        <v>971789.01</v>
      </c>
      <c r="Z49" s="192">
        <v>70167177.929999992</v>
      </c>
      <c r="AA49" s="193">
        <v>561368.68999999948</v>
      </c>
      <c r="AB49" s="193">
        <v>199491.4999999986</v>
      </c>
      <c r="AC49" s="193">
        <v>3432232.7300000004</v>
      </c>
      <c r="AD49" s="193">
        <v>656920.69000000507</v>
      </c>
      <c r="AE49" s="193">
        <v>-79452.98000000004</v>
      </c>
      <c r="AF49" s="193">
        <v>483392.17000000738</v>
      </c>
      <c r="AG49" s="193">
        <v>-34365.550000000047</v>
      </c>
      <c r="AH49" s="193">
        <v>5253952.8000000268</v>
      </c>
      <c r="AI49" s="194">
        <v>5.5723367842249543</v>
      </c>
      <c r="AJ49" s="194">
        <v>5.2977619940174367</v>
      </c>
      <c r="AK49" s="194">
        <v>13.180936303363291</v>
      </c>
      <c r="AL49" s="194">
        <v>3.1859299969633512</v>
      </c>
      <c r="AM49" s="194">
        <v>-15.677460300121442</v>
      </c>
      <c r="AN49" s="194">
        <v>5.2761752524470831</v>
      </c>
      <c r="AO49" s="194">
        <v>-3.536318032656085</v>
      </c>
      <c r="AP49" s="194">
        <v>7.4877641583953434</v>
      </c>
    </row>
    <row r="50" spans="1:42" ht="12" customHeight="1">
      <c r="A50" s="189" t="s">
        <v>411</v>
      </c>
      <c r="B50" s="189"/>
      <c r="C50" s="189" t="s">
        <v>21</v>
      </c>
      <c r="D50" s="189" t="s">
        <v>755</v>
      </c>
      <c r="E50" s="189" t="s">
        <v>885</v>
      </c>
      <c r="F50" s="190" t="s">
        <v>727</v>
      </c>
      <c r="G50" s="189" t="s">
        <v>683</v>
      </c>
      <c r="H50" s="197"/>
      <c r="I50" s="195"/>
      <c r="J50" s="195"/>
      <c r="K50" s="192">
        <v>15513270.569999998</v>
      </c>
      <c r="L50" s="192">
        <v>8028251.3100000005</v>
      </c>
      <c r="M50" s="192">
        <v>48718576.660000004</v>
      </c>
      <c r="N50" s="192">
        <v>37416995.009999998</v>
      </c>
      <c r="O50" s="192">
        <v>593697.03999999992</v>
      </c>
      <c r="P50" s="192">
        <v>16157019.15</v>
      </c>
      <c r="Q50" s="192">
        <v>1461806.09</v>
      </c>
      <c r="R50" s="192">
        <v>126427809.74000002</v>
      </c>
      <c r="S50" s="192">
        <v>15693844.699999997</v>
      </c>
      <c r="T50" s="192">
        <v>7428545.0700000012</v>
      </c>
      <c r="U50" s="192">
        <v>43063520.719999976</v>
      </c>
      <c r="V50" s="192">
        <v>35328255.909999996</v>
      </c>
      <c r="W50" s="192">
        <v>765202.25</v>
      </c>
      <c r="X50" s="192">
        <v>15411785.660000002</v>
      </c>
      <c r="Y50" s="192">
        <v>472907.41000000003</v>
      </c>
      <c r="Z50" s="192">
        <v>117691154.30999997</v>
      </c>
      <c r="AA50" s="193">
        <v>-180574.12999999896</v>
      </c>
      <c r="AB50" s="193">
        <v>599706.23999999929</v>
      </c>
      <c r="AC50" s="193">
        <v>5655055.9400000274</v>
      </c>
      <c r="AD50" s="193">
        <v>2088739.1000000015</v>
      </c>
      <c r="AE50" s="193">
        <v>-171505.21000000008</v>
      </c>
      <c r="AF50" s="193">
        <v>745233.48999999836</v>
      </c>
      <c r="AG50" s="193">
        <v>988898.68</v>
      </c>
      <c r="AH50" s="193">
        <v>8736655.4300000519</v>
      </c>
      <c r="AI50" s="194">
        <v>-1.1506047973062903</v>
      </c>
      <c r="AJ50" s="194">
        <v>8.0729972605523841</v>
      </c>
      <c r="AK50" s="194">
        <v>13.131894107705067</v>
      </c>
      <c r="AL50" s="194">
        <v>5.9123753669616166</v>
      </c>
      <c r="AM50" s="194">
        <v>-22.413056156068553</v>
      </c>
      <c r="AN50" s="194">
        <v>4.8354779026948798</v>
      </c>
      <c r="AO50" s="194">
        <v>209.11042184769317</v>
      </c>
      <c r="AP50" s="194">
        <v>7.4233747482734271</v>
      </c>
    </row>
    <row r="51" spans="1:42" ht="12" customHeight="1">
      <c r="A51" s="189" t="s">
        <v>412</v>
      </c>
      <c r="B51" s="189"/>
      <c r="C51" s="189" t="s">
        <v>22</v>
      </c>
      <c r="D51" s="189" t="s">
        <v>755</v>
      </c>
      <c r="E51" s="189" t="s">
        <v>881</v>
      </c>
      <c r="F51" s="190" t="s">
        <v>727</v>
      </c>
      <c r="G51" s="189" t="s">
        <v>683</v>
      </c>
      <c r="H51" s="197"/>
      <c r="I51" s="195"/>
      <c r="J51" s="195"/>
      <c r="K51" s="192">
        <v>11362768.5</v>
      </c>
      <c r="L51" s="192">
        <v>3887980.85</v>
      </c>
      <c r="M51" s="192">
        <v>31779221.91</v>
      </c>
      <c r="N51" s="192">
        <v>22878851.600000001</v>
      </c>
      <c r="O51" s="192">
        <v>423293.07</v>
      </c>
      <c r="P51" s="192">
        <v>10357958.909999998</v>
      </c>
      <c r="Q51" s="192">
        <v>719759.13</v>
      </c>
      <c r="R51" s="192">
        <v>80690074.839999989</v>
      </c>
      <c r="S51" s="192">
        <v>11056045.32</v>
      </c>
      <c r="T51" s="192">
        <v>3633537.76</v>
      </c>
      <c r="U51" s="192">
        <v>27837079.159999996</v>
      </c>
      <c r="V51" s="192">
        <v>21354334.979999997</v>
      </c>
      <c r="W51" s="192">
        <v>445173.83</v>
      </c>
      <c r="X51" s="192">
        <v>9725303.8599999975</v>
      </c>
      <c r="Y51" s="192">
        <v>648607.78</v>
      </c>
      <c r="Z51" s="192">
        <v>74051474.909999982</v>
      </c>
      <c r="AA51" s="193">
        <v>306723.1799999997</v>
      </c>
      <c r="AB51" s="193">
        <v>254443.09000000032</v>
      </c>
      <c r="AC51" s="193">
        <v>3942142.7500000037</v>
      </c>
      <c r="AD51" s="193">
        <v>1524516.6200000048</v>
      </c>
      <c r="AE51" s="193">
        <v>-21880.760000000009</v>
      </c>
      <c r="AF51" s="193">
        <v>632655.05000000075</v>
      </c>
      <c r="AG51" s="193">
        <v>71151.349999999977</v>
      </c>
      <c r="AH51" s="193">
        <v>6638599.9300000072</v>
      </c>
      <c r="AI51" s="194">
        <v>2.7742576221639408</v>
      </c>
      <c r="AJ51" s="194">
        <v>7.0026268283503503</v>
      </c>
      <c r="AK51" s="194">
        <v>14.16148126511993</v>
      </c>
      <c r="AL51" s="194">
        <v>7.1391435108039358</v>
      </c>
      <c r="AM51" s="194">
        <v>-4.9151047356040696</v>
      </c>
      <c r="AN51" s="194">
        <v>6.5052471275689356</v>
      </c>
      <c r="AO51" s="194">
        <v>10.969857623354438</v>
      </c>
      <c r="AP51" s="194">
        <v>8.9648449785346873</v>
      </c>
    </row>
    <row r="52" spans="1:42" ht="12" customHeight="1">
      <c r="A52" s="189" t="s">
        <v>861</v>
      </c>
      <c r="B52" s="189"/>
      <c r="C52" s="189" t="s">
        <v>23</v>
      </c>
      <c r="D52" s="189" t="s">
        <v>756</v>
      </c>
      <c r="E52" s="189" t="s">
        <v>881</v>
      </c>
      <c r="F52" s="190" t="s">
        <v>727</v>
      </c>
      <c r="G52" s="189" t="s">
        <v>683</v>
      </c>
      <c r="H52" s="197"/>
      <c r="I52" s="195"/>
      <c r="J52" s="195"/>
      <c r="K52" s="192">
        <v>10223856</v>
      </c>
      <c r="L52" s="192">
        <v>3192766</v>
      </c>
      <c r="M52" s="192">
        <v>26847119</v>
      </c>
      <c r="N52" s="192">
        <v>20428060</v>
      </c>
      <c r="O52" s="192">
        <v>230626</v>
      </c>
      <c r="P52" s="192">
        <v>9654961</v>
      </c>
      <c r="Q52" s="192">
        <v>815616</v>
      </c>
      <c r="R52" s="192">
        <v>70577388</v>
      </c>
      <c r="S52" s="192">
        <v>10023734</v>
      </c>
      <c r="T52" s="192">
        <v>3208516</v>
      </c>
      <c r="U52" s="192">
        <v>25044093</v>
      </c>
      <c r="V52" s="192">
        <v>20117278</v>
      </c>
      <c r="W52" s="192">
        <v>291166</v>
      </c>
      <c r="X52" s="192">
        <v>9120744</v>
      </c>
      <c r="Y52" s="192">
        <v>783751</v>
      </c>
      <c r="Z52" s="192">
        <v>67805531</v>
      </c>
      <c r="AA52" s="193">
        <v>200122</v>
      </c>
      <c r="AB52" s="193">
        <v>-15750</v>
      </c>
      <c r="AC52" s="193">
        <v>1803026</v>
      </c>
      <c r="AD52" s="193">
        <v>310782</v>
      </c>
      <c r="AE52" s="193">
        <v>-60540</v>
      </c>
      <c r="AF52" s="193">
        <v>534217</v>
      </c>
      <c r="AG52" s="193">
        <v>31865</v>
      </c>
      <c r="AH52" s="193">
        <v>2771857</v>
      </c>
      <c r="AI52" s="194">
        <v>1.9964815506875979</v>
      </c>
      <c r="AJ52" s="194">
        <v>-0.49088114255936394</v>
      </c>
      <c r="AK52" s="194">
        <v>7.1994062631854945</v>
      </c>
      <c r="AL52" s="194">
        <v>1.5448511473570132</v>
      </c>
      <c r="AM52" s="194">
        <v>-20.792262832885708</v>
      </c>
      <c r="AN52" s="194">
        <v>5.8571647225270214</v>
      </c>
      <c r="AO52" s="194">
        <v>4.0657045413658164</v>
      </c>
      <c r="AP52" s="194">
        <v>4.0879511731867417</v>
      </c>
    </row>
    <row r="53" spans="1:42" ht="12" customHeight="1">
      <c r="A53" s="189" t="s">
        <v>413</v>
      </c>
      <c r="B53" s="189"/>
      <c r="C53" s="189" t="s">
        <v>25</v>
      </c>
      <c r="D53" s="189" t="s">
        <v>755</v>
      </c>
      <c r="E53" s="189" t="s">
        <v>884</v>
      </c>
      <c r="F53" s="190" t="s">
        <v>730</v>
      </c>
      <c r="G53" s="189" t="s">
        <v>693</v>
      </c>
      <c r="H53" s="197"/>
      <c r="I53" s="195"/>
      <c r="J53" s="195"/>
      <c r="K53" s="192">
        <v>9608696.8300000001</v>
      </c>
      <c r="L53" s="192">
        <v>4942752.82</v>
      </c>
      <c r="M53" s="192">
        <v>29814802.649999999</v>
      </c>
      <c r="N53" s="192">
        <v>19799967.880000006</v>
      </c>
      <c r="O53" s="192">
        <v>553356.25</v>
      </c>
      <c r="P53" s="192">
        <v>9500567.3599999994</v>
      </c>
      <c r="Q53" s="192">
        <v>995885.21000000008</v>
      </c>
      <c r="R53" s="192">
        <v>74220143.790000007</v>
      </c>
      <c r="S53" s="192">
        <v>9013550.4100000001</v>
      </c>
      <c r="T53" s="192">
        <v>4881456.7799999993</v>
      </c>
      <c r="U53" s="192">
        <v>26677180.309999995</v>
      </c>
      <c r="V53" s="192">
        <v>19871623.359999996</v>
      </c>
      <c r="W53" s="192">
        <v>667995.42999999993</v>
      </c>
      <c r="X53" s="192">
        <v>9088074.4200000018</v>
      </c>
      <c r="Y53" s="192">
        <v>840151.15999999992</v>
      </c>
      <c r="Z53" s="192">
        <v>70199880.709999979</v>
      </c>
      <c r="AA53" s="193">
        <v>595146.41999999993</v>
      </c>
      <c r="AB53" s="193">
        <v>61296.040000000969</v>
      </c>
      <c r="AC53" s="193">
        <v>3137622.3400000036</v>
      </c>
      <c r="AD53" s="193">
        <v>-71655.479999989271</v>
      </c>
      <c r="AE53" s="193">
        <v>-114639.17999999993</v>
      </c>
      <c r="AF53" s="193">
        <v>412492.93999999762</v>
      </c>
      <c r="AG53" s="193">
        <v>155734.05000000016</v>
      </c>
      <c r="AH53" s="193">
        <v>4020263.080000028</v>
      </c>
      <c r="AI53" s="194">
        <v>6.6027968217687025</v>
      </c>
      <c r="AJ53" s="194">
        <v>1.255691543785439</v>
      </c>
      <c r="AK53" s="194">
        <v>11.761446687916486</v>
      </c>
      <c r="AL53" s="194">
        <v>-0.36059197933585074</v>
      </c>
      <c r="AM53" s="194">
        <v>-17.161671300655449</v>
      </c>
      <c r="AN53" s="194">
        <v>4.5388376122034169</v>
      </c>
      <c r="AO53" s="194">
        <v>18.536432182037359</v>
      </c>
      <c r="AP53" s="194">
        <v>5.7268802159479186</v>
      </c>
    </row>
    <row r="54" spans="1:42" ht="12" customHeight="1">
      <c r="A54" s="189" t="s">
        <v>414</v>
      </c>
      <c r="B54" s="189"/>
      <c r="C54" s="189" t="s">
        <v>26</v>
      </c>
      <c r="D54" s="189" t="s">
        <v>756</v>
      </c>
      <c r="E54" s="189" t="s">
        <v>884</v>
      </c>
      <c r="F54" s="190" t="s">
        <v>730</v>
      </c>
      <c r="G54" s="189" t="s">
        <v>693</v>
      </c>
      <c r="H54" s="197"/>
      <c r="I54" s="195"/>
      <c r="J54" s="195"/>
      <c r="K54" s="192">
        <v>15951765</v>
      </c>
      <c r="L54" s="192">
        <v>9562556</v>
      </c>
      <c r="M54" s="192">
        <v>48122384</v>
      </c>
      <c r="N54" s="192">
        <v>28672016</v>
      </c>
      <c r="O54" s="192">
        <v>306409</v>
      </c>
      <c r="P54" s="192">
        <v>15354705</v>
      </c>
      <c r="Q54" s="192">
        <v>1364938</v>
      </c>
      <c r="R54" s="192">
        <v>117969835</v>
      </c>
      <c r="S54" s="192">
        <v>15284659</v>
      </c>
      <c r="T54" s="192">
        <v>9259268</v>
      </c>
      <c r="U54" s="192">
        <v>42731591</v>
      </c>
      <c r="V54" s="192">
        <v>29287485</v>
      </c>
      <c r="W54" s="192">
        <v>369597</v>
      </c>
      <c r="X54" s="192">
        <v>15020742</v>
      </c>
      <c r="Y54" s="192">
        <v>1265388</v>
      </c>
      <c r="Z54" s="192">
        <v>111953342</v>
      </c>
      <c r="AA54" s="193">
        <v>667106</v>
      </c>
      <c r="AB54" s="193">
        <v>303288</v>
      </c>
      <c r="AC54" s="193">
        <v>5390793</v>
      </c>
      <c r="AD54" s="193">
        <v>-615469</v>
      </c>
      <c r="AE54" s="193">
        <v>-63188</v>
      </c>
      <c r="AF54" s="193">
        <v>333963</v>
      </c>
      <c r="AG54" s="193">
        <v>99550</v>
      </c>
      <c r="AH54" s="193">
        <v>6016493</v>
      </c>
      <c r="AI54" s="194">
        <v>4.3645461766598785</v>
      </c>
      <c r="AJ54" s="194">
        <v>3.2755073079211017</v>
      </c>
      <c r="AK54" s="194">
        <v>12.615474579451066</v>
      </c>
      <c r="AL54" s="194">
        <v>-2.1014744010965773</v>
      </c>
      <c r="AM54" s="194">
        <v>-17.096459116280705</v>
      </c>
      <c r="AN54" s="194">
        <v>2.2233455577627259</v>
      </c>
      <c r="AO54" s="194">
        <v>7.8671522094408992</v>
      </c>
      <c r="AP54" s="194">
        <v>5.374107545623783</v>
      </c>
    </row>
    <row r="55" spans="1:42" ht="12" customHeight="1">
      <c r="A55" s="189" t="s">
        <v>864</v>
      </c>
      <c r="B55" s="189"/>
      <c r="C55" s="189" t="s">
        <v>34</v>
      </c>
      <c r="D55" s="189" t="s">
        <v>755</v>
      </c>
      <c r="E55" s="189" t="s">
        <v>884</v>
      </c>
      <c r="F55" s="190" t="s">
        <v>730</v>
      </c>
      <c r="G55" s="189" t="s">
        <v>693</v>
      </c>
      <c r="H55" s="197"/>
      <c r="I55" s="195"/>
      <c r="J55" s="195"/>
      <c r="K55" s="192">
        <v>11198857.02</v>
      </c>
      <c r="L55" s="192">
        <v>5059314.3500000006</v>
      </c>
      <c r="M55" s="192">
        <v>31213982.569999993</v>
      </c>
      <c r="N55" s="192">
        <v>17895496.059999999</v>
      </c>
      <c r="O55" s="192">
        <v>453288.39</v>
      </c>
      <c r="P55" s="192">
        <v>10102771.049999999</v>
      </c>
      <c r="Q55" s="192">
        <v>857364.88</v>
      </c>
      <c r="R55" s="192">
        <v>75923709.439999998</v>
      </c>
      <c r="S55" s="192">
        <v>11016138.720000001</v>
      </c>
      <c r="T55" s="192">
        <v>5975903.8499999987</v>
      </c>
      <c r="U55" s="192">
        <v>28099363.520000007</v>
      </c>
      <c r="V55" s="192">
        <v>18165232.320000008</v>
      </c>
      <c r="W55" s="192">
        <v>493033.22</v>
      </c>
      <c r="X55" s="192">
        <v>9810864.9999999981</v>
      </c>
      <c r="Y55" s="192">
        <v>841013.08000000007</v>
      </c>
      <c r="Z55" s="192">
        <v>73560536.63000001</v>
      </c>
      <c r="AA55" s="193">
        <v>182718.29999999888</v>
      </c>
      <c r="AB55" s="193">
        <v>-916589.49999999814</v>
      </c>
      <c r="AC55" s="193">
        <v>3114619.0499999858</v>
      </c>
      <c r="AD55" s="193">
        <v>-269736.26000000909</v>
      </c>
      <c r="AE55" s="193">
        <v>-39744.829999999958</v>
      </c>
      <c r="AF55" s="193">
        <v>291906.05000000075</v>
      </c>
      <c r="AG55" s="193">
        <v>16351.79999999993</v>
      </c>
      <c r="AH55" s="193">
        <v>2363172.8099999875</v>
      </c>
      <c r="AI55" s="194">
        <v>1.658641967427938</v>
      </c>
      <c r="AJ55" s="194">
        <v>-15.33808981883131</v>
      </c>
      <c r="AK55" s="194">
        <v>11.084304624135434</v>
      </c>
      <c r="AL55" s="194">
        <v>-1.4849039926840253</v>
      </c>
      <c r="AM55" s="194">
        <v>-8.0612884462430259</v>
      </c>
      <c r="AN55" s="194">
        <v>2.9753344888549664</v>
      </c>
      <c r="AO55" s="194">
        <v>1.9442979412400969</v>
      </c>
      <c r="AP55" s="194">
        <v>3.2125551528891654</v>
      </c>
    </row>
    <row r="56" spans="1:42" ht="12" customHeight="1">
      <c r="A56" s="189" t="s">
        <v>415</v>
      </c>
      <c r="B56" s="189"/>
      <c r="C56" s="189" t="s">
        <v>762</v>
      </c>
      <c r="D56" s="189" t="s">
        <v>756</v>
      </c>
      <c r="E56" s="189" t="s">
        <v>884</v>
      </c>
      <c r="F56" s="190" t="s">
        <v>730</v>
      </c>
      <c r="G56" s="189" t="s">
        <v>693</v>
      </c>
      <c r="H56" s="197"/>
      <c r="I56" s="195"/>
      <c r="J56" s="195"/>
      <c r="K56" s="192">
        <v>18203358</v>
      </c>
      <c r="L56" s="192">
        <v>10504865</v>
      </c>
      <c r="M56" s="192">
        <v>55427315</v>
      </c>
      <c r="N56" s="192">
        <v>33162957</v>
      </c>
      <c r="O56" s="192">
        <v>310859</v>
      </c>
      <c r="P56" s="192">
        <v>17947208</v>
      </c>
      <c r="Q56" s="192">
        <v>2649715</v>
      </c>
      <c r="R56" s="192">
        <v>135556562</v>
      </c>
      <c r="S56" s="192">
        <v>16897073</v>
      </c>
      <c r="T56" s="192">
        <v>11509465</v>
      </c>
      <c r="U56" s="192">
        <v>51009759</v>
      </c>
      <c r="V56" s="192">
        <v>34011538</v>
      </c>
      <c r="W56" s="192">
        <v>417672</v>
      </c>
      <c r="X56" s="192" t="s">
        <v>987</v>
      </c>
      <c r="Y56" s="192">
        <v>2262404</v>
      </c>
      <c r="Z56" s="192" t="s">
        <v>987</v>
      </c>
      <c r="AA56" s="193">
        <v>1306285</v>
      </c>
      <c r="AB56" s="193">
        <v>-1004600</v>
      </c>
      <c r="AC56" s="193">
        <v>4417556</v>
      </c>
      <c r="AD56" s="193">
        <v>-848581</v>
      </c>
      <c r="AE56" s="193">
        <v>-106813</v>
      </c>
      <c r="AF56" s="193" t="s">
        <v>985</v>
      </c>
      <c r="AG56" s="193">
        <v>387311</v>
      </c>
      <c r="AH56" s="193" t="s">
        <v>985</v>
      </c>
      <c r="AI56" s="194">
        <v>7.730835985617154</v>
      </c>
      <c r="AJ56" s="194">
        <v>-8.7284682650323013</v>
      </c>
      <c r="AK56" s="194">
        <v>8.660217351742439</v>
      </c>
      <c r="AL56" s="194">
        <v>-2.4949797918576926</v>
      </c>
      <c r="AM56" s="194">
        <v>-25.573416460763472</v>
      </c>
      <c r="AN56" s="194" t="s">
        <v>985</v>
      </c>
      <c r="AO56" s="194">
        <v>17.119444626158721</v>
      </c>
      <c r="AP56" s="194" t="s">
        <v>985</v>
      </c>
    </row>
    <row r="57" spans="1:42" ht="12" customHeight="1">
      <c r="A57" s="190" t="s">
        <v>1030</v>
      </c>
      <c r="B57" s="189"/>
      <c r="C57" s="189" t="s">
        <v>761</v>
      </c>
      <c r="D57" s="189" t="s">
        <v>756</v>
      </c>
      <c r="E57" s="189" t="s">
        <v>884</v>
      </c>
      <c r="F57" s="190" t="s">
        <v>730</v>
      </c>
      <c r="G57" s="189" t="s">
        <v>693</v>
      </c>
      <c r="H57" s="197"/>
      <c r="I57" s="195"/>
      <c r="J57" s="195"/>
      <c r="K57" s="192">
        <v>22108966</v>
      </c>
      <c r="L57" s="192">
        <v>13812298</v>
      </c>
      <c r="M57" s="192">
        <v>68300111</v>
      </c>
      <c r="N57" s="192">
        <v>39084229</v>
      </c>
      <c r="O57" s="192">
        <v>834293</v>
      </c>
      <c r="P57" s="192">
        <v>21513533</v>
      </c>
      <c r="Q57" s="192">
        <v>3482414</v>
      </c>
      <c r="R57" s="192">
        <v>165653430</v>
      </c>
      <c r="S57" s="192">
        <v>21364373</v>
      </c>
      <c r="T57" s="192">
        <v>12552737</v>
      </c>
      <c r="U57" s="192">
        <v>61990966</v>
      </c>
      <c r="V57" s="192">
        <v>39318763</v>
      </c>
      <c r="W57" s="192">
        <v>813148</v>
      </c>
      <c r="X57" s="192">
        <v>20730561</v>
      </c>
      <c r="Y57" s="192">
        <v>2550088</v>
      </c>
      <c r="Z57" s="192">
        <v>156770548</v>
      </c>
      <c r="AA57" s="193">
        <v>744593</v>
      </c>
      <c r="AB57" s="193">
        <v>1259561</v>
      </c>
      <c r="AC57" s="193">
        <v>6309145</v>
      </c>
      <c r="AD57" s="193">
        <v>-234534</v>
      </c>
      <c r="AE57" s="193">
        <v>21145</v>
      </c>
      <c r="AF57" s="193">
        <v>782972</v>
      </c>
      <c r="AG57" s="193">
        <v>932326</v>
      </c>
      <c r="AH57" s="193">
        <v>8882882</v>
      </c>
      <c r="AI57" s="194">
        <v>3.4852087632059221</v>
      </c>
      <c r="AJ57" s="194">
        <v>10.034154304356093</v>
      </c>
      <c r="AK57" s="194">
        <v>10.177523286215608</v>
      </c>
      <c r="AL57" s="194">
        <v>-0.59649384188408983</v>
      </c>
      <c r="AM57" s="194">
        <v>2.600387629312253</v>
      </c>
      <c r="AN57" s="194">
        <v>3.7768973063488245</v>
      </c>
      <c r="AO57" s="194">
        <v>36.560542224425198</v>
      </c>
      <c r="AP57" s="194">
        <v>5.6661676018380698</v>
      </c>
    </row>
    <row r="58" spans="1:42" ht="12" customHeight="1">
      <c r="A58" s="189" t="s">
        <v>416</v>
      </c>
      <c r="B58" s="189"/>
      <c r="C58" s="189" t="s">
        <v>27</v>
      </c>
      <c r="D58" s="189" t="s">
        <v>755</v>
      </c>
      <c r="E58" s="189" t="s">
        <v>885</v>
      </c>
      <c r="F58" s="190" t="s">
        <v>730</v>
      </c>
      <c r="G58" s="189" t="s">
        <v>693</v>
      </c>
      <c r="H58" s="197"/>
      <c r="I58" s="195"/>
      <c r="J58" s="195"/>
      <c r="K58" s="192">
        <v>33944789.810000002</v>
      </c>
      <c r="L58" s="192">
        <v>18334185.98</v>
      </c>
      <c r="M58" s="192">
        <v>108174812.17000005</v>
      </c>
      <c r="N58" s="192">
        <v>66903480.159999996</v>
      </c>
      <c r="O58" s="192">
        <v>1376942.64</v>
      </c>
      <c r="P58" s="192">
        <v>33900376.870000012</v>
      </c>
      <c r="Q58" s="192">
        <v>3277658.4699999997</v>
      </c>
      <c r="R58" s="192">
        <v>262634587.63000003</v>
      </c>
      <c r="S58" s="192">
        <v>34116673.710000001</v>
      </c>
      <c r="T58" s="192">
        <v>20113020.799999997</v>
      </c>
      <c r="U58" s="192">
        <v>97512873.509999976</v>
      </c>
      <c r="V58" s="192">
        <v>66277466.770000003</v>
      </c>
      <c r="W58" s="192">
        <v>1537661.76</v>
      </c>
      <c r="X58" s="192">
        <v>32813779.989999995</v>
      </c>
      <c r="Y58" s="192">
        <v>3276688.8799999994</v>
      </c>
      <c r="Z58" s="192">
        <v>252371476.53999996</v>
      </c>
      <c r="AA58" s="193">
        <v>-171883.89999999851</v>
      </c>
      <c r="AB58" s="193">
        <v>-1778834.8199999966</v>
      </c>
      <c r="AC58" s="193">
        <v>10661938.660000071</v>
      </c>
      <c r="AD58" s="193">
        <v>626013.38999999315</v>
      </c>
      <c r="AE58" s="193">
        <v>-160719.12000000011</v>
      </c>
      <c r="AF58" s="193">
        <v>1086596.8800000176</v>
      </c>
      <c r="AG58" s="193">
        <v>969.59000000031665</v>
      </c>
      <c r="AH58" s="193">
        <v>10263111.090000063</v>
      </c>
      <c r="AI58" s="194">
        <v>-0.50381201127945052</v>
      </c>
      <c r="AJ58" s="194">
        <v>-8.8441951991617138</v>
      </c>
      <c r="AK58" s="194">
        <v>10.933878037043678</v>
      </c>
      <c r="AL58" s="194">
        <v>0.94453427463125883</v>
      </c>
      <c r="AM58" s="194">
        <v>-10.452176426628448</v>
      </c>
      <c r="AN58" s="194">
        <v>3.311404173280732</v>
      </c>
      <c r="AO58" s="194">
        <v>2.9590542023028955E-2</v>
      </c>
      <c r="AP58" s="194">
        <v>4.066668401162759</v>
      </c>
    </row>
    <row r="59" spans="1:42" ht="12" customHeight="1">
      <c r="A59" s="189" t="s">
        <v>865</v>
      </c>
      <c r="B59" s="189"/>
      <c r="C59" s="189" t="s">
        <v>763</v>
      </c>
      <c r="D59" s="189" t="s">
        <v>756</v>
      </c>
      <c r="E59" s="189" t="s">
        <v>884</v>
      </c>
      <c r="F59" s="190" t="s">
        <v>730</v>
      </c>
      <c r="G59" s="189" t="s">
        <v>693</v>
      </c>
      <c r="H59" s="197"/>
      <c r="I59" s="195"/>
      <c r="J59" s="195"/>
      <c r="K59" s="192">
        <v>14770442</v>
      </c>
      <c r="L59" s="192">
        <v>7372041</v>
      </c>
      <c r="M59" s="192">
        <v>46243453</v>
      </c>
      <c r="N59" s="192">
        <v>28595450</v>
      </c>
      <c r="O59" s="192">
        <v>740377</v>
      </c>
      <c r="P59" s="192">
        <v>15556488</v>
      </c>
      <c r="Q59" s="192">
        <v>1594349</v>
      </c>
      <c r="R59" s="192">
        <v>113278251</v>
      </c>
      <c r="S59" s="192">
        <v>14358908</v>
      </c>
      <c r="T59" s="192">
        <v>8511557</v>
      </c>
      <c r="U59" s="192">
        <v>40730540</v>
      </c>
      <c r="V59" s="192">
        <v>27636796</v>
      </c>
      <c r="W59" s="192">
        <v>800420</v>
      </c>
      <c r="X59" s="192">
        <v>14748262</v>
      </c>
      <c r="Y59" s="192">
        <v>1532449</v>
      </c>
      <c r="Z59" s="192">
        <v>106786483</v>
      </c>
      <c r="AA59" s="193">
        <v>411534</v>
      </c>
      <c r="AB59" s="193">
        <v>-1139516</v>
      </c>
      <c r="AC59" s="193">
        <v>5512913</v>
      </c>
      <c r="AD59" s="193">
        <v>958654</v>
      </c>
      <c r="AE59" s="193">
        <v>-60043</v>
      </c>
      <c r="AF59" s="193">
        <v>808226</v>
      </c>
      <c r="AG59" s="193">
        <v>61900</v>
      </c>
      <c r="AH59" s="193">
        <v>6491768</v>
      </c>
      <c r="AI59" s="194">
        <v>2.8660536024048624</v>
      </c>
      <c r="AJ59" s="194">
        <v>-13.387867813139239</v>
      </c>
      <c r="AK59" s="194">
        <v>13.535084484517023</v>
      </c>
      <c r="AL59" s="194">
        <v>3.4687595479591771</v>
      </c>
      <c r="AM59" s="194">
        <v>-7.5014367457085038</v>
      </c>
      <c r="AN59" s="194">
        <v>5.4801440332426967</v>
      </c>
      <c r="AO59" s="194">
        <v>4.0392861361128496</v>
      </c>
      <c r="AP59" s="194">
        <v>6.0792038632829586</v>
      </c>
    </row>
    <row r="60" spans="1:42" ht="12" customHeight="1">
      <c r="A60" s="190" t="s">
        <v>1031</v>
      </c>
      <c r="B60" s="189"/>
      <c r="C60" s="189" t="s">
        <v>31</v>
      </c>
      <c r="D60" s="189" t="s">
        <v>756</v>
      </c>
      <c r="E60" s="189" t="s">
        <v>884</v>
      </c>
      <c r="F60" s="190" t="s">
        <v>730</v>
      </c>
      <c r="G60" s="189" t="s">
        <v>693</v>
      </c>
      <c r="H60" s="197"/>
      <c r="I60" s="195"/>
      <c r="J60" s="195"/>
      <c r="K60" s="192">
        <v>18467746</v>
      </c>
      <c r="L60" s="192">
        <v>10221491</v>
      </c>
      <c r="M60" s="192">
        <v>58383458</v>
      </c>
      <c r="N60" s="192">
        <v>34472704</v>
      </c>
      <c r="O60" s="192">
        <v>517167</v>
      </c>
      <c r="P60" s="192">
        <v>19210695</v>
      </c>
      <c r="Q60" s="192">
        <v>1782876</v>
      </c>
      <c r="R60" s="192">
        <v>141273261</v>
      </c>
      <c r="S60" s="192">
        <v>18097169</v>
      </c>
      <c r="T60" s="192">
        <v>9523864</v>
      </c>
      <c r="U60" s="192">
        <v>52752770</v>
      </c>
      <c r="V60" s="192">
        <v>34231863</v>
      </c>
      <c r="W60" s="192">
        <v>881379</v>
      </c>
      <c r="X60" s="192">
        <v>18112580</v>
      </c>
      <c r="Y60" s="192">
        <v>1621326</v>
      </c>
      <c r="Z60" s="192">
        <v>133599625</v>
      </c>
      <c r="AA60" s="193">
        <v>370577</v>
      </c>
      <c r="AB60" s="193">
        <v>697627</v>
      </c>
      <c r="AC60" s="193">
        <v>5630688</v>
      </c>
      <c r="AD60" s="193">
        <v>240841</v>
      </c>
      <c r="AE60" s="193">
        <v>-364212</v>
      </c>
      <c r="AF60" s="193">
        <v>1098115</v>
      </c>
      <c r="AG60" s="193">
        <v>161550</v>
      </c>
      <c r="AH60" s="193">
        <v>7673636</v>
      </c>
      <c r="AI60" s="194">
        <v>2.0477070198106677</v>
      </c>
      <c r="AJ60" s="194">
        <v>7.3250416007620434</v>
      </c>
      <c r="AK60" s="194">
        <v>10.673729550125993</v>
      </c>
      <c r="AL60" s="194">
        <v>0.70355796878481314</v>
      </c>
      <c r="AM60" s="194">
        <v>-41.322972296821234</v>
      </c>
      <c r="AN60" s="194">
        <v>6.0627199438180535</v>
      </c>
      <c r="AO60" s="194">
        <v>9.9640664493137105</v>
      </c>
      <c r="AP60" s="194">
        <v>5.7437556430266925</v>
      </c>
    </row>
    <row r="61" spans="1:42" ht="12" customHeight="1">
      <c r="A61" s="190" t="s">
        <v>1032</v>
      </c>
      <c r="B61" s="189"/>
      <c r="C61" s="189" t="s">
        <v>764</v>
      </c>
      <c r="D61" s="189" t="s">
        <v>755</v>
      </c>
      <c r="E61" s="189" t="s">
        <v>884</v>
      </c>
      <c r="F61" s="190" t="s">
        <v>730</v>
      </c>
      <c r="G61" s="189" t="s">
        <v>693</v>
      </c>
      <c r="H61" s="197"/>
      <c r="I61" s="195"/>
      <c r="J61" s="195"/>
      <c r="K61" s="192">
        <v>17026476.209999997</v>
      </c>
      <c r="L61" s="192">
        <v>7034417.9900000002</v>
      </c>
      <c r="M61" s="192">
        <v>47476541.339999996</v>
      </c>
      <c r="N61" s="192">
        <v>30469734.990000002</v>
      </c>
      <c r="O61" s="192">
        <v>640420.49</v>
      </c>
      <c r="P61" s="192">
        <v>14905918.990000004</v>
      </c>
      <c r="Q61" s="192">
        <v>1538427.71</v>
      </c>
      <c r="R61" s="192">
        <v>117553510.01000001</v>
      </c>
      <c r="S61" s="192">
        <v>16966729.57</v>
      </c>
      <c r="T61" s="192">
        <v>7564880.1799999997</v>
      </c>
      <c r="U61" s="192">
        <v>42531730.719999999</v>
      </c>
      <c r="V61" s="192">
        <v>29632073.640000008</v>
      </c>
      <c r="W61" s="192">
        <v>604749.85000000009</v>
      </c>
      <c r="X61" s="192">
        <v>14271226.98</v>
      </c>
      <c r="Y61" s="192">
        <v>1321076.2</v>
      </c>
      <c r="Z61" s="192">
        <v>111571390.94000001</v>
      </c>
      <c r="AA61" s="193">
        <v>59746.639999996871</v>
      </c>
      <c r="AB61" s="193">
        <v>-530462.18999999948</v>
      </c>
      <c r="AC61" s="193">
        <v>4944810.6199999973</v>
      </c>
      <c r="AD61" s="193">
        <v>837661.34999999404</v>
      </c>
      <c r="AE61" s="193">
        <v>35670.639999999898</v>
      </c>
      <c r="AF61" s="193">
        <v>634692.0100000035</v>
      </c>
      <c r="AG61" s="193">
        <v>217351.51</v>
      </c>
      <c r="AH61" s="193">
        <v>5982119.0699999928</v>
      </c>
      <c r="AI61" s="194">
        <v>0.35213999111318939</v>
      </c>
      <c r="AJ61" s="194">
        <v>-7.0121690942631627</v>
      </c>
      <c r="AK61" s="194">
        <v>11.626168360166833</v>
      </c>
      <c r="AL61" s="194">
        <v>2.8268738805685345</v>
      </c>
      <c r="AM61" s="194">
        <v>5.89841237662149</v>
      </c>
      <c r="AN61" s="194">
        <v>4.4473541825764134</v>
      </c>
      <c r="AO61" s="194">
        <v>16.452609622366978</v>
      </c>
      <c r="AP61" s="194">
        <v>5.3616962373598174</v>
      </c>
    </row>
    <row r="62" spans="1:42" ht="12" customHeight="1">
      <c r="A62" s="189" t="s">
        <v>417</v>
      </c>
      <c r="B62" s="189"/>
      <c r="C62" s="189" t="s">
        <v>28</v>
      </c>
      <c r="D62" s="189" t="s">
        <v>755</v>
      </c>
      <c r="E62" s="189" t="s">
        <v>885</v>
      </c>
      <c r="F62" s="190" t="s">
        <v>730</v>
      </c>
      <c r="G62" s="189" t="s">
        <v>693</v>
      </c>
      <c r="H62" s="197"/>
      <c r="I62" s="195"/>
      <c r="J62" s="195"/>
      <c r="K62" s="192">
        <v>31204315.169999998</v>
      </c>
      <c r="L62" s="192">
        <v>17392556.679999996</v>
      </c>
      <c r="M62" s="192">
        <v>95518664.640000001</v>
      </c>
      <c r="N62" s="192">
        <v>62794932.809999987</v>
      </c>
      <c r="O62" s="192">
        <v>893349.47000000009</v>
      </c>
      <c r="P62" s="192">
        <v>30403314.709999997</v>
      </c>
      <c r="Q62" s="192">
        <v>734348.6</v>
      </c>
      <c r="R62" s="192">
        <v>238207133.48000002</v>
      </c>
      <c r="S62" s="192">
        <v>29538272.939999998</v>
      </c>
      <c r="T62" s="192">
        <v>19974257.079999998</v>
      </c>
      <c r="U62" s="192">
        <v>85807448.229999974</v>
      </c>
      <c r="V62" s="192">
        <v>62144716.990000002</v>
      </c>
      <c r="W62" s="192">
        <v>1069105.44</v>
      </c>
      <c r="X62" s="192">
        <v>29496843.850000005</v>
      </c>
      <c r="Y62" s="192">
        <v>697947.95000000007</v>
      </c>
      <c r="Z62" s="192">
        <v>228030644.52999997</v>
      </c>
      <c r="AA62" s="193">
        <v>1666042.2300000004</v>
      </c>
      <c r="AB62" s="193">
        <v>-2581700.4000000022</v>
      </c>
      <c r="AC62" s="193">
        <v>9711216.4100000262</v>
      </c>
      <c r="AD62" s="193">
        <v>650215.8199999854</v>
      </c>
      <c r="AE62" s="193">
        <v>-175755.96999999986</v>
      </c>
      <c r="AF62" s="193">
        <v>906470.85999999195</v>
      </c>
      <c r="AG62" s="193">
        <v>36400.649999999907</v>
      </c>
      <c r="AH62" s="193">
        <v>10176488.950000048</v>
      </c>
      <c r="AI62" s="194">
        <v>5.6402831451390893</v>
      </c>
      <c r="AJ62" s="194">
        <v>-12.925138540371698</v>
      </c>
      <c r="AK62" s="194">
        <v>11.317451585286502</v>
      </c>
      <c r="AL62" s="194">
        <v>1.0462929939879118</v>
      </c>
      <c r="AM62" s="194">
        <v>-16.439535655154824</v>
      </c>
      <c r="AN62" s="194">
        <v>3.0731113627263271</v>
      </c>
      <c r="AO62" s="194">
        <v>5.2153817487392722</v>
      </c>
      <c r="AP62" s="194">
        <v>4.462772523831207</v>
      </c>
    </row>
    <row r="63" spans="1:42" ht="12" customHeight="1">
      <c r="A63" s="189" t="s">
        <v>418</v>
      </c>
      <c r="B63" s="189"/>
      <c r="C63" s="189" t="s">
        <v>29</v>
      </c>
      <c r="D63" s="189" t="s">
        <v>755</v>
      </c>
      <c r="E63" s="189" t="s">
        <v>884</v>
      </c>
      <c r="F63" s="190" t="s">
        <v>730</v>
      </c>
      <c r="G63" s="189" t="s">
        <v>693</v>
      </c>
      <c r="H63" s="197"/>
      <c r="I63" s="195"/>
      <c r="J63" s="195"/>
      <c r="K63" s="192">
        <v>8013218.0700000012</v>
      </c>
      <c r="L63" s="192">
        <v>3120201.22</v>
      </c>
      <c r="M63" s="192">
        <v>23215375.899999995</v>
      </c>
      <c r="N63" s="192">
        <v>13892102.5</v>
      </c>
      <c r="O63" s="192">
        <v>227954.47</v>
      </c>
      <c r="P63" s="192">
        <v>7152597.9299999988</v>
      </c>
      <c r="Q63" s="192">
        <v>638554.22</v>
      </c>
      <c r="R63" s="192">
        <v>55621450.089999996</v>
      </c>
      <c r="S63" s="192">
        <v>8082355.9500000011</v>
      </c>
      <c r="T63" s="192">
        <v>3500575.1600000006</v>
      </c>
      <c r="U63" s="192">
        <v>20888342.030000001</v>
      </c>
      <c r="V63" s="192">
        <v>14049671.110000001</v>
      </c>
      <c r="W63" s="192">
        <v>238229.58000000002</v>
      </c>
      <c r="X63" s="192">
        <v>7064166.4300000016</v>
      </c>
      <c r="Y63" s="192">
        <v>590391.67000000004</v>
      </c>
      <c r="Z63" s="192">
        <v>53823340.259999998</v>
      </c>
      <c r="AA63" s="193">
        <v>-69137.879999999888</v>
      </c>
      <c r="AB63" s="193">
        <v>-380373.94000000041</v>
      </c>
      <c r="AC63" s="193">
        <v>2327033.8699999936</v>
      </c>
      <c r="AD63" s="193">
        <v>-157568.61000000127</v>
      </c>
      <c r="AE63" s="193">
        <v>-10275.110000000015</v>
      </c>
      <c r="AF63" s="193">
        <v>88431.499999997206</v>
      </c>
      <c r="AG63" s="193">
        <v>48162.54999999993</v>
      </c>
      <c r="AH63" s="193">
        <v>1798109.8299999982</v>
      </c>
      <c r="AI63" s="194">
        <v>-0.85541741081076594</v>
      </c>
      <c r="AJ63" s="194">
        <v>-10.866041225065436</v>
      </c>
      <c r="AK63" s="194">
        <v>11.140347408415129</v>
      </c>
      <c r="AL63" s="194">
        <v>-1.1215110216199307</v>
      </c>
      <c r="AM63" s="194">
        <v>-4.3131125866065894</v>
      </c>
      <c r="AN63" s="194">
        <v>1.2518320579827731</v>
      </c>
      <c r="AO63" s="194">
        <v>8.1577285804184747</v>
      </c>
      <c r="AP63" s="194">
        <v>3.3407622442494587</v>
      </c>
    </row>
    <row r="64" spans="1:42" ht="12" customHeight="1">
      <c r="A64" s="189" t="s">
        <v>419</v>
      </c>
      <c r="B64" s="189"/>
      <c r="C64" s="189" t="s">
        <v>30</v>
      </c>
      <c r="D64" s="189" t="s">
        <v>755</v>
      </c>
      <c r="E64" s="189" t="s">
        <v>884</v>
      </c>
      <c r="F64" s="190" t="s">
        <v>730</v>
      </c>
      <c r="G64" s="189" t="s">
        <v>693</v>
      </c>
      <c r="H64" s="197"/>
      <c r="I64" s="195"/>
      <c r="J64" s="195"/>
      <c r="K64" s="192">
        <v>11625528.719999999</v>
      </c>
      <c r="L64" s="192">
        <v>5409577.6099999994</v>
      </c>
      <c r="M64" s="192">
        <v>33906138.979999997</v>
      </c>
      <c r="N64" s="192">
        <v>19739366.27</v>
      </c>
      <c r="O64" s="192">
        <v>374949.64</v>
      </c>
      <c r="P64" s="192">
        <v>10933878.939999999</v>
      </c>
      <c r="Q64" s="192">
        <v>763437.69000000006</v>
      </c>
      <c r="R64" s="192">
        <v>81989440.159999996</v>
      </c>
      <c r="S64" s="192">
        <v>11710221.75</v>
      </c>
      <c r="T64" s="192">
        <v>5860125.0600000015</v>
      </c>
      <c r="U64" s="192">
        <v>30518118.200000007</v>
      </c>
      <c r="V64" s="192">
        <v>20422725.859999996</v>
      </c>
      <c r="W64" s="192">
        <v>422928.50999999995</v>
      </c>
      <c r="X64" s="192">
        <v>10576302.729999999</v>
      </c>
      <c r="Y64" s="192">
        <v>747248.49000000011</v>
      </c>
      <c r="Z64" s="192">
        <v>79510422.110000014</v>
      </c>
      <c r="AA64" s="193">
        <v>-84693.030000001192</v>
      </c>
      <c r="AB64" s="193">
        <v>-450547.45000000205</v>
      </c>
      <c r="AC64" s="193">
        <v>3388020.77999999</v>
      </c>
      <c r="AD64" s="193">
        <v>-683359.58999999613</v>
      </c>
      <c r="AE64" s="193">
        <v>-47978.869999999937</v>
      </c>
      <c r="AF64" s="193">
        <v>357576.21000000089</v>
      </c>
      <c r="AG64" s="193">
        <v>16189.199999999953</v>
      </c>
      <c r="AH64" s="193">
        <v>2479018.0499999821</v>
      </c>
      <c r="AI64" s="194">
        <v>-0.72324018970862958</v>
      </c>
      <c r="AJ64" s="194">
        <v>-7.6883589579912819</v>
      </c>
      <c r="AK64" s="194">
        <v>11.101670023677899</v>
      </c>
      <c r="AL64" s="194">
        <v>-3.3460743423013182</v>
      </c>
      <c r="AM64" s="194">
        <v>-11.344439749403497</v>
      </c>
      <c r="AN64" s="194">
        <v>3.3809188251176403</v>
      </c>
      <c r="AO64" s="194">
        <v>2.1665082253963406</v>
      </c>
      <c r="AP64" s="194">
        <v>3.1178529609242212</v>
      </c>
    </row>
    <row r="65" spans="1:42" ht="12" customHeight="1">
      <c r="A65" s="190" t="s">
        <v>1013</v>
      </c>
      <c r="B65" s="189"/>
      <c r="C65" s="189" t="s">
        <v>32</v>
      </c>
      <c r="D65" s="189" t="s">
        <v>755</v>
      </c>
      <c r="E65" s="189" t="s">
        <v>884</v>
      </c>
      <c r="F65" s="190" t="s">
        <v>730</v>
      </c>
      <c r="G65" s="189" t="s">
        <v>693</v>
      </c>
      <c r="H65" s="197"/>
      <c r="I65" s="195"/>
      <c r="J65" s="195"/>
      <c r="K65" s="192">
        <v>12593838.679999998</v>
      </c>
      <c r="L65" s="192">
        <v>8573220.2499999981</v>
      </c>
      <c r="M65" s="192">
        <v>42595315.409999989</v>
      </c>
      <c r="N65" s="192">
        <v>24248634.190000001</v>
      </c>
      <c r="O65" s="192">
        <v>384775.43</v>
      </c>
      <c r="P65" s="192">
        <v>13085186.659999998</v>
      </c>
      <c r="Q65" s="192">
        <v>1186070.4500000002</v>
      </c>
      <c r="R65" s="192">
        <v>101480970.61999999</v>
      </c>
      <c r="S65" s="192">
        <v>12342054.899999999</v>
      </c>
      <c r="T65" s="192">
        <v>9189846.3300000019</v>
      </c>
      <c r="U65" s="192">
        <v>38359353.470000006</v>
      </c>
      <c r="V65" s="192">
        <v>24950570.360000003</v>
      </c>
      <c r="W65" s="192">
        <v>414389.4</v>
      </c>
      <c r="X65" s="192">
        <v>12752018.43</v>
      </c>
      <c r="Y65" s="192">
        <v>1111117.6399999999</v>
      </c>
      <c r="Z65" s="192">
        <v>98008232.890000015</v>
      </c>
      <c r="AA65" s="193">
        <v>251783.77999999933</v>
      </c>
      <c r="AB65" s="193">
        <v>-616626.0800000038</v>
      </c>
      <c r="AC65" s="193">
        <v>4235961.9399999827</v>
      </c>
      <c r="AD65" s="193">
        <v>-701936.17000000179</v>
      </c>
      <c r="AE65" s="193">
        <v>-29613.97000000003</v>
      </c>
      <c r="AF65" s="193">
        <v>333168.22999999858</v>
      </c>
      <c r="AG65" s="193">
        <v>74952.810000000289</v>
      </c>
      <c r="AH65" s="193">
        <v>3472737.7299999744</v>
      </c>
      <c r="AI65" s="194">
        <v>2.0400474802619728</v>
      </c>
      <c r="AJ65" s="194">
        <v>-6.7098627970202811</v>
      </c>
      <c r="AK65" s="194">
        <v>11.042839768696398</v>
      </c>
      <c r="AL65" s="194">
        <v>-2.8133071103068832</v>
      </c>
      <c r="AM65" s="194">
        <v>-7.1464110809784289</v>
      </c>
      <c r="AN65" s="194">
        <v>2.6126705495986222</v>
      </c>
      <c r="AO65" s="194">
        <v>6.7457132621888976</v>
      </c>
      <c r="AP65" s="194">
        <v>3.5433122581626555</v>
      </c>
    </row>
    <row r="66" spans="1:42" ht="12" customHeight="1">
      <c r="A66" s="190" t="s">
        <v>1012</v>
      </c>
      <c r="B66" s="189"/>
      <c r="C66" s="189" t="s">
        <v>33</v>
      </c>
      <c r="D66" s="189" t="s">
        <v>756</v>
      </c>
      <c r="E66" s="189" t="s">
        <v>881</v>
      </c>
      <c r="F66" s="190" t="s">
        <v>730</v>
      </c>
      <c r="G66" s="189" t="s">
        <v>693</v>
      </c>
      <c r="H66" s="197"/>
      <c r="I66" s="195"/>
      <c r="J66" s="195"/>
      <c r="K66" s="192">
        <v>7737299</v>
      </c>
      <c r="L66" s="192">
        <v>2414075</v>
      </c>
      <c r="M66" s="192">
        <v>23145681</v>
      </c>
      <c r="N66" s="192">
        <v>12006708</v>
      </c>
      <c r="O66" s="192">
        <v>192869</v>
      </c>
      <c r="P66" s="192">
        <v>7169633</v>
      </c>
      <c r="Q66" s="192">
        <v>621443</v>
      </c>
      <c r="R66" s="192">
        <v>52666265</v>
      </c>
      <c r="S66" s="192">
        <v>7675564</v>
      </c>
      <c r="T66" s="192">
        <v>2870415</v>
      </c>
      <c r="U66" s="192">
        <v>20478316</v>
      </c>
      <c r="V66" s="192">
        <v>11731905</v>
      </c>
      <c r="W66" s="192">
        <v>163650</v>
      </c>
      <c r="X66" s="192">
        <v>6770014</v>
      </c>
      <c r="Y66" s="192">
        <v>566403</v>
      </c>
      <c r="Z66" s="192">
        <v>49689864</v>
      </c>
      <c r="AA66" s="193">
        <v>61735</v>
      </c>
      <c r="AB66" s="193">
        <v>-456340</v>
      </c>
      <c r="AC66" s="193">
        <v>2667365</v>
      </c>
      <c r="AD66" s="193">
        <v>274803</v>
      </c>
      <c r="AE66" s="193">
        <v>29219</v>
      </c>
      <c r="AF66" s="193">
        <v>399619</v>
      </c>
      <c r="AG66" s="193">
        <v>55040</v>
      </c>
      <c r="AH66" s="193">
        <v>2976401</v>
      </c>
      <c r="AI66" s="194">
        <v>0.80430571616626478</v>
      </c>
      <c r="AJ66" s="194">
        <v>-15.898049585164514</v>
      </c>
      <c r="AK66" s="194">
        <v>13.0253141908739</v>
      </c>
      <c r="AL66" s="194">
        <v>2.3423561646637951</v>
      </c>
      <c r="AM66" s="194">
        <v>17.85456767491598</v>
      </c>
      <c r="AN66" s="194">
        <v>5.9027795215785375</v>
      </c>
      <c r="AO66" s="194">
        <v>9.7174626546822669</v>
      </c>
      <c r="AP66" s="194">
        <v>5.9899560200044011</v>
      </c>
    </row>
    <row r="67" spans="1:42" ht="12" customHeight="1">
      <c r="A67" s="189" t="s">
        <v>863</v>
      </c>
      <c r="B67" s="189"/>
      <c r="C67" s="189" t="s">
        <v>775</v>
      </c>
      <c r="D67" s="189" t="s">
        <v>756</v>
      </c>
      <c r="E67" s="189" t="s">
        <v>881</v>
      </c>
      <c r="F67" s="190" t="s">
        <v>729</v>
      </c>
      <c r="G67" s="189" t="s">
        <v>692</v>
      </c>
      <c r="H67" s="197"/>
      <c r="I67" s="195"/>
      <c r="J67" s="195"/>
      <c r="K67" s="192">
        <v>19740964</v>
      </c>
      <c r="L67" s="192">
        <v>5173064</v>
      </c>
      <c r="M67" s="192">
        <v>55656641</v>
      </c>
      <c r="N67" s="192">
        <v>32726431</v>
      </c>
      <c r="O67" s="192">
        <v>1080002</v>
      </c>
      <c r="P67" s="192">
        <v>17880399</v>
      </c>
      <c r="Q67" s="192">
        <v>1604087</v>
      </c>
      <c r="R67" s="192">
        <v>132257501</v>
      </c>
      <c r="S67" s="192">
        <v>19659489</v>
      </c>
      <c r="T67" s="192">
        <v>5378441</v>
      </c>
      <c r="U67" s="192">
        <v>48440553</v>
      </c>
      <c r="V67" s="192">
        <v>31227223</v>
      </c>
      <c r="W67" s="192">
        <v>985802</v>
      </c>
      <c r="X67" s="192">
        <v>16663090</v>
      </c>
      <c r="Y67" s="192">
        <v>1442138</v>
      </c>
      <c r="Z67" s="192">
        <v>122354598</v>
      </c>
      <c r="AA67" s="193">
        <v>81475</v>
      </c>
      <c r="AB67" s="193">
        <v>-205377</v>
      </c>
      <c r="AC67" s="193">
        <v>7216088</v>
      </c>
      <c r="AD67" s="193">
        <v>1499208</v>
      </c>
      <c r="AE67" s="193">
        <v>94200</v>
      </c>
      <c r="AF67" s="193">
        <v>1217309</v>
      </c>
      <c r="AG67" s="193">
        <v>161949</v>
      </c>
      <c r="AH67" s="193">
        <v>9902903</v>
      </c>
      <c r="AI67" s="194">
        <v>0.41443091425214562</v>
      </c>
      <c r="AJ67" s="194">
        <v>-3.8185228767964547</v>
      </c>
      <c r="AK67" s="194">
        <v>14.896791124576964</v>
      </c>
      <c r="AL67" s="194">
        <v>4.8009648504447551</v>
      </c>
      <c r="AM67" s="194">
        <v>9.5556714228617921</v>
      </c>
      <c r="AN67" s="194">
        <v>7.3054217435061561</v>
      </c>
      <c r="AO67" s="194">
        <v>11.229785221663946</v>
      </c>
      <c r="AP67" s="194">
        <v>8.0936091997131161</v>
      </c>
    </row>
    <row r="68" spans="1:42" ht="12" customHeight="1">
      <c r="A68" s="189" t="s">
        <v>421</v>
      </c>
      <c r="B68" s="189"/>
      <c r="C68" s="189" t="s">
        <v>36</v>
      </c>
      <c r="D68" s="189" t="s">
        <v>756</v>
      </c>
      <c r="E68" s="189" t="s">
        <v>884</v>
      </c>
      <c r="F68" s="190" t="s">
        <v>729</v>
      </c>
      <c r="G68" s="189" t="s">
        <v>692</v>
      </c>
      <c r="H68" s="197"/>
      <c r="I68" s="195"/>
      <c r="J68" s="195"/>
      <c r="K68" s="192">
        <v>21227204</v>
      </c>
      <c r="L68" s="192">
        <v>7637132</v>
      </c>
      <c r="M68" s="192">
        <v>59309924</v>
      </c>
      <c r="N68" s="192">
        <v>34743409</v>
      </c>
      <c r="O68" s="192">
        <v>778762</v>
      </c>
      <c r="P68" s="192">
        <v>16574692</v>
      </c>
      <c r="Q68" s="192">
        <v>2319766</v>
      </c>
      <c r="R68" s="192">
        <v>140271123</v>
      </c>
      <c r="S68" s="192">
        <v>21034947</v>
      </c>
      <c r="T68" s="192">
        <v>7028485</v>
      </c>
      <c r="U68" s="192">
        <v>52768250</v>
      </c>
      <c r="V68" s="192">
        <v>33923096</v>
      </c>
      <c r="W68" s="192">
        <v>983286</v>
      </c>
      <c r="X68" s="192">
        <v>15860420</v>
      </c>
      <c r="Y68" s="192">
        <v>1819292</v>
      </c>
      <c r="Z68" s="192">
        <v>131598484</v>
      </c>
      <c r="AA68" s="193">
        <v>192257</v>
      </c>
      <c r="AB68" s="193">
        <v>608647</v>
      </c>
      <c r="AC68" s="193">
        <v>6541674</v>
      </c>
      <c r="AD68" s="193">
        <v>820313</v>
      </c>
      <c r="AE68" s="193">
        <v>-204524</v>
      </c>
      <c r="AF68" s="193">
        <v>714272</v>
      </c>
      <c r="AG68" s="193">
        <v>500474</v>
      </c>
      <c r="AH68" s="193">
        <v>8672639</v>
      </c>
      <c r="AI68" s="194">
        <v>0.91398851634853173</v>
      </c>
      <c r="AJ68" s="194">
        <v>8.6597182749909845</v>
      </c>
      <c r="AK68" s="194">
        <v>12.396988719542527</v>
      </c>
      <c r="AL68" s="194">
        <v>2.4181548759582556</v>
      </c>
      <c r="AM68" s="194">
        <v>-20.800052070303046</v>
      </c>
      <c r="AN68" s="194">
        <v>4.5034872973099072</v>
      </c>
      <c r="AO68" s="194">
        <v>27.509272838005117</v>
      </c>
      <c r="AP68" s="194">
        <v>6.5902271336195639</v>
      </c>
    </row>
    <row r="69" spans="1:42" ht="12" customHeight="1">
      <c r="A69" s="189" t="s">
        <v>422</v>
      </c>
      <c r="B69" s="189"/>
      <c r="C69" s="189" t="s">
        <v>757</v>
      </c>
      <c r="D69" s="189" t="s">
        <v>756</v>
      </c>
      <c r="E69" s="189" t="s">
        <v>884</v>
      </c>
      <c r="F69" s="190" t="s">
        <v>729</v>
      </c>
      <c r="G69" s="189" t="s">
        <v>692</v>
      </c>
      <c r="H69" s="197"/>
      <c r="I69" s="195"/>
      <c r="J69" s="195"/>
      <c r="K69" s="192">
        <v>22630143</v>
      </c>
      <c r="L69" s="192">
        <v>12995813</v>
      </c>
      <c r="M69" s="192">
        <v>76637433</v>
      </c>
      <c r="N69" s="192">
        <v>43571393</v>
      </c>
      <c r="O69" s="192">
        <v>788586</v>
      </c>
      <c r="P69" s="192">
        <v>24631232</v>
      </c>
      <c r="Q69" s="192">
        <v>2221186</v>
      </c>
      <c r="R69" s="192">
        <v>181254600</v>
      </c>
      <c r="S69" s="192">
        <v>22865979</v>
      </c>
      <c r="T69" s="192">
        <v>11561541</v>
      </c>
      <c r="U69" s="192">
        <v>65020028</v>
      </c>
      <c r="V69" s="192">
        <v>41410249</v>
      </c>
      <c r="W69" s="192">
        <v>707322</v>
      </c>
      <c r="X69" s="192">
        <v>22829376</v>
      </c>
      <c r="Y69" s="192">
        <v>2023019</v>
      </c>
      <c r="Z69" s="192">
        <v>164394495</v>
      </c>
      <c r="AA69" s="193">
        <v>-235836</v>
      </c>
      <c r="AB69" s="193">
        <v>1434272</v>
      </c>
      <c r="AC69" s="193">
        <v>11617405</v>
      </c>
      <c r="AD69" s="193">
        <v>2161144</v>
      </c>
      <c r="AE69" s="193">
        <v>81264</v>
      </c>
      <c r="AF69" s="193">
        <v>1801856</v>
      </c>
      <c r="AG69" s="193">
        <v>198167</v>
      </c>
      <c r="AH69" s="193">
        <v>16860105</v>
      </c>
      <c r="AI69" s="194">
        <v>-1.0313837863666366</v>
      </c>
      <c r="AJ69" s="194">
        <v>12.4055435170796</v>
      </c>
      <c r="AK69" s="194">
        <v>17.867425403138864</v>
      </c>
      <c r="AL69" s="194">
        <v>5.2188626057283551</v>
      </c>
      <c r="AM69" s="194">
        <v>11.488968249255644</v>
      </c>
      <c r="AN69" s="194">
        <v>7.8927080617534191</v>
      </c>
      <c r="AO69" s="194">
        <v>9.795607455985337</v>
      </c>
      <c r="AP69" s="194">
        <v>10.255881743485389</v>
      </c>
    </row>
    <row r="70" spans="1:42" ht="12" customHeight="1">
      <c r="A70" s="189" t="s">
        <v>423</v>
      </c>
      <c r="B70" s="189"/>
      <c r="C70" s="189" t="s">
        <v>37</v>
      </c>
      <c r="D70" s="189" t="s">
        <v>755</v>
      </c>
      <c r="E70" s="189" t="s">
        <v>885</v>
      </c>
      <c r="F70" s="190" t="s">
        <v>729</v>
      </c>
      <c r="G70" s="189" t="s">
        <v>692</v>
      </c>
      <c r="H70" s="197"/>
      <c r="I70" s="195"/>
      <c r="J70" s="195"/>
      <c r="K70" s="192">
        <v>25604482.59</v>
      </c>
      <c r="L70" s="192">
        <v>13955609.960000001</v>
      </c>
      <c r="M70" s="192">
        <v>94706979.920000002</v>
      </c>
      <c r="N70" s="192">
        <v>56190409.500000007</v>
      </c>
      <c r="O70" s="192">
        <v>1550073.43</v>
      </c>
      <c r="P70" s="192">
        <v>29616910.679999996</v>
      </c>
      <c r="Q70" s="192">
        <v>3356755.7800000003</v>
      </c>
      <c r="R70" s="192">
        <v>221624466.08000001</v>
      </c>
      <c r="S70" s="192">
        <v>25173228.140000001</v>
      </c>
      <c r="T70" s="192">
        <v>11845585.529999996</v>
      </c>
      <c r="U70" s="192">
        <v>78260326.060000017</v>
      </c>
      <c r="V70" s="192">
        <v>50211205.18</v>
      </c>
      <c r="W70" s="192">
        <v>1877900.51</v>
      </c>
      <c r="X70" s="192">
        <v>26242731.359999999</v>
      </c>
      <c r="Y70" s="192">
        <v>2922704.7600000002</v>
      </c>
      <c r="Z70" s="192">
        <v>193610976.78000003</v>
      </c>
      <c r="AA70" s="193">
        <v>431254.44999999925</v>
      </c>
      <c r="AB70" s="193">
        <v>2110024.4300000053</v>
      </c>
      <c r="AC70" s="193">
        <v>16446653.859999985</v>
      </c>
      <c r="AD70" s="193">
        <v>5979204.3200000077</v>
      </c>
      <c r="AE70" s="193">
        <v>-327827.08000000007</v>
      </c>
      <c r="AF70" s="193">
        <v>3374179.3199999966</v>
      </c>
      <c r="AG70" s="193">
        <v>434051.02</v>
      </c>
      <c r="AH70" s="193">
        <v>28013489.299999982</v>
      </c>
      <c r="AI70" s="194">
        <v>1.7131471879633122</v>
      </c>
      <c r="AJ70" s="194">
        <v>17.812749100972521</v>
      </c>
      <c r="AK70" s="194">
        <v>21.015314768035584</v>
      </c>
      <c r="AL70" s="194">
        <v>11.908107559986689</v>
      </c>
      <c r="AM70" s="194">
        <v>-17.457105861268449</v>
      </c>
      <c r="AN70" s="194">
        <v>12.857576727485872</v>
      </c>
      <c r="AO70" s="194">
        <v>14.851004656385477</v>
      </c>
      <c r="AP70" s="194">
        <v>14.468957166530741</v>
      </c>
    </row>
    <row r="71" spans="1:42" ht="12" customHeight="1">
      <c r="A71" s="189" t="s">
        <v>424</v>
      </c>
      <c r="B71" s="189"/>
      <c r="C71" s="189" t="s">
        <v>38</v>
      </c>
      <c r="D71" s="189" t="s">
        <v>755</v>
      </c>
      <c r="E71" s="189" t="s">
        <v>885</v>
      </c>
      <c r="F71" s="190" t="s">
        <v>729</v>
      </c>
      <c r="G71" s="189" t="s">
        <v>692</v>
      </c>
      <c r="H71" s="197"/>
      <c r="I71" s="195"/>
      <c r="J71" s="195"/>
      <c r="K71" s="192">
        <v>45763593.980000004</v>
      </c>
      <c r="L71" s="192">
        <v>30421206.120000005</v>
      </c>
      <c r="M71" s="192">
        <v>154923491.04999995</v>
      </c>
      <c r="N71" s="192">
        <v>127419746.11</v>
      </c>
      <c r="O71" s="192">
        <v>2361721.44</v>
      </c>
      <c r="P71" s="192">
        <v>51484185.269999981</v>
      </c>
      <c r="Q71" s="192">
        <v>10487935.09</v>
      </c>
      <c r="R71" s="192">
        <v>412373943.96999997</v>
      </c>
      <c r="S71" s="192">
        <v>45219131.119999997</v>
      </c>
      <c r="T71" s="192">
        <v>30755545.389999997</v>
      </c>
      <c r="U71" s="192">
        <v>135256370.97999996</v>
      </c>
      <c r="V71" s="192">
        <v>117184724.00999999</v>
      </c>
      <c r="W71" s="192">
        <v>2970800.4000000004</v>
      </c>
      <c r="X71" s="192">
        <v>48217251.659999996</v>
      </c>
      <c r="Y71" s="192">
        <v>9051558.1800000016</v>
      </c>
      <c r="Z71" s="192">
        <v>379603823.55999994</v>
      </c>
      <c r="AA71" s="193">
        <v>544462.86000000685</v>
      </c>
      <c r="AB71" s="193">
        <v>-334339.2699999921</v>
      </c>
      <c r="AC71" s="193">
        <v>19667120.069999993</v>
      </c>
      <c r="AD71" s="193">
        <v>10235022.100000009</v>
      </c>
      <c r="AE71" s="193">
        <v>-609078.96000000043</v>
      </c>
      <c r="AF71" s="193">
        <v>3266933.6099999845</v>
      </c>
      <c r="AG71" s="193">
        <v>1436376.9099999983</v>
      </c>
      <c r="AH71" s="193">
        <v>32770120.410000026</v>
      </c>
      <c r="AI71" s="194">
        <v>1.2040542277452033</v>
      </c>
      <c r="AJ71" s="194">
        <v>-1.0870861360458941</v>
      </c>
      <c r="AK71" s="194">
        <v>14.540623800196533</v>
      </c>
      <c r="AL71" s="194">
        <v>8.7340924224275174</v>
      </c>
      <c r="AM71" s="194">
        <v>-20.502183855906321</v>
      </c>
      <c r="AN71" s="194">
        <v>6.7754455045187969</v>
      </c>
      <c r="AO71" s="194">
        <v>15.868835856060286</v>
      </c>
      <c r="AP71" s="194">
        <v>8.6327161045627356</v>
      </c>
    </row>
    <row r="72" spans="1:42" ht="12" customHeight="1">
      <c r="A72" s="189" t="s">
        <v>425</v>
      </c>
      <c r="B72" s="189"/>
      <c r="C72" s="189" t="s">
        <v>39</v>
      </c>
      <c r="D72" s="189" t="s">
        <v>755</v>
      </c>
      <c r="E72" s="189" t="s">
        <v>885</v>
      </c>
      <c r="F72" s="190" t="s">
        <v>729</v>
      </c>
      <c r="G72" s="189" t="s">
        <v>692</v>
      </c>
      <c r="H72" s="197"/>
      <c r="I72" s="195"/>
      <c r="J72" s="195"/>
      <c r="K72" s="192">
        <v>63498468.030000001</v>
      </c>
      <c r="L72" s="192">
        <v>44858985.379999995</v>
      </c>
      <c r="M72" s="192">
        <v>219978676.16000003</v>
      </c>
      <c r="N72" s="192">
        <v>150568419.66</v>
      </c>
      <c r="O72" s="192">
        <v>3956830.1999999997</v>
      </c>
      <c r="P72" s="192">
        <v>72625407.400000006</v>
      </c>
      <c r="Q72" s="192">
        <v>5986129.5699999994</v>
      </c>
      <c r="R72" s="192">
        <v>555486786.83000004</v>
      </c>
      <c r="S72" s="192">
        <v>63299668.620000005</v>
      </c>
      <c r="T72" s="192">
        <v>45707437.729999997</v>
      </c>
      <c r="U72" s="192">
        <v>192492782.55000007</v>
      </c>
      <c r="V72" s="192">
        <v>143274149.80000001</v>
      </c>
      <c r="W72" s="192">
        <v>4352622.57</v>
      </c>
      <c r="X72" s="192">
        <v>67386178.939999998</v>
      </c>
      <c r="Y72" s="192">
        <v>8781653.3200000003</v>
      </c>
      <c r="Z72" s="192">
        <v>516512840.2100001</v>
      </c>
      <c r="AA72" s="193">
        <v>198799.40999999642</v>
      </c>
      <c r="AB72" s="193">
        <v>-848452.35000000149</v>
      </c>
      <c r="AC72" s="193">
        <v>27485893.609999955</v>
      </c>
      <c r="AD72" s="193">
        <v>7294269.8599999845</v>
      </c>
      <c r="AE72" s="193">
        <v>-395792.37000000058</v>
      </c>
      <c r="AF72" s="193">
        <v>5239228.4600000083</v>
      </c>
      <c r="AG72" s="193">
        <v>-2795523.7500000009</v>
      </c>
      <c r="AH72" s="193">
        <v>38973946.619999945</v>
      </c>
      <c r="AI72" s="194">
        <v>0.31406074365638031</v>
      </c>
      <c r="AJ72" s="194">
        <v>-1.8562675838709752</v>
      </c>
      <c r="AK72" s="194">
        <v>14.278921654042007</v>
      </c>
      <c r="AL72" s="194">
        <v>5.0911276529522178</v>
      </c>
      <c r="AM72" s="194">
        <v>-9.0931929804334164</v>
      </c>
      <c r="AN72" s="194">
        <v>7.7749303231230344</v>
      </c>
      <c r="AO72" s="194">
        <v>-31.83368379657238</v>
      </c>
      <c r="AP72" s="194">
        <v>7.545591045549652</v>
      </c>
    </row>
    <row r="73" spans="1:42" ht="12" customHeight="1">
      <c r="A73" s="189" t="s">
        <v>426</v>
      </c>
      <c r="B73" s="189"/>
      <c r="C73" s="189" t="s">
        <v>759</v>
      </c>
      <c r="D73" s="189" t="s">
        <v>755</v>
      </c>
      <c r="E73" s="189" t="s">
        <v>884</v>
      </c>
      <c r="F73" s="190" t="s">
        <v>729</v>
      </c>
      <c r="G73" s="189" t="s">
        <v>692</v>
      </c>
      <c r="H73" s="197"/>
      <c r="I73" s="195"/>
      <c r="J73" s="195"/>
      <c r="K73" s="192">
        <v>15192939.4</v>
      </c>
      <c r="L73" s="192">
        <v>8337637.1400000006</v>
      </c>
      <c r="M73" s="192">
        <v>46954220.959999986</v>
      </c>
      <c r="N73" s="192">
        <v>28188771.579999998</v>
      </c>
      <c r="O73" s="192">
        <v>508097.85000000003</v>
      </c>
      <c r="P73" s="192">
        <v>15317254.649999995</v>
      </c>
      <c r="Q73" s="192">
        <v>1293761.74</v>
      </c>
      <c r="R73" s="192">
        <v>114498921.57999997</v>
      </c>
      <c r="S73" s="192">
        <v>14721550.43</v>
      </c>
      <c r="T73" s="192">
        <v>9130093.5699999984</v>
      </c>
      <c r="U73" s="192">
        <v>42693101.909999996</v>
      </c>
      <c r="V73" s="192">
        <v>28348201.02</v>
      </c>
      <c r="W73" s="192">
        <v>581699.32000000007</v>
      </c>
      <c r="X73" s="192">
        <v>14722585.529999997</v>
      </c>
      <c r="Y73" s="192">
        <v>1205753.92</v>
      </c>
      <c r="Z73" s="192">
        <v>110197231.77999999</v>
      </c>
      <c r="AA73" s="193">
        <v>471388.97000000067</v>
      </c>
      <c r="AB73" s="193">
        <v>-792456.42999999784</v>
      </c>
      <c r="AC73" s="193">
        <v>4261119.0499999896</v>
      </c>
      <c r="AD73" s="193">
        <v>-159429.44000000134</v>
      </c>
      <c r="AE73" s="193">
        <v>-73601.47000000003</v>
      </c>
      <c r="AF73" s="193">
        <v>594669.11999999732</v>
      </c>
      <c r="AG73" s="193">
        <v>88007.820000000065</v>
      </c>
      <c r="AH73" s="193">
        <v>4301689.7999999821</v>
      </c>
      <c r="AI73" s="194">
        <v>3.2020334559285999</v>
      </c>
      <c r="AJ73" s="194">
        <v>-8.6796090743678764</v>
      </c>
      <c r="AK73" s="194">
        <v>9.9808139005282932</v>
      </c>
      <c r="AL73" s="194">
        <v>-0.56239702790142465</v>
      </c>
      <c r="AM73" s="194">
        <v>-12.652837551881618</v>
      </c>
      <c r="AN73" s="194">
        <v>4.039162270704753</v>
      </c>
      <c r="AO73" s="194">
        <v>7.2989868446788941</v>
      </c>
      <c r="AP73" s="194">
        <v>3.9036278230545425</v>
      </c>
    </row>
    <row r="74" spans="1:42" ht="12" customHeight="1">
      <c r="A74" s="189" t="s">
        <v>427</v>
      </c>
      <c r="B74" s="189"/>
      <c r="C74" s="189" t="s">
        <v>776</v>
      </c>
      <c r="D74" s="189" t="s">
        <v>756</v>
      </c>
      <c r="E74" s="189" t="s">
        <v>881</v>
      </c>
      <c r="F74" s="190" t="s">
        <v>729</v>
      </c>
      <c r="G74" s="189" t="s">
        <v>692</v>
      </c>
      <c r="H74" s="197"/>
      <c r="I74" s="195"/>
      <c r="J74" s="195"/>
      <c r="K74" s="192">
        <v>17986005</v>
      </c>
      <c r="L74" s="192">
        <v>9951440</v>
      </c>
      <c r="M74" s="192">
        <v>62035310</v>
      </c>
      <c r="N74" s="192">
        <v>37149880</v>
      </c>
      <c r="O74" s="192">
        <v>719889</v>
      </c>
      <c r="P74" s="192">
        <v>16529587</v>
      </c>
      <c r="Q74" s="192">
        <v>2515213</v>
      </c>
      <c r="R74" s="192">
        <v>144372111</v>
      </c>
      <c r="S74" s="192">
        <v>17079484</v>
      </c>
      <c r="T74" s="192">
        <v>10400530</v>
      </c>
      <c r="U74" s="192">
        <v>54048457</v>
      </c>
      <c r="V74" s="192">
        <v>34626853</v>
      </c>
      <c r="W74" s="192">
        <v>884267</v>
      </c>
      <c r="X74" s="192">
        <v>16034476</v>
      </c>
      <c r="Y74" s="192">
        <v>2125068</v>
      </c>
      <c r="Z74" s="192">
        <v>133074067</v>
      </c>
      <c r="AA74" s="193">
        <v>906521</v>
      </c>
      <c r="AB74" s="193">
        <v>-449090</v>
      </c>
      <c r="AC74" s="193">
        <v>7986853</v>
      </c>
      <c r="AD74" s="193">
        <v>2523027</v>
      </c>
      <c r="AE74" s="193">
        <v>-164378</v>
      </c>
      <c r="AF74" s="193">
        <v>495111</v>
      </c>
      <c r="AG74" s="193">
        <v>390145</v>
      </c>
      <c r="AH74" s="193">
        <v>11298044</v>
      </c>
      <c r="AI74" s="194">
        <v>5.3076603485210674</v>
      </c>
      <c r="AJ74" s="194">
        <v>-4.3179530273937967</v>
      </c>
      <c r="AK74" s="194">
        <v>14.777208163407884</v>
      </c>
      <c r="AL74" s="194">
        <v>7.2863306405580666</v>
      </c>
      <c r="AM74" s="194">
        <v>-18.589181774283105</v>
      </c>
      <c r="AN74" s="194">
        <v>3.0877903337782913</v>
      </c>
      <c r="AO74" s="194">
        <v>18.359177212211559</v>
      </c>
      <c r="AP74" s="194">
        <v>8.4900418651817411</v>
      </c>
    </row>
    <row r="75" spans="1:42" ht="12" customHeight="1">
      <c r="A75" s="189" t="s">
        <v>428</v>
      </c>
      <c r="B75" s="189"/>
      <c r="C75" s="189" t="s">
        <v>40</v>
      </c>
      <c r="D75" s="189" t="s">
        <v>755</v>
      </c>
      <c r="E75" s="189" t="s">
        <v>881</v>
      </c>
      <c r="F75" s="190" t="s">
        <v>729</v>
      </c>
      <c r="G75" s="189" t="s">
        <v>692</v>
      </c>
      <c r="H75" s="197"/>
      <c r="I75" s="195"/>
      <c r="J75" s="195"/>
      <c r="K75" s="192">
        <v>16004544.539999997</v>
      </c>
      <c r="L75" s="192">
        <v>6538149.0200000005</v>
      </c>
      <c r="M75" s="192">
        <v>46283569.849999979</v>
      </c>
      <c r="N75" s="192">
        <v>29513449.119999994</v>
      </c>
      <c r="O75" s="192">
        <v>531255.44000000006</v>
      </c>
      <c r="P75" s="192">
        <v>15142845.869999997</v>
      </c>
      <c r="Q75" s="192">
        <v>1687907.1299999997</v>
      </c>
      <c r="R75" s="192">
        <v>114013813.83999997</v>
      </c>
      <c r="S75" s="192">
        <v>15619189.509999998</v>
      </c>
      <c r="T75" s="192">
        <v>6430809.7699999996</v>
      </c>
      <c r="U75" s="192">
        <v>40857765.300000004</v>
      </c>
      <c r="V75" s="192">
        <v>29092965.749999996</v>
      </c>
      <c r="W75" s="192">
        <v>641635.92999999993</v>
      </c>
      <c r="X75" s="192">
        <v>14366924.140000001</v>
      </c>
      <c r="Y75" s="192">
        <v>1562372.0799999998</v>
      </c>
      <c r="Z75" s="192">
        <v>107009290.40000001</v>
      </c>
      <c r="AA75" s="193">
        <v>385355.02999999933</v>
      </c>
      <c r="AB75" s="193">
        <v>107339.25000000093</v>
      </c>
      <c r="AC75" s="193">
        <v>5425804.5499999747</v>
      </c>
      <c r="AD75" s="193">
        <v>420483.36999999732</v>
      </c>
      <c r="AE75" s="193">
        <v>-110380.48999999987</v>
      </c>
      <c r="AF75" s="193">
        <v>775921.72999999672</v>
      </c>
      <c r="AG75" s="193">
        <v>125535.04999999981</v>
      </c>
      <c r="AH75" s="193">
        <v>7004523.4399999678</v>
      </c>
      <c r="AI75" s="194">
        <v>2.4671896691776509</v>
      </c>
      <c r="AJ75" s="194">
        <v>1.6691404945725976</v>
      </c>
      <c r="AK75" s="194">
        <v>13.279738894579177</v>
      </c>
      <c r="AL75" s="194">
        <v>1.4453094043875447</v>
      </c>
      <c r="AM75" s="194">
        <v>-17.202978330717837</v>
      </c>
      <c r="AN75" s="194">
        <v>5.4007505186144646</v>
      </c>
      <c r="AO75" s="194">
        <v>8.034901007703608</v>
      </c>
      <c r="AP75" s="194">
        <v>6.5457152494116224</v>
      </c>
    </row>
    <row r="76" spans="1:42" ht="12" customHeight="1">
      <c r="A76" s="189" t="s">
        <v>429</v>
      </c>
      <c r="B76" s="189"/>
      <c r="C76" s="189" t="s">
        <v>41</v>
      </c>
      <c r="D76" s="189" t="s">
        <v>755</v>
      </c>
      <c r="E76" s="189" t="s">
        <v>881</v>
      </c>
      <c r="F76" s="190" t="s">
        <v>729</v>
      </c>
      <c r="G76" s="189" t="s">
        <v>692</v>
      </c>
      <c r="H76" s="197"/>
      <c r="I76" s="195"/>
      <c r="J76" s="195"/>
      <c r="K76" s="192">
        <v>15158777.039999999</v>
      </c>
      <c r="L76" s="192">
        <v>6760603.3800000008</v>
      </c>
      <c r="M76" s="192">
        <v>48368449.520000003</v>
      </c>
      <c r="N76" s="192">
        <v>25551390.979999993</v>
      </c>
      <c r="O76" s="192">
        <v>706441.28000000014</v>
      </c>
      <c r="P76" s="192">
        <v>15153637.149999999</v>
      </c>
      <c r="Q76" s="192">
        <v>1284814.3700000001</v>
      </c>
      <c r="R76" s="192">
        <v>111699299.34999999</v>
      </c>
      <c r="S76" s="192">
        <v>14907967.370000001</v>
      </c>
      <c r="T76" s="192">
        <v>6104084.6799999988</v>
      </c>
      <c r="U76" s="192">
        <v>41560352.500000015</v>
      </c>
      <c r="V76" s="192">
        <v>23991097.640000001</v>
      </c>
      <c r="W76" s="192">
        <v>646404.84</v>
      </c>
      <c r="X76" s="192">
        <v>13920776.749999998</v>
      </c>
      <c r="Y76" s="192">
        <v>1155000.56</v>
      </c>
      <c r="Z76" s="192">
        <v>101130683.78000002</v>
      </c>
      <c r="AA76" s="193">
        <v>250809.66999999806</v>
      </c>
      <c r="AB76" s="193">
        <v>656518.70000000205</v>
      </c>
      <c r="AC76" s="193">
        <v>6808097.0199999884</v>
      </c>
      <c r="AD76" s="193">
        <v>1560293.3399999924</v>
      </c>
      <c r="AE76" s="193">
        <v>60036.440000000177</v>
      </c>
      <c r="AF76" s="193">
        <v>1232860.4000000004</v>
      </c>
      <c r="AG76" s="193">
        <v>129813.81000000006</v>
      </c>
      <c r="AH76" s="193">
        <v>10568615.569999978</v>
      </c>
      <c r="AI76" s="194">
        <v>1.6823867652455027</v>
      </c>
      <c r="AJ76" s="194">
        <v>10.75539961218235</v>
      </c>
      <c r="AK76" s="194">
        <v>16.381230212135439</v>
      </c>
      <c r="AL76" s="194">
        <v>6.5036346540415835</v>
      </c>
      <c r="AM76" s="194">
        <v>9.2877460509114034</v>
      </c>
      <c r="AN76" s="194">
        <v>8.8562615588242988</v>
      </c>
      <c r="AO76" s="194">
        <v>11.239285459740387</v>
      </c>
      <c r="AP76" s="194">
        <v>10.450453981890377</v>
      </c>
    </row>
    <row r="77" spans="1:42" ht="12" customHeight="1">
      <c r="A77" s="189" t="s">
        <v>430</v>
      </c>
      <c r="B77" s="189"/>
      <c r="C77" s="189" t="s">
        <v>42</v>
      </c>
      <c r="D77" s="189" t="s">
        <v>756</v>
      </c>
      <c r="E77" s="189" t="s">
        <v>881</v>
      </c>
      <c r="F77" s="190" t="s">
        <v>729</v>
      </c>
      <c r="G77" s="189" t="s">
        <v>692</v>
      </c>
      <c r="H77" s="197"/>
      <c r="I77" s="195"/>
      <c r="J77" s="195"/>
      <c r="K77" s="192">
        <v>17884589</v>
      </c>
      <c r="L77" s="192">
        <v>7040468</v>
      </c>
      <c r="M77" s="192">
        <v>51369593</v>
      </c>
      <c r="N77" s="192">
        <v>30107608</v>
      </c>
      <c r="O77" s="192">
        <v>805887</v>
      </c>
      <c r="P77" s="192">
        <v>16683595</v>
      </c>
      <c r="Q77" s="192">
        <v>2004715</v>
      </c>
      <c r="R77" s="192">
        <v>123891740</v>
      </c>
      <c r="S77" s="192">
        <v>17006727</v>
      </c>
      <c r="T77" s="192">
        <v>8019110</v>
      </c>
      <c r="U77" s="192">
        <v>45335709</v>
      </c>
      <c r="V77" s="192">
        <v>29266186</v>
      </c>
      <c r="W77" s="192">
        <v>809105</v>
      </c>
      <c r="X77" s="192">
        <v>15661458</v>
      </c>
      <c r="Y77" s="192">
        <v>2062535</v>
      </c>
      <c r="Z77" s="192">
        <v>116098295</v>
      </c>
      <c r="AA77" s="193">
        <v>877862</v>
      </c>
      <c r="AB77" s="193">
        <v>-978642</v>
      </c>
      <c r="AC77" s="193">
        <v>6033884</v>
      </c>
      <c r="AD77" s="193">
        <v>841422</v>
      </c>
      <c r="AE77" s="193">
        <v>-3218</v>
      </c>
      <c r="AF77" s="193">
        <v>1022137</v>
      </c>
      <c r="AG77" s="193">
        <v>-57820</v>
      </c>
      <c r="AH77" s="193">
        <v>7793445</v>
      </c>
      <c r="AI77" s="194">
        <v>5.1618515426278089</v>
      </c>
      <c r="AJ77" s="194">
        <v>-12.203872998375132</v>
      </c>
      <c r="AK77" s="194">
        <v>13.30934076712024</v>
      </c>
      <c r="AL77" s="194">
        <v>2.8750654424187694</v>
      </c>
      <c r="AM77" s="194">
        <v>-0.39772341043498677</v>
      </c>
      <c r="AN77" s="194">
        <v>6.5264485592592969</v>
      </c>
      <c r="AO77" s="194">
        <v>-2.8033463674555827</v>
      </c>
      <c r="AP77" s="194">
        <v>6.7127988399829643</v>
      </c>
    </row>
    <row r="78" spans="1:42" ht="12" customHeight="1">
      <c r="A78" s="189" t="s">
        <v>904</v>
      </c>
      <c r="B78" s="189"/>
      <c r="C78" s="189" t="s">
        <v>758</v>
      </c>
      <c r="D78" s="189" t="s">
        <v>755</v>
      </c>
      <c r="E78" s="189" t="s">
        <v>881</v>
      </c>
      <c r="F78" s="190" t="s">
        <v>729</v>
      </c>
      <c r="G78" s="189" t="s">
        <v>692</v>
      </c>
      <c r="H78" s="279"/>
      <c r="I78" s="195"/>
      <c r="J78" s="195"/>
      <c r="K78" s="192">
        <v>18696959.379999999</v>
      </c>
      <c r="L78" s="192">
        <v>9008477.4300000016</v>
      </c>
      <c r="M78" s="192">
        <v>60354441.68</v>
      </c>
      <c r="N78" s="192">
        <v>37809400.07</v>
      </c>
      <c r="O78" s="192">
        <v>1009162.14</v>
      </c>
      <c r="P78" s="192">
        <v>19297226.640000001</v>
      </c>
      <c r="Q78" s="192">
        <v>1659311.2199999997</v>
      </c>
      <c r="R78" s="192">
        <v>146175667.34</v>
      </c>
      <c r="S78" s="192">
        <v>18244458.749999996</v>
      </c>
      <c r="T78" s="192">
        <v>9442145.9399999995</v>
      </c>
      <c r="U78" s="192">
        <v>51501181.830000006</v>
      </c>
      <c r="V78" s="192">
        <v>35622592.380000003</v>
      </c>
      <c r="W78" s="192">
        <v>1090362.5</v>
      </c>
      <c r="X78" s="192">
        <v>17431907.330000002</v>
      </c>
      <c r="Y78" s="192">
        <v>1555907.48</v>
      </c>
      <c r="Z78" s="192">
        <v>133332648.73</v>
      </c>
      <c r="AA78" s="193">
        <v>452500.63000000268</v>
      </c>
      <c r="AB78" s="193">
        <v>-433668.50999999791</v>
      </c>
      <c r="AC78" s="193">
        <v>8853259.849999994</v>
      </c>
      <c r="AD78" s="193">
        <v>2186807.6899999976</v>
      </c>
      <c r="AE78" s="193">
        <v>-81200.359999999986</v>
      </c>
      <c r="AF78" s="193">
        <v>1865319.3099999987</v>
      </c>
      <c r="AG78" s="193">
        <v>103403.73999999976</v>
      </c>
      <c r="AH78" s="193">
        <v>12843018.609999999</v>
      </c>
      <c r="AI78" s="194">
        <v>2.4802085729180803</v>
      </c>
      <c r="AJ78" s="194">
        <v>-4.5929020029529211</v>
      </c>
      <c r="AK78" s="194">
        <v>17.190401337242463</v>
      </c>
      <c r="AL78" s="194">
        <v>6.1388224267130029</v>
      </c>
      <c r="AM78" s="194">
        <v>-7.4470976395464792</v>
      </c>
      <c r="AN78" s="194">
        <v>10.700603638420091</v>
      </c>
      <c r="AO78" s="194">
        <v>6.6458797408699244</v>
      </c>
      <c r="AP78" s="194">
        <v>9.6323134148540355</v>
      </c>
    </row>
    <row r="79" spans="1:42" ht="12" customHeight="1">
      <c r="A79" s="189" t="s">
        <v>431</v>
      </c>
      <c r="B79" s="189"/>
      <c r="C79" s="189" t="s">
        <v>760</v>
      </c>
      <c r="D79" s="189" t="s">
        <v>755</v>
      </c>
      <c r="E79" s="189" t="s">
        <v>881</v>
      </c>
      <c r="F79" s="190" t="s">
        <v>729</v>
      </c>
      <c r="G79" s="189" t="s">
        <v>692</v>
      </c>
      <c r="H79" s="197"/>
      <c r="I79" s="195"/>
      <c r="J79" s="195"/>
      <c r="K79" s="192">
        <v>21669048.43</v>
      </c>
      <c r="L79" s="192">
        <v>10010453.380000001</v>
      </c>
      <c r="M79" s="192">
        <v>66103090.24000001</v>
      </c>
      <c r="N79" s="192">
        <v>43072372.140000008</v>
      </c>
      <c r="O79" s="192">
        <v>1296408.8</v>
      </c>
      <c r="P79" s="192">
        <v>21691606.979999997</v>
      </c>
      <c r="Q79" s="192">
        <v>2156515.0700000003</v>
      </c>
      <c r="R79" s="192">
        <v>163842979.97000003</v>
      </c>
      <c r="S79" s="192">
        <v>20653587.469999999</v>
      </c>
      <c r="T79" s="192">
        <v>9227901.0199999977</v>
      </c>
      <c r="U79" s="192">
        <v>58522015.100000009</v>
      </c>
      <c r="V79" s="192">
        <v>39254001.869999997</v>
      </c>
      <c r="W79" s="192">
        <v>1948599.3499999999</v>
      </c>
      <c r="X79" s="192">
        <v>20463927.09</v>
      </c>
      <c r="Y79" s="192">
        <v>1890123.12</v>
      </c>
      <c r="Z79" s="192">
        <v>150070031.90000001</v>
      </c>
      <c r="AA79" s="193">
        <v>1015460.9600000009</v>
      </c>
      <c r="AB79" s="193">
        <v>782552.36000000313</v>
      </c>
      <c r="AC79" s="193">
        <v>7581075.1400000006</v>
      </c>
      <c r="AD79" s="193">
        <v>3818370.2700000107</v>
      </c>
      <c r="AE79" s="193">
        <v>-652190.54999999981</v>
      </c>
      <c r="AF79" s="193">
        <v>1227679.8899999969</v>
      </c>
      <c r="AG79" s="193">
        <v>266391.95000000019</v>
      </c>
      <c r="AH79" s="193">
        <v>13772948.070000023</v>
      </c>
      <c r="AI79" s="194">
        <v>4.9166323355445662</v>
      </c>
      <c r="AJ79" s="194">
        <v>8.4802855850311598</v>
      </c>
      <c r="AK79" s="194">
        <v>12.954227784271904</v>
      </c>
      <c r="AL79" s="194">
        <v>9.7273401133610609</v>
      </c>
      <c r="AM79" s="194">
        <v>-33.469709922668294</v>
      </c>
      <c r="AN79" s="194">
        <v>5.9992389759828688</v>
      </c>
      <c r="AO79" s="194">
        <v>14.093894052785311</v>
      </c>
      <c r="AP79" s="194">
        <v>9.1776805106416592</v>
      </c>
    </row>
    <row r="80" spans="1:42" ht="12" customHeight="1">
      <c r="A80" s="189" t="s">
        <v>432</v>
      </c>
      <c r="B80" s="190"/>
      <c r="C80" s="189" t="s">
        <v>43</v>
      </c>
      <c r="D80" s="189" t="s">
        <v>755</v>
      </c>
      <c r="E80" s="189" t="s">
        <v>885</v>
      </c>
      <c r="F80" s="190" t="s">
        <v>731</v>
      </c>
      <c r="G80" s="189" t="s">
        <v>695</v>
      </c>
      <c r="H80" s="203"/>
      <c r="I80" s="195"/>
      <c r="J80" s="195"/>
      <c r="K80" s="192">
        <v>19308817.830000002</v>
      </c>
      <c r="L80" s="192">
        <v>8400112.4900000002</v>
      </c>
      <c r="M80" s="192">
        <v>56235265.750000007</v>
      </c>
      <c r="N80" s="192">
        <v>41931257.749999993</v>
      </c>
      <c r="O80" s="192">
        <v>887129.19</v>
      </c>
      <c r="P80" s="192">
        <v>19078448.910000004</v>
      </c>
      <c r="Q80" s="192">
        <v>5186948</v>
      </c>
      <c r="R80" s="192">
        <v>145841031.91999999</v>
      </c>
      <c r="S80" s="192">
        <v>18946455.460000005</v>
      </c>
      <c r="T80" s="192">
        <v>9886858.8999999985</v>
      </c>
      <c r="U80" s="192">
        <v>51710392.539999992</v>
      </c>
      <c r="V80" s="192">
        <v>39743435.879999995</v>
      </c>
      <c r="W80" s="192">
        <v>1317496.5299999998</v>
      </c>
      <c r="X80" s="192">
        <v>18610462.279999994</v>
      </c>
      <c r="Y80" s="192">
        <v>4862304</v>
      </c>
      <c r="Z80" s="192">
        <v>140215101.58999997</v>
      </c>
      <c r="AA80" s="193">
        <v>362362.36999999732</v>
      </c>
      <c r="AB80" s="193">
        <v>-1486746.4099999983</v>
      </c>
      <c r="AC80" s="193">
        <v>4524873.2100000158</v>
      </c>
      <c r="AD80" s="193">
        <v>2187821.8699999973</v>
      </c>
      <c r="AE80" s="193">
        <v>-430367.33999999985</v>
      </c>
      <c r="AF80" s="193">
        <v>467986.63000001013</v>
      </c>
      <c r="AG80" s="193">
        <v>324644</v>
      </c>
      <c r="AH80" s="193">
        <v>5625930.3300000131</v>
      </c>
      <c r="AI80" s="194">
        <v>1.9125602187967101</v>
      </c>
      <c r="AJ80" s="194">
        <v>-15.037601173816675</v>
      </c>
      <c r="AK80" s="194">
        <v>8.7504135778893009</v>
      </c>
      <c r="AL80" s="194">
        <v>5.5048634360799449</v>
      </c>
      <c r="AM80" s="194">
        <v>-32.665538785138196</v>
      </c>
      <c r="AN80" s="194">
        <v>2.514642693765532</v>
      </c>
      <c r="AO80" s="194">
        <v>6.6767524202517983</v>
      </c>
      <c r="AP80" s="194">
        <v>4.0123569189078347</v>
      </c>
    </row>
    <row r="81" spans="1:42" ht="12" customHeight="1">
      <c r="A81" s="189" t="s">
        <v>433</v>
      </c>
      <c r="B81" s="190"/>
      <c r="C81" s="189" t="s">
        <v>44</v>
      </c>
      <c r="D81" s="189" t="s">
        <v>755</v>
      </c>
      <c r="E81" s="189" t="s">
        <v>881</v>
      </c>
      <c r="F81" s="190" t="s">
        <v>731</v>
      </c>
      <c r="G81" s="189" t="s">
        <v>695</v>
      </c>
      <c r="H81" s="198"/>
      <c r="I81" s="195"/>
      <c r="J81" s="195"/>
      <c r="K81" s="192">
        <v>8398698.1300000008</v>
      </c>
      <c r="L81" s="192">
        <v>3738058.9299999997</v>
      </c>
      <c r="M81" s="192">
        <v>25160242.510000002</v>
      </c>
      <c r="N81" s="192">
        <v>15344287.440000001</v>
      </c>
      <c r="O81" s="192">
        <v>507993.91000000003</v>
      </c>
      <c r="P81" s="192">
        <v>8144742.7699999986</v>
      </c>
      <c r="Q81" s="192">
        <v>768501.61</v>
      </c>
      <c r="R81" s="192">
        <v>61294023.689999998</v>
      </c>
      <c r="S81" s="192">
        <v>8311558.6100000003</v>
      </c>
      <c r="T81" s="192">
        <v>3653030.17</v>
      </c>
      <c r="U81" s="192">
        <v>22884510.450000003</v>
      </c>
      <c r="V81" s="192">
        <v>14764063.119999999</v>
      </c>
      <c r="W81" s="192">
        <v>524110.31999999995</v>
      </c>
      <c r="X81" s="192">
        <v>7790217.5799999991</v>
      </c>
      <c r="Y81" s="192">
        <v>754272.33999999985</v>
      </c>
      <c r="Z81" s="192">
        <v>57927490.25</v>
      </c>
      <c r="AA81" s="193">
        <v>87139.520000000484</v>
      </c>
      <c r="AB81" s="193">
        <v>85028.759999999776</v>
      </c>
      <c r="AC81" s="193">
        <v>2275732.0599999987</v>
      </c>
      <c r="AD81" s="193">
        <v>580224.32000000216</v>
      </c>
      <c r="AE81" s="193">
        <v>-16116.409999999916</v>
      </c>
      <c r="AF81" s="193">
        <v>354525.18999999948</v>
      </c>
      <c r="AG81" s="193">
        <v>14229.270000000135</v>
      </c>
      <c r="AH81" s="193">
        <v>3366533.4399999976</v>
      </c>
      <c r="AI81" s="194">
        <v>1.0484137102174689</v>
      </c>
      <c r="AJ81" s="194">
        <v>2.3276227143779593</v>
      </c>
      <c r="AK81" s="194">
        <v>9.9444209871660085</v>
      </c>
      <c r="AL81" s="194">
        <v>3.9299772378648714</v>
      </c>
      <c r="AM81" s="194">
        <v>-3.0750033695195924</v>
      </c>
      <c r="AN81" s="194">
        <v>4.5509022868652593</v>
      </c>
      <c r="AO81" s="194">
        <v>1.8864896994632123</v>
      </c>
      <c r="AP81" s="194">
        <v>5.8116335188541983</v>
      </c>
    </row>
    <row r="82" spans="1:42" ht="12" customHeight="1">
      <c r="A82" s="189" t="s">
        <v>434</v>
      </c>
      <c r="B82" s="190"/>
      <c r="C82" s="189" t="s">
        <v>45</v>
      </c>
      <c r="D82" s="189" t="s">
        <v>755</v>
      </c>
      <c r="E82" s="189" t="s">
        <v>884</v>
      </c>
      <c r="F82" s="190" t="s">
        <v>731</v>
      </c>
      <c r="G82" s="189" t="s">
        <v>695</v>
      </c>
      <c r="H82" s="197"/>
      <c r="I82" s="195"/>
      <c r="J82" s="195"/>
      <c r="K82" s="192">
        <v>5157091.6400000006</v>
      </c>
      <c r="L82" s="192">
        <v>1861391.54</v>
      </c>
      <c r="M82" s="192">
        <v>15275781.220000003</v>
      </c>
      <c r="N82" s="192">
        <v>8332217.2700000005</v>
      </c>
      <c r="O82" s="192">
        <v>173351.83</v>
      </c>
      <c r="P82" s="192">
        <v>4794295.1399999987</v>
      </c>
      <c r="Q82" s="192">
        <v>178255.78</v>
      </c>
      <c r="R82" s="192">
        <v>35594128.640000001</v>
      </c>
      <c r="S82" s="192">
        <v>5076805.6499999994</v>
      </c>
      <c r="T82" s="192">
        <v>1774710.88</v>
      </c>
      <c r="U82" s="192">
        <v>13861011.569999997</v>
      </c>
      <c r="V82" s="192">
        <v>7926090.4300000016</v>
      </c>
      <c r="W82" s="192">
        <v>183066.84</v>
      </c>
      <c r="X82" s="192">
        <v>4635954.709999999</v>
      </c>
      <c r="Y82" s="192">
        <v>866273.15</v>
      </c>
      <c r="Z82" s="192">
        <v>33457640.079999991</v>
      </c>
      <c r="AA82" s="193">
        <v>80285.990000001155</v>
      </c>
      <c r="AB82" s="193">
        <v>86680.660000000149</v>
      </c>
      <c r="AC82" s="193">
        <v>1414769.650000006</v>
      </c>
      <c r="AD82" s="193">
        <v>406126.83999999892</v>
      </c>
      <c r="AE82" s="193">
        <v>-9715.0100000000093</v>
      </c>
      <c r="AF82" s="193">
        <v>158340.4299999997</v>
      </c>
      <c r="AG82" s="193">
        <v>-688017.37</v>
      </c>
      <c r="AH82" s="193">
        <v>2136488.5600000098</v>
      </c>
      <c r="AI82" s="194">
        <v>1.5814272898156179</v>
      </c>
      <c r="AJ82" s="194">
        <v>4.8842130274200013</v>
      </c>
      <c r="AK82" s="194">
        <v>10.206828288507131</v>
      </c>
      <c r="AL82" s="194">
        <v>5.1239238763012551</v>
      </c>
      <c r="AM82" s="194">
        <v>-5.3068103431511737</v>
      </c>
      <c r="AN82" s="194">
        <v>3.4154869903808818</v>
      </c>
      <c r="AO82" s="194">
        <v>-79.422682095133609</v>
      </c>
      <c r="AP82" s="194">
        <v>6.3856522901540229</v>
      </c>
    </row>
    <row r="83" spans="1:42" ht="12" customHeight="1">
      <c r="A83" s="189" t="s">
        <v>765</v>
      </c>
      <c r="B83" s="190"/>
      <c r="C83" s="189" t="s">
        <v>766</v>
      </c>
      <c r="D83" s="189" t="s">
        <v>755</v>
      </c>
      <c r="E83" s="189" t="s">
        <v>885</v>
      </c>
      <c r="F83" s="190" t="s">
        <v>731</v>
      </c>
      <c r="G83" s="189" t="s">
        <v>695</v>
      </c>
      <c r="H83" s="197"/>
      <c r="I83" s="195"/>
      <c r="J83" s="195"/>
      <c r="K83" s="192">
        <v>6681322.129999999</v>
      </c>
      <c r="L83" s="192">
        <v>2578614.04</v>
      </c>
      <c r="M83" s="192">
        <v>17754659.119999997</v>
      </c>
      <c r="N83" s="192">
        <v>12339469.879999999</v>
      </c>
      <c r="O83" s="192">
        <v>203150.69</v>
      </c>
      <c r="P83" s="192">
        <v>5912264.71</v>
      </c>
      <c r="Q83" s="192">
        <v>778372.69000000006</v>
      </c>
      <c r="R83" s="192">
        <v>45469480.569999993</v>
      </c>
      <c r="S83" s="192">
        <v>6605766.5899999999</v>
      </c>
      <c r="T83" s="192">
        <v>3049884</v>
      </c>
      <c r="U83" s="192">
        <v>15912116.800000003</v>
      </c>
      <c r="V83" s="192">
        <v>13066070.26</v>
      </c>
      <c r="W83" s="192">
        <v>218981.62</v>
      </c>
      <c r="X83" s="192">
        <v>5759476.0999999996</v>
      </c>
      <c r="Y83" s="192">
        <v>806630.1</v>
      </c>
      <c r="Z83" s="192">
        <v>44612295.369999997</v>
      </c>
      <c r="AA83" s="193">
        <v>75555.539999999106</v>
      </c>
      <c r="AB83" s="193">
        <v>-471269.95999999996</v>
      </c>
      <c r="AC83" s="193">
        <v>1842542.3199999947</v>
      </c>
      <c r="AD83" s="193">
        <v>-726600.38000000082</v>
      </c>
      <c r="AE83" s="193">
        <v>-15830.929999999993</v>
      </c>
      <c r="AF83" s="193">
        <v>152788.61000000034</v>
      </c>
      <c r="AG83" s="193">
        <v>-28257.409999999916</v>
      </c>
      <c r="AH83" s="193">
        <v>857185.19999999553</v>
      </c>
      <c r="AI83" s="194">
        <v>1.143781557682908</v>
      </c>
      <c r="AJ83" s="194">
        <v>-15.452061783333399</v>
      </c>
      <c r="AK83" s="194">
        <v>11.579492176678809</v>
      </c>
      <c r="AL83" s="194">
        <v>-5.5609710153204155</v>
      </c>
      <c r="AM83" s="194">
        <v>-7.229341896365546</v>
      </c>
      <c r="AN83" s="194">
        <v>2.6528213217170977</v>
      </c>
      <c r="AO83" s="194">
        <v>-3.5031435102657236</v>
      </c>
      <c r="AP83" s="194">
        <v>1.9214102141366585</v>
      </c>
    </row>
    <row r="84" spans="1:42" ht="12" customHeight="1">
      <c r="A84" s="189" t="s">
        <v>435</v>
      </c>
      <c r="B84" s="190"/>
      <c r="C84" s="189" t="s">
        <v>767</v>
      </c>
      <c r="D84" s="189" t="s">
        <v>755</v>
      </c>
      <c r="E84" s="189" t="s">
        <v>881</v>
      </c>
      <c r="F84" s="190" t="s">
        <v>731</v>
      </c>
      <c r="G84" s="189" t="s">
        <v>695</v>
      </c>
      <c r="H84" s="197"/>
      <c r="I84" s="195"/>
      <c r="J84" s="195"/>
      <c r="K84" s="192">
        <v>5792782.4900000002</v>
      </c>
      <c r="L84" s="192">
        <v>1685677.3299999998</v>
      </c>
      <c r="M84" s="192">
        <v>15334145.940000001</v>
      </c>
      <c r="N84" s="192">
        <v>9454393.5599999987</v>
      </c>
      <c r="O84" s="192">
        <v>102351.76</v>
      </c>
      <c r="P84" s="192">
        <v>4902792.68</v>
      </c>
      <c r="Q84" s="192">
        <v>579676.66999999993</v>
      </c>
      <c r="R84" s="192">
        <v>37272143.760000005</v>
      </c>
      <c r="S84" s="192">
        <v>5717270.21</v>
      </c>
      <c r="T84" s="192">
        <v>1627128.35</v>
      </c>
      <c r="U84" s="192">
        <v>14208833.769999998</v>
      </c>
      <c r="V84" s="192">
        <v>9261482.0100000016</v>
      </c>
      <c r="W84" s="192">
        <v>149781.13999999998</v>
      </c>
      <c r="X84" s="192">
        <v>4845554.3599999994</v>
      </c>
      <c r="Y84" s="192">
        <v>635855.52</v>
      </c>
      <c r="Z84" s="192">
        <v>35810049.840000004</v>
      </c>
      <c r="AA84" s="193">
        <v>75512.280000000261</v>
      </c>
      <c r="AB84" s="193">
        <v>58548.979999999749</v>
      </c>
      <c r="AC84" s="193">
        <v>1125312.1700000037</v>
      </c>
      <c r="AD84" s="193">
        <v>192911.54999999702</v>
      </c>
      <c r="AE84" s="193">
        <v>-47429.37999999999</v>
      </c>
      <c r="AF84" s="193">
        <v>57238.320000000298</v>
      </c>
      <c r="AG84" s="193">
        <v>-56178.850000000093</v>
      </c>
      <c r="AH84" s="193">
        <v>1462093.9200000018</v>
      </c>
      <c r="AI84" s="194">
        <v>1.3207750766777255</v>
      </c>
      <c r="AJ84" s="194">
        <v>3.5983012649247823</v>
      </c>
      <c r="AK84" s="194">
        <v>7.919806707683116</v>
      </c>
      <c r="AL84" s="194">
        <v>2.0829447143740332</v>
      </c>
      <c r="AM84" s="194">
        <v>-31.665789164109707</v>
      </c>
      <c r="AN84" s="194">
        <v>1.1812543157600714</v>
      </c>
      <c r="AO84" s="194">
        <v>-8.835159597261983</v>
      </c>
      <c r="AP84" s="194">
        <v>4.0829150658339373</v>
      </c>
    </row>
    <row r="85" spans="1:42" ht="12" customHeight="1">
      <c r="A85" s="190" t="s">
        <v>1029</v>
      </c>
      <c r="B85" s="189"/>
      <c r="C85" s="189" t="s">
        <v>49</v>
      </c>
      <c r="D85" s="189" t="s">
        <v>755</v>
      </c>
      <c r="E85" s="189" t="s">
        <v>881</v>
      </c>
      <c r="F85" s="190" t="s">
        <v>731</v>
      </c>
      <c r="G85" s="189" t="s">
        <v>695</v>
      </c>
      <c r="H85" s="203"/>
      <c r="I85" s="195"/>
      <c r="J85" s="195"/>
      <c r="K85" s="192">
        <v>9392510.0899999999</v>
      </c>
      <c r="L85" s="192">
        <v>3680250.7900000005</v>
      </c>
      <c r="M85" s="192">
        <v>29271961.989999998</v>
      </c>
      <c r="N85" s="192">
        <v>15947064.509999998</v>
      </c>
      <c r="O85" s="192">
        <v>428085.27</v>
      </c>
      <c r="P85" s="192">
        <v>9319501.620000001</v>
      </c>
      <c r="Q85" s="192">
        <v>1048914.33</v>
      </c>
      <c r="R85" s="192">
        <v>68039374.269999996</v>
      </c>
      <c r="S85" s="192">
        <v>9253155.3800000008</v>
      </c>
      <c r="T85" s="192">
        <v>3782806.78</v>
      </c>
      <c r="U85" s="192">
        <v>25863462.309999995</v>
      </c>
      <c r="V85" s="192">
        <v>14677746.189999998</v>
      </c>
      <c r="W85" s="192">
        <v>469256.5</v>
      </c>
      <c r="X85" s="192">
        <v>8563071.9199999999</v>
      </c>
      <c r="Y85" s="192">
        <v>809578.62</v>
      </c>
      <c r="Z85" s="192">
        <v>62609499.079999998</v>
      </c>
      <c r="AA85" s="193">
        <v>139354.70999999903</v>
      </c>
      <c r="AB85" s="193">
        <v>-102555.98999999929</v>
      </c>
      <c r="AC85" s="193">
        <v>3408499.6800000034</v>
      </c>
      <c r="AD85" s="193">
        <v>1269318.3200000003</v>
      </c>
      <c r="AE85" s="193">
        <v>-41171.229999999981</v>
      </c>
      <c r="AF85" s="193">
        <v>756429.70000000112</v>
      </c>
      <c r="AG85" s="193">
        <v>239335.71000000008</v>
      </c>
      <c r="AH85" s="193">
        <v>5429875.1899999976</v>
      </c>
      <c r="AI85" s="194">
        <v>1.506023667355719</v>
      </c>
      <c r="AJ85" s="194">
        <v>-2.7111083373917211</v>
      </c>
      <c r="AK85" s="194">
        <v>13.178822073957678</v>
      </c>
      <c r="AL85" s="194">
        <v>8.6479102688448961</v>
      </c>
      <c r="AM85" s="194">
        <v>-8.7737154413417784</v>
      </c>
      <c r="AN85" s="194">
        <v>8.833625445014377</v>
      </c>
      <c r="AO85" s="194">
        <v>29.562997846954019</v>
      </c>
      <c r="AP85" s="194">
        <v>8.6726060259033755</v>
      </c>
    </row>
    <row r="86" spans="1:42" ht="12" customHeight="1">
      <c r="A86" s="189" t="s">
        <v>436</v>
      </c>
      <c r="B86" s="190"/>
      <c r="C86" s="189" t="s">
        <v>46</v>
      </c>
      <c r="D86" s="189" t="s">
        <v>755</v>
      </c>
      <c r="E86" s="189" t="s">
        <v>885</v>
      </c>
      <c r="F86" s="190" t="s">
        <v>731</v>
      </c>
      <c r="G86" s="189" t="s">
        <v>695</v>
      </c>
      <c r="H86" s="197"/>
      <c r="I86" s="195"/>
      <c r="J86" s="195"/>
      <c r="K86" s="192">
        <v>11718728.49</v>
      </c>
      <c r="L86" s="192">
        <v>5924750.96</v>
      </c>
      <c r="M86" s="192">
        <v>43219131.289999992</v>
      </c>
      <c r="N86" s="192">
        <v>24900887.09</v>
      </c>
      <c r="O86" s="192">
        <v>695993.74</v>
      </c>
      <c r="P86" s="192">
        <v>13461786.01</v>
      </c>
      <c r="Q86" s="192">
        <v>1741236.13</v>
      </c>
      <c r="R86" s="192">
        <v>99921277.579999998</v>
      </c>
      <c r="S86" s="192">
        <v>11047028.060000002</v>
      </c>
      <c r="T86" s="192">
        <v>6497833.7300000004</v>
      </c>
      <c r="U86" s="192">
        <v>36360402.180000007</v>
      </c>
      <c r="V86" s="192">
        <v>22834912.620000005</v>
      </c>
      <c r="W86" s="192">
        <v>866710.64</v>
      </c>
      <c r="X86" s="192">
        <v>11824744.280000003</v>
      </c>
      <c r="Y86" s="192">
        <v>1517869.1199999999</v>
      </c>
      <c r="Z86" s="192">
        <v>89431631.51000002</v>
      </c>
      <c r="AA86" s="193">
        <v>671700.42999999784</v>
      </c>
      <c r="AB86" s="193">
        <v>-573082.77000000048</v>
      </c>
      <c r="AC86" s="193">
        <v>6858729.1099999845</v>
      </c>
      <c r="AD86" s="193">
        <v>2065974.4699999951</v>
      </c>
      <c r="AE86" s="193">
        <v>-170716.90000000002</v>
      </c>
      <c r="AF86" s="193">
        <v>1637041.7299999967</v>
      </c>
      <c r="AG86" s="193">
        <v>223367.01</v>
      </c>
      <c r="AH86" s="193">
        <v>10489646.069999978</v>
      </c>
      <c r="AI86" s="194">
        <v>6.080372262582971</v>
      </c>
      <c r="AJ86" s="194">
        <v>-8.8195973275542787</v>
      </c>
      <c r="AK86" s="194">
        <v>18.863182744916447</v>
      </c>
      <c r="AL86" s="194">
        <v>9.0474375986466757</v>
      </c>
      <c r="AM86" s="194">
        <v>-19.697104445377526</v>
      </c>
      <c r="AN86" s="194">
        <v>13.84420407948134</v>
      </c>
      <c r="AO86" s="194">
        <v>14.71582806823292</v>
      </c>
      <c r="AP86" s="194">
        <v>11.729234827642669</v>
      </c>
    </row>
    <row r="87" spans="1:42" ht="12" customHeight="1">
      <c r="A87" s="189" t="s">
        <v>437</v>
      </c>
      <c r="B87" s="190"/>
      <c r="C87" s="189" t="s">
        <v>48</v>
      </c>
      <c r="D87" s="189" t="s">
        <v>755</v>
      </c>
      <c r="E87" s="189" t="s">
        <v>881</v>
      </c>
      <c r="F87" s="190" t="s">
        <v>731</v>
      </c>
      <c r="G87" s="189" t="s">
        <v>695</v>
      </c>
      <c r="H87" s="197"/>
      <c r="I87" s="195"/>
      <c r="J87" s="195"/>
      <c r="K87" s="192">
        <v>4460558.1900000004</v>
      </c>
      <c r="L87" s="192">
        <v>1827022.5400000003</v>
      </c>
      <c r="M87" s="192">
        <v>14004697.649999999</v>
      </c>
      <c r="N87" s="192">
        <v>8266106.4699999988</v>
      </c>
      <c r="O87" s="192">
        <v>272565.48</v>
      </c>
      <c r="P87" s="192">
        <v>4490872.32</v>
      </c>
      <c r="Q87" s="192">
        <v>618997.57000000007</v>
      </c>
      <c r="R87" s="192">
        <v>33321822.649999999</v>
      </c>
      <c r="S87" s="192">
        <v>4221550.9300000006</v>
      </c>
      <c r="T87" s="192">
        <v>1964369.18</v>
      </c>
      <c r="U87" s="192">
        <v>12577463.400000002</v>
      </c>
      <c r="V87" s="192">
        <v>8087871.4400000004</v>
      </c>
      <c r="W87" s="192">
        <v>339727.87</v>
      </c>
      <c r="X87" s="192">
        <v>4257126.34</v>
      </c>
      <c r="Y87" s="192">
        <v>557471.64</v>
      </c>
      <c r="Z87" s="192">
        <v>31448109.160000004</v>
      </c>
      <c r="AA87" s="193">
        <v>239007.25999999978</v>
      </c>
      <c r="AB87" s="193">
        <v>-137346.63999999966</v>
      </c>
      <c r="AC87" s="193">
        <v>1427234.2499999963</v>
      </c>
      <c r="AD87" s="193">
        <v>178235.0299999984</v>
      </c>
      <c r="AE87" s="193">
        <v>-67162.390000000014</v>
      </c>
      <c r="AF87" s="193">
        <v>233745.98000000045</v>
      </c>
      <c r="AG87" s="193">
        <v>61525.930000000051</v>
      </c>
      <c r="AH87" s="193">
        <v>1873713.4899999946</v>
      </c>
      <c r="AI87" s="194">
        <v>5.661598402177745</v>
      </c>
      <c r="AJ87" s="194">
        <v>-6.9918954847377357</v>
      </c>
      <c r="AK87" s="194">
        <v>11.347552400748755</v>
      </c>
      <c r="AL87" s="194">
        <v>2.2037322343986023</v>
      </c>
      <c r="AM87" s="194">
        <v>-19.769467250361298</v>
      </c>
      <c r="AN87" s="194">
        <v>5.4906986857242401</v>
      </c>
      <c r="AO87" s="194">
        <v>11.036602687089166</v>
      </c>
      <c r="AP87" s="194">
        <v>5.9581117594924882</v>
      </c>
    </row>
    <row r="88" spans="1:42" ht="12" customHeight="1">
      <c r="A88" s="189" t="s">
        <v>867</v>
      </c>
      <c r="B88" s="190"/>
      <c r="C88" s="189" t="s">
        <v>35</v>
      </c>
      <c r="D88" s="189" t="s">
        <v>755</v>
      </c>
      <c r="E88" s="189" t="s">
        <v>884</v>
      </c>
      <c r="F88" s="190" t="s">
        <v>731</v>
      </c>
      <c r="G88" s="189" t="s">
        <v>695</v>
      </c>
      <c r="H88" s="197"/>
      <c r="I88" s="195"/>
      <c r="J88" s="195"/>
      <c r="K88" s="192">
        <v>8917089.290000001</v>
      </c>
      <c r="L88" s="192">
        <v>4457238.6500000004</v>
      </c>
      <c r="M88" s="192">
        <v>31693720.18</v>
      </c>
      <c r="N88" s="192">
        <v>18149326.079999994</v>
      </c>
      <c r="O88" s="192">
        <v>645168.08000000007</v>
      </c>
      <c r="P88" s="192">
        <v>9866337.8799999971</v>
      </c>
      <c r="Q88" s="192">
        <v>1126681.82</v>
      </c>
      <c r="R88" s="192">
        <v>73728880.159999996</v>
      </c>
      <c r="S88" s="192">
        <v>8190239.1699999999</v>
      </c>
      <c r="T88" s="192">
        <v>4525182.47</v>
      </c>
      <c r="U88" s="192">
        <v>26706562.229999993</v>
      </c>
      <c r="V88" s="192">
        <v>15939900.590000002</v>
      </c>
      <c r="W88" s="192">
        <v>684797</v>
      </c>
      <c r="X88" s="192">
        <v>8656612.4800000004</v>
      </c>
      <c r="Y88" s="192">
        <v>725274.69000000006</v>
      </c>
      <c r="Z88" s="192">
        <v>64703293.939999998</v>
      </c>
      <c r="AA88" s="193">
        <v>726850.12000000104</v>
      </c>
      <c r="AB88" s="193">
        <v>-67943.819999999367</v>
      </c>
      <c r="AC88" s="193">
        <v>4987157.9500000067</v>
      </c>
      <c r="AD88" s="193">
        <v>2209425.4899999928</v>
      </c>
      <c r="AE88" s="193">
        <v>-39628.919999999925</v>
      </c>
      <c r="AF88" s="193">
        <v>1209725.3999999966</v>
      </c>
      <c r="AG88" s="193">
        <v>401407.13</v>
      </c>
      <c r="AH88" s="193">
        <v>9025586.2199999988</v>
      </c>
      <c r="AI88" s="194">
        <v>8.8745896781913025</v>
      </c>
      <c r="AJ88" s="194">
        <v>-1.5014603377971492</v>
      </c>
      <c r="AK88" s="194">
        <v>18.673904589628673</v>
      </c>
      <c r="AL88" s="194">
        <v>13.860974085284383</v>
      </c>
      <c r="AM88" s="194">
        <v>-5.7869587629618593</v>
      </c>
      <c r="AN88" s="194">
        <v>13.974581890952297</v>
      </c>
      <c r="AO88" s="194">
        <v>55.345531222108413</v>
      </c>
      <c r="AP88" s="194">
        <v>13.949191255037979</v>
      </c>
    </row>
    <row r="89" spans="1:42" ht="12" customHeight="1">
      <c r="A89" s="190" t="s">
        <v>1026</v>
      </c>
      <c r="B89" s="190"/>
      <c r="C89" s="189" t="s">
        <v>51</v>
      </c>
      <c r="D89" s="189" t="s">
        <v>756</v>
      </c>
      <c r="E89" s="189" t="s">
        <v>885</v>
      </c>
      <c r="F89" s="190" t="s">
        <v>731</v>
      </c>
      <c r="G89" s="189" t="s">
        <v>695</v>
      </c>
      <c r="H89" s="197"/>
      <c r="I89" s="195"/>
      <c r="J89" s="195"/>
      <c r="K89" s="192">
        <v>8761034</v>
      </c>
      <c r="L89" s="192">
        <v>3803551</v>
      </c>
      <c r="M89" s="192">
        <v>22965804</v>
      </c>
      <c r="N89" s="192">
        <v>16157031</v>
      </c>
      <c r="O89" s="192">
        <v>337261</v>
      </c>
      <c r="P89" s="192">
        <v>7864565</v>
      </c>
      <c r="Q89" s="192">
        <v>508083</v>
      </c>
      <c r="R89" s="192">
        <v>59889246</v>
      </c>
      <c r="S89" s="192" t="s">
        <v>987</v>
      </c>
      <c r="T89" s="192">
        <v>3666276</v>
      </c>
      <c r="U89" s="192">
        <v>20705259</v>
      </c>
      <c r="V89" s="192">
        <v>15218510</v>
      </c>
      <c r="W89" s="192">
        <v>502093</v>
      </c>
      <c r="X89" s="192">
        <v>7325055</v>
      </c>
      <c r="Y89" s="192">
        <v>460370</v>
      </c>
      <c r="Z89" s="192" t="s">
        <v>987</v>
      </c>
      <c r="AA89" s="193" t="s">
        <v>985</v>
      </c>
      <c r="AB89" s="193">
        <v>137275</v>
      </c>
      <c r="AC89" s="193">
        <v>2260545</v>
      </c>
      <c r="AD89" s="193">
        <v>938521</v>
      </c>
      <c r="AE89" s="193">
        <v>-164832</v>
      </c>
      <c r="AF89" s="193">
        <v>539510</v>
      </c>
      <c r="AG89" s="193">
        <v>47713</v>
      </c>
      <c r="AH89" s="193" t="s">
        <v>985</v>
      </c>
      <c r="AI89" s="194" t="s">
        <v>985</v>
      </c>
      <c r="AJ89" s="194">
        <v>3.7442625705211499</v>
      </c>
      <c r="AK89" s="194">
        <v>10.917733509153399</v>
      </c>
      <c r="AL89" s="194">
        <v>6.1669703538651293</v>
      </c>
      <c r="AM89" s="194">
        <v>-32.828977898516811</v>
      </c>
      <c r="AN89" s="194">
        <v>7.3652689297213474</v>
      </c>
      <c r="AO89" s="194">
        <v>10.364054999239741</v>
      </c>
      <c r="AP89" s="194" t="s">
        <v>985</v>
      </c>
    </row>
    <row r="90" spans="1:42" ht="12" customHeight="1">
      <c r="A90" s="190" t="s">
        <v>1027</v>
      </c>
      <c r="B90" s="190"/>
      <c r="C90" s="189" t="s">
        <v>52</v>
      </c>
      <c r="D90" s="189" t="s">
        <v>755</v>
      </c>
      <c r="E90" s="189" t="s">
        <v>881</v>
      </c>
      <c r="F90" s="190" t="s">
        <v>731</v>
      </c>
      <c r="G90" s="189" t="s">
        <v>695</v>
      </c>
      <c r="H90" s="197"/>
      <c r="I90" s="195"/>
      <c r="J90" s="195"/>
      <c r="K90" s="192">
        <v>5098789.5</v>
      </c>
      <c r="L90" s="192">
        <v>1260927.98</v>
      </c>
      <c r="M90" s="192">
        <v>12863811.68</v>
      </c>
      <c r="N90" s="192">
        <v>7471796.2999999989</v>
      </c>
      <c r="O90" s="192">
        <v>116165.02</v>
      </c>
      <c r="P90" s="192">
        <v>4276083.7600000016</v>
      </c>
      <c r="Q90" s="192">
        <v>391703.35000000003</v>
      </c>
      <c r="R90" s="192">
        <v>31087574.240000002</v>
      </c>
      <c r="S90" s="192">
        <v>4743826.18</v>
      </c>
      <c r="T90" s="192">
        <v>1852934.9600000002</v>
      </c>
      <c r="U90" s="192">
        <v>11881728.189999996</v>
      </c>
      <c r="V90" s="192">
        <v>7823073.2400000012</v>
      </c>
      <c r="W90" s="192">
        <v>100543.41</v>
      </c>
      <c r="X90" s="192">
        <v>4117043.8800000004</v>
      </c>
      <c r="Y90" s="192">
        <v>350564.77999999997</v>
      </c>
      <c r="Z90" s="192">
        <v>30519149.859999996</v>
      </c>
      <c r="AA90" s="193">
        <v>354963.3200000003</v>
      </c>
      <c r="AB90" s="193">
        <v>-592006.98000000021</v>
      </c>
      <c r="AC90" s="193">
        <v>982083.49000000395</v>
      </c>
      <c r="AD90" s="193">
        <v>-351276.94000000227</v>
      </c>
      <c r="AE90" s="193">
        <v>15621.61</v>
      </c>
      <c r="AF90" s="193">
        <v>159039.88000000129</v>
      </c>
      <c r="AG90" s="193">
        <v>41138.570000000065</v>
      </c>
      <c r="AH90" s="193">
        <v>568424.38000000641</v>
      </c>
      <c r="AI90" s="194">
        <v>7.4826375699963004</v>
      </c>
      <c r="AJ90" s="194">
        <v>-31.94969023629411</v>
      </c>
      <c r="AK90" s="194">
        <v>8.2654936579558669</v>
      </c>
      <c r="AL90" s="194">
        <v>-4.4902678170504027</v>
      </c>
      <c r="AM90" s="194">
        <v>15.537179413349916</v>
      </c>
      <c r="AN90" s="194">
        <v>3.8629629568097115</v>
      </c>
      <c r="AO90" s="194">
        <v>11.734940971537435</v>
      </c>
      <c r="AP90" s="194">
        <v>1.8625170838884126</v>
      </c>
    </row>
    <row r="91" spans="1:42" ht="12" customHeight="1">
      <c r="A91" s="190" t="s">
        <v>1028</v>
      </c>
      <c r="B91" s="189"/>
      <c r="C91" s="189" t="s">
        <v>53</v>
      </c>
      <c r="D91" s="189" t="s">
        <v>755</v>
      </c>
      <c r="E91" s="189" t="s">
        <v>881</v>
      </c>
      <c r="F91" s="190" t="s">
        <v>731</v>
      </c>
      <c r="G91" s="189" t="s">
        <v>695</v>
      </c>
      <c r="H91" s="198"/>
      <c r="I91" s="195"/>
      <c r="J91" s="195"/>
      <c r="K91" s="192">
        <v>7667995.5099999998</v>
      </c>
      <c r="L91" s="192">
        <v>2980832.4800000004</v>
      </c>
      <c r="M91" s="192">
        <v>23937001.890000001</v>
      </c>
      <c r="N91" s="192">
        <v>14694241.219999999</v>
      </c>
      <c r="O91" s="192">
        <v>268735.09999999998</v>
      </c>
      <c r="P91" s="192">
        <v>7600403.4500000002</v>
      </c>
      <c r="Q91" s="192">
        <v>287856.00999999989</v>
      </c>
      <c r="R91" s="192">
        <v>57149209.650000006</v>
      </c>
      <c r="S91" s="192">
        <v>7418990.5500000017</v>
      </c>
      <c r="T91" s="192">
        <v>2543088.79</v>
      </c>
      <c r="U91" s="192">
        <v>21224645.960000001</v>
      </c>
      <c r="V91" s="192">
        <v>13743814.089999996</v>
      </c>
      <c r="W91" s="192">
        <v>334632.01</v>
      </c>
      <c r="X91" s="192">
        <v>7072960.9400000013</v>
      </c>
      <c r="Y91" s="192">
        <v>257122.09</v>
      </c>
      <c r="Z91" s="192">
        <v>52338132.340000004</v>
      </c>
      <c r="AA91" s="193">
        <v>249004.9599999981</v>
      </c>
      <c r="AB91" s="193">
        <v>437743.69000000041</v>
      </c>
      <c r="AC91" s="193">
        <v>2712355.9299999997</v>
      </c>
      <c r="AD91" s="193">
        <v>950427.13000000268</v>
      </c>
      <c r="AE91" s="193">
        <v>-65896.910000000033</v>
      </c>
      <c r="AF91" s="193">
        <v>527442.50999999885</v>
      </c>
      <c r="AG91" s="193">
        <v>30733.919999999896</v>
      </c>
      <c r="AH91" s="193">
        <v>4811077.3100000024</v>
      </c>
      <c r="AI91" s="194">
        <v>3.3563186032094086</v>
      </c>
      <c r="AJ91" s="194">
        <v>17.213071431925915</v>
      </c>
      <c r="AK91" s="194">
        <v>12.77927525911014</v>
      </c>
      <c r="AL91" s="194">
        <v>6.9153083982090084</v>
      </c>
      <c r="AM91" s="194">
        <v>-19.692351009695706</v>
      </c>
      <c r="AN91" s="194">
        <v>7.457167012150907</v>
      </c>
      <c r="AO91" s="194">
        <v>11.953045341222879</v>
      </c>
      <c r="AP91" s="194">
        <v>9.1922984158972039</v>
      </c>
    </row>
    <row r="92" spans="1:42" ht="12" customHeight="1">
      <c r="A92" s="189" t="s">
        <v>868</v>
      </c>
      <c r="B92" s="190"/>
      <c r="C92" s="189" t="s">
        <v>47</v>
      </c>
      <c r="D92" s="189" t="s">
        <v>756</v>
      </c>
      <c r="E92" s="189" t="s">
        <v>881</v>
      </c>
      <c r="F92" s="190" t="s">
        <v>731</v>
      </c>
      <c r="G92" s="189" t="s">
        <v>695</v>
      </c>
      <c r="H92" s="197"/>
      <c r="I92" s="195"/>
      <c r="J92" s="195"/>
      <c r="K92" s="192">
        <v>5616793</v>
      </c>
      <c r="L92" s="192">
        <v>2131622</v>
      </c>
      <c r="M92" s="192">
        <v>17252131</v>
      </c>
      <c r="N92" s="192">
        <v>9588381</v>
      </c>
      <c r="O92" s="192">
        <v>253849</v>
      </c>
      <c r="P92" s="192">
        <v>5467159</v>
      </c>
      <c r="Q92" s="192">
        <v>524128</v>
      </c>
      <c r="R92" s="192">
        <v>40309935</v>
      </c>
      <c r="S92" s="192">
        <v>5542142</v>
      </c>
      <c r="T92" s="192">
        <v>1797989</v>
      </c>
      <c r="U92" s="192">
        <v>15057677</v>
      </c>
      <c r="V92" s="192">
        <v>8954384</v>
      </c>
      <c r="W92" s="192">
        <v>390347</v>
      </c>
      <c r="X92" s="192">
        <v>5085407</v>
      </c>
      <c r="Y92" s="192">
        <v>471760</v>
      </c>
      <c r="Z92" s="192">
        <v>36827946</v>
      </c>
      <c r="AA92" s="193">
        <v>74651</v>
      </c>
      <c r="AB92" s="193">
        <v>333633</v>
      </c>
      <c r="AC92" s="193">
        <v>2194454</v>
      </c>
      <c r="AD92" s="193">
        <v>633997</v>
      </c>
      <c r="AE92" s="193">
        <v>-136498</v>
      </c>
      <c r="AF92" s="193">
        <v>381752</v>
      </c>
      <c r="AG92" s="193">
        <v>52368</v>
      </c>
      <c r="AH92" s="193">
        <v>3481989</v>
      </c>
      <c r="AI92" s="194">
        <v>1.3469701786782078</v>
      </c>
      <c r="AJ92" s="194">
        <v>18.555897727961629</v>
      </c>
      <c r="AK92" s="194">
        <v>14.573655684073977</v>
      </c>
      <c r="AL92" s="194">
        <v>7.0802972041404528</v>
      </c>
      <c r="AM92" s="194">
        <v>-34.968374292616573</v>
      </c>
      <c r="AN92" s="194">
        <v>7.5068131223321952</v>
      </c>
      <c r="AO92" s="194">
        <v>11.100559606579617</v>
      </c>
      <c r="AP92" s="194">
        <v>9.4547466752557963</v>
      </c>
    </row>
    <row r="93" spans="1:42" ht="12" customHeight="1">
      <c r="A93" s="189" t="s">
        <v>438</v>
      </c>
      <c r="B93" s="190"/>
      <c r="C93" s="189" t="s">
        <v>54</v>
      </c>
      <c r="D93" s="189" t="s">
        <v>755</v>
      </c>
      <c r="E93" s="189" t="s">
        <v>884</v>
      </c>
      <c r="F93" s="190" t="s">
        <v>731</v>
      </c>
      <c r="G93" s="189" t="s">
        <v>695</v>
      </c>
      <c r="H93" s="197"/>
      <c r="I93" s="195"/>
      <c r="J93" s="195"/>
      <c r="K93" s="192">
        <v>8842670.5299999993</v>
      </c>
      <c r="L93" s="192">
        <v>3373429.83</v>
      </c>
      <c r="M93" s="192">
        <v>26688125.34</v>
      </c>
      <c r="N93" s="192">
        <v>14471018.380000001</v>
      </c>
      <c r="O93" s="192">
        <v>137400.19999999998</v>
      </c>
      <c r="P93" s="192">
        <v>8558523.2199999969</v>
      </c>
      <c r="Q93" s="192">
        <v>1173934.6599999999</v>
      </c>
      <c r="R93" s="192">
        <v>62071167.500000007</v>
      </c>
      <c r="S93" s="192">
        <v>8609722.7500000019</v>
      </c>
      <c r="T93" s="192">
        <v>3449755.79</v>
      </c>
      <c r="U93" s="192">
        <v>23354713.930000003</v>
      </c>
      <c r="V93" s="192">
        <v>14186345.980000002</v>
      </c>
      <c r="W93" s="192">
        <v>269178.10000000003</v>
      </c>
      <c r="X93" s="192">
        <v>8085413.1600000001</v>
      </c>
      <c r="Y93" s="192">
        <v>1160712.5699999998</v>
      </c>
      <c r="Z93" s="192">
        <v>57955129.710000008</v>
      </c>
      <c r="AA93" s="193">
        <v>232947.77999999747</v>
      </c>
      <c r="AB93" s="193">
        <v>-76325.959999999963</v>
      </c>
      <c r="AC93" s="193">
        <v>3333411.4099999964</v>
      </c>
      <c r="AD93" s="193">
        <v>284672.39999999851</v>
      </c>
      <c r="AE93" s="193">
        <v>-131777.90000000005</v>
      </c>
      <c r="AF93" s="193">
        <v>473110.0599999968</v>
      </c>
      <c r="AG93" s="193">
        <v>13222.090000000084</v>
      </c>
      <c r="AH93" s="193">
        <v>4116037.7899999991</v>
      </c>
      <c r="AI93" s="194">
        <v>2.7056362529211224</v>
      </c>
      <c r="AJ93" s="194">
        <v>-2.2125032798336131</v>
      </c>
      <c r="AK93" s="194">
        <v>14.27297041612702</v>
      </c>
      <c r="AL93" s="194">
        <v>2.0066647211433546</v>
      </c>
      <c r="AM93" s="194">
        <v>-48.955654267564867</v>
      </c>
      <c r="AN93" s="194">
        <v>5.8514024037826262</v>
      </c>
      <c r="AO93" s="194">
        <v>1.139135591509971</v>
      </c>
      <c r="AP93" s="194">
        <v>7.1021112550280208</v>
      </c>
    </row>
    <row r="94" spans="1:42" ht="12" customHeight="1">
      <c r="A94" s="200" t="s">
        <v>439</v>
      </c>
      <c r="B94" s="199"/>
      <c r="C94" s="200" t="s">
        <v>55</v>
      </c>
      <c r="D94" s="200" t="s">
        <v>756</v>
      </c>
      <c r="E94" s="200" t="s">
        <v>875</v>
      </c>
      <c r="F94" s="199" t="s">
        <v>731</v>
      </c>
      <c r="G94" s="200" t="s">
        <v>695</v>
      </c>
      <c r="H94" s="201" t="s">
        <v>935</v>
      </c>
      <c r="I94" s="202" t="s">
        <v>1033</v>
      </c>
      <c r="J94" s="202">
        <v>45292</v>
      </c>
      <c r="K94" s="192">
        <v>4159387</v>
      </c>
      <c r="L94" s="192">
        <v>1932046</v>
      </c>
      <c r="M94" s="192">
        <v>14705121</v>
      </c>
      <c r="N94" s="192">
        <v>8819166</v>
      </c>
      <c r="O94" s="192">
        <v>101518</v>
      </c>
      <c r="P94" s="192">
        <v>4881591</v>
      </c>
      <c r="Q94" s="192">
        <v>555086</v>
      </c>
      <c r="R94" s="192">
        <v>34598829</v>
      </c>
      <c r="S94" s="192">
        <v>4044240</v>
      </c>
      <c r="T94" s="192">
        <v>2129175</v>
      </c>
      <c r="U94" s="192">
        <v>13232077</v>
      </c>
      <c r="V94" s="192">
        <v>8254026</v>
      </c>
      <c r="W94" s="192">
        <v>200290</v>
      </c>
      <c r="X94" s="192">
        <v>4604280</v>
      </c>
      <c r="Y94" s="192">
        <v>462062</v>
      </c>
      <c r="Z94" s="192">
        <v>32464088</v>
      </c>
      <c r="AA94" s="193">
        <v>115147</v>
      </c>
      <c r="AB94" s="193">
        <v>-197129</v>
      </c>
      <c r="AC94" s="193">
        <v>1473044</v>
      </c>
      <c r="AD94" s="193">
        <v>565140</v>
      </c>
      <c r="AE94" s="193">
        <v>-98772</v>
      </c>
      <c r="AF94" s="193">
        <v>277311</v>
      </c>
      <c r="AG94" s="193">
        <v>93024</v>
      </c>
      <c r="AH94" s="193">
        <v>2134741</v>
      </c>
      <c r="AI94" s="194">
        <v>2.8471851324352659</v>
      </c>
      <c r="AJ94" s="194">
        <v>-9.2584686556999785</v>
      </c>
      <c r="AK94" s="194">
        <v>11.132371735744888</v>
      </c>
      <c r="AL94" s="194">
        <v>6.8468405599885447</v>
      </c>
      <c r="AM94" s="194">
        <v>-49.314493983723601</v>
      </c>
      <c r="AN94" s="194">
        <v>6.0228960879876983</v>
      </c>
      <c r="AO94" s="194">
        <v>20.132363189355541</v>
      </c>
      <c r="AP94" s="194">
        <v>6.5756998933714073</v>
      </c>
    </row>
    <row r="95" spans="1:42" ht="12" customHeight="1">
      <c r="A95" s="189" t="s">
        <v>440</v>
      </c>
      <c r="B95" s="190"/>
      <c r="C95" s="189" t="s">
        <v>56</v>
      </c>
      <c r="D95" s="189" t="s">
        <v>755</v>
      </c>
      <c r="E95" s="189" t="s">
        <v>884</v>
      </c>
      <c r="F95" s="190" t="s">
        <v>731</v>
      </c>
      <c r="G95" s="189" t="s">
        <v>695</v>
      </c>
      <c r="H95" s="197"/>
      <c r="I95" s="195"/>
      <c r="J95" s="195"/>
      <c r="K95" s="192">
        <v>8165490.1399999987</v>
      </c>
      <c r="L95" s="192">
        <v>3158723.41</v>
      </c>
      <c r="M95" s="192">
        <v>22503489.72000001</v>
      </c>
      <c r="N95" s="192">
        <v>12441422.02</v>
      </c>
      <c r="O95" s="192">
        <v>436059.76</v>
      </c>
      <c r="P95" s="192">
        <v>7188208.3999999994</v>
      </c>
      <c r="Q95" s="192">
        <v>170859.35</v>
      </c>
      <c r="R95" s="192">
        <v>53893393.450000003</v>
      </c>
      <c r="S95" s="192">
        <v>7902227.2000000011</v>
      </c>
      <c r="T95" s="192">
        <v>3392878.97</v>
      </c>
      <c r="U95" s="192">
        <v>20447631.519999996</v>
      </c>
      <c r="V95" s="192">
        <v>12399168.749999998</v>
      </c>
      <c r="W95" s="192">
        <v>373355.59</v>
      </c>
      <c r="X95" s="192">
        <v>6979120.8000000007</v>
      </c>
      <c r="Y95" s="192">
        <v>150981.51</v>
      </c>
      <c r="Z95" s="192">
        <v>51494382.829999998</v>
      </c>
      <c r="AA95" s="193">
        <v>263262.93999999762</v>
      </c>
      <c r="AB95" s="193">
        <v>-234155.56000000006</v>
      </c>
      <c r="AC95" s="193">
        <v>2055858.2000000142</v>
      </c>
      <c r="AD95" s="193">
        <v>42253.270000001416</v>
      </c>
      <c r="AE95" s="193">
        <v>62704.169999999984</v>
      </c>
      <c r="AF95" s="193">
        <v>209087.5999999987</v>
      </c>
      <c r="AG95" s="193">
        <v>19877.839999999997</v>
      </c>
      <c r="AH95" s="193">
        <v>2399010.6200000048</v>
      </c>
      <c r="AI95" s="194">
        <v>3.3315030476470935</v>
      </c>
      <c r="AJ95" s="194">
        <v>-6.9013826331683168</v>
      </c>
      <c r="AK95" s="194">
        <v>10.054260797829627</v>
      </c>
      <c r="AL95" s="194">
        <v>0.3407750217126565</v>
      </c>
      <c r="AM95" s="194">
        <v>16.794758583901203</v>
      </c>
      <c r="AN95" s="194">
        <v>2.9959017187379628</v>
      </c>
      <c r="AO95" s="194">
        <v>13.165744600116923</v>
      </c>
      <c r="AP95" s="194">
        <v>4.6587811876878549</v>
      </c>
    </row>
    <row r="96" spans="1:42" ht="12" customHeight="1">
      <c r="A96" s="199" t="s">
        <v>1037</v>
      </c>
      <c r="B96" s="199"/>
      <c r="C96" s="200" t="s">
        <v>50</v>
      </c>
      <c r="D96" s="200" t="s">
        <v>755</v>
      </c>
      <c r="E96" s="200" t="s">
        <v>884</v>
      </c>
      <c r="F96" s="199" t="s">
        <v>731</v>
      </c>
      <c r="G96" s="200" t="s">
        <v>695</v>
      </c>
      <c r="H96" s="201" t="s">
        <v>935</v>
      </c>
      <c r="I96" s="202" t="s">
        <v>1033</v>
      </c>
      <c r="J96" s="202">
        <v>45292</v>
      </c>
      <c r="K96" s="192">
        <v>9180937.6600000001</v>
      </c>
      <c r="L96" s="192">
        <v>3586545.2600000002</v>
      </c>
      <c r="M96" s="192">
        <v>26559007.080000002</v>
      </c>
      <c r="N96" s="192">
        <v>15597213.92</v>
      </c>
      <c r="O96" s="192">
        <v>332113.11</v>
      </c>
      <c r="P96" s="192">
        <v>8753271.6099999994</v>
      </c>
      <c r="Q96" s="192">
        <v>1083353.5999999999</v>
      </c>
      <c r="R96" s="192">
        <v>64009088.640000001</v>
      </c>
      <c r="S96" s="280">
        <v>8612582.1499999985</v>
      </c>
      <c r="T96" s="280">
        <v>4273960.1600000011</v>
      </c>
      <c r="U96" s="280">
        <v>24230344.27</v>
      </c>
      <c r="V96" s="280">
        <v>15309567.09</v>
      </c>
      <c r="W96" s="280">
        <v>436847.11</v>
      </c>
      <c r="X96" s="280">
        <v>8388483.1500000004</v>
      </c>
      <c r="Y96" s="280">
        <v>725061.12</v>
      </c>
      <c r="Z96" s="280">
        <v>61251783.93</v>
      </c>
      <c r="AA96" s="193">
        <v>568355.51000000164</v>
      </c>
      <c r="AB96" s="193">
        <v>-687414.90000000084</v>
      </c>
      <c r="AC96" s="193">
        <v>2328662.8100000024</v>
      </c>
      <c r="AD96" s="193">
        <v>287646.83000000007</v>
      </c>
      <c r="AE96" s="193">
        <v>-104734</v>
      </c>
      <c r="AF96" s="193">
        <v>364788.45999999903</v>
      </c>
      <c r="AG96" s="193">
        <v>358292.47999999986</v>
      </c>
      <c r="AH96" s="193">
        <v>2757304.7100000009</v>
      </c>
      <c r="AI96" s="194">
        <v>6.5991302039423996</v>
      </c>
      <c r="AJ96" s="194">
        <v>-16.083792882149858</v>
      </c>
      <c r="AK96" s="194">
        <v>9.6105230039308989</v>
      </c>
      <c r="AL96" s="194">
        <v>1.8788697832474117</v>
      </c>
      <c r="AM96" s="194">
        <v>-23.974978339675864</v>
      </c>
      <c r="AN96" s="194">
        <v>4.3486820379438802</v>
      </c>
      <c r="AO96" s="194">
        <v>49.415486517881398</v>
      </c>
      <c r="AP96" s="194">
        <v>4.5015908649307494</v>
      </c>
    </row>
    <row r="97" spans="1:42" ht="12" customHeight="1">
      <c r="A97" s="189" t="s">
        <v>441</v>
      </c>
      <c r="B97" s="190"/>
      <c r="C97" s="189" t="s">
        <v>57</v>
      </c>
      <c r="D97" s="189" t="s">
        <v>755</v>
      </c>
      <c r="E97" s="189" t="s">
        <v>881</v>
      </c>
      <c r="F97" s="190" t="s">
        <v>731</v>
      </c>
      <c r="G97" s="189" t="s">
        <v>695</v>
      </c>
      <c r="H97" s="198"/>
      <c r="I97" s="195"/>
      <c r="J97" s="195"/>
      <c r="K97" s="192">
        <v>2533372.62</v>
      </c>
      <c r="L97" s="192">
        <v>1023343.42</v>
      </c>
      <c r="M97" s="192">
        <v>7422086.04</v>
      </c>
      <c r="N97" s="192">
        <v>4266541.6600000011</v>
      </c>
      <c r="O97" s="192">
        <v>84195.280000000013</v>
      </c>
      <c r="P97" s="192">
        <v>2365370.36</v>
      </c>
      <c r="Q97" s="192">
        <v>231862.54</v>
      </c>
      <c r="R97" s="192">
        <v>17694909.380000003</v>
      </c>
      <c r="S97" s="192">
        <v>2409948.0200000005</v>
      </c>
      <c r="T97" s="192">
        <v>1020895.0900000001</v>
      </c>
      <c r="U97" s="192">
        <v>6383040.7599999998</v>
      </c>
      <c r="V97" s="192">
        <v>4099952.81</v>
      </c>
      <c r="W97" s="192">
        <v>123160.12</v>
      </c>
      <c r="X97" s="192">
        <v>2232545.4300000006</v>
      </c>
      <c r="Y97" s="192">
        <v>227517.81</v>
      </c>
      <c r="Z97" s="192">
        <v>16269542.23</v>
      </c>
      <c r="AA97" s="193">
        <v>123424.59999999963</v>
      </c>
      <c r="AB97" s="193">
        <v>2448.3299999999581</v>
      </c>
      <c r="AC97" s="193">
        <v>1039045.2800000003</v>
      </c>
      <c r="AD97" s="193">
        <v>166588.85000000102</v>
      </c>
      <c r="AE97" s="193">
        <v>-38964.839999999982</v>
      </c>
      <c r="AF97" s="193">
        <v>132824.92999999924</v>
      </c>
      <c r="AG97" s="193">
        <v>4344.7300000000105</v>
      </c>
      <c r="AH97" s="193">
        <v>1425367.1500000022</v>
      </c>
      <c r="AI97" s="194">
        <v>5.1214631591929356</v>
      </c>
      <c r="AJ97" s="194">
        <v>0.23982189981930055</v>
      </c>
      <c r="AK97" s="194">
        <v>16.278217844248896</v>
      </c>
      <c r="AL97" s="194">
        <v>4.0631894492463934</v>
      </c>
      <c r="AM97" s="194">
        <v>-31.637546309633329</v>
      </c>
      <c r="AN97" s="194">
        <v>5.9494838588793781</v>
      </c>
      <c r="AO97" s="194">
        <v>1.9096219324544355</v>
      </c>
      <c r="AP97" s="194">
        <v>8.7609542410585828</v>
      </c>
    </row>
    <row r="98" spans="1:42" ht="12" customHeight="1">
      <c r="A98" s="189" t="s">
        <v>442</v>
      </c>
      <c r="B98" s="190"/>
      <c r="C98" s="189" t="s">
        <v>58</v>
      </c>
      <c r="D98" s="189" t="s">
        <v>755</v>
      </c>
      <c r="E98" s="189" t="s">
        <v>875</v>
      </c>
      <c r="F98" s="190" t="s">
        <v>731</v>
      </c>
      <c r="G98" s="189" t="s">
        <v>695</v>
      </c>
      <c r="H98" s="197"/>
      <c r="I98" s="195"/>
      <c r="J98" s="195"/>
      <c r="K98" s="192">
        <v>2831644.08</v>
      </c>
      <c r="L98" s="192">
        <v>794465.09999999986</v>
      </c>
      <c r="M98" s="192">
        <v>8120321.129999999</v>
      </c>
      <c r="N98" s="192">
        <v>4178831.39</v>
      </c>
      <c r="O98" s="192">
        <v>60792.4</v>
      </c>
      <c r="P98" s="192">
        <v>2615574.29</v>
      </c>
      <c r="Q98" s="192">
        <v>162757.18000000002</v>
      </c>
      <c r="R98" s="192">
        <v>18601628.390000001</v>
      </c>
      <c r="S98" s="192">
        <v>2745854.05</v>
      </c>
      <c r="T98" s="192">
        <v>609218.72000000009</v>
      </c>
      <c r="U98" s="192">
        <v>7398708.7399999993</v>
      </c>
      <c r="V98" s="192">
        <v>4251506.2500000009</v>
      </c>
      <c r="W98" s="192">
        <v>138445.56</v>
      </c>
      <c r="X98" s="192">
        <v>2516874.64</v>
      </c>
      <c r="Y98" s="192">
        <v>145915.15</v>
      </c>
      <c r="Z98" s="192">
        <v>17660607.960000001</v>
      </c>
      <c r="AA98" s="193">
        <v>85790.030000000261</v>
      </c>
      <c r="AB98" s="193">
        <v>185246.37999999977</v>
      </c>
      <c r="AC98" s="193">
        <v>721612.38999999966</v>
      </c>
      <c r="AD98" s="193">
        <v>-72674.860000000801</v>
      </c>
      <c r="AE98" s="193">
        <v>-77653.16</v>
      </c>
      <c r="AF98" s="193">
        <v>98699.649999999907</v>
      </c>
      <c r="AG98" s="193">
        <v>16842.030000000028</v>
      </c>
      <c r="AH98" s="193">
        <v>941020.4299999997</v>
      </c>
      <c r="AI98" s="194">
        <v>3.1243477780619937</v>
      </c>
      <c r="AJ98" s="194">
        <v>30.407204164704549</v>
      </c>
      <c r="AK98" s="194">
        <v>9.7532206680702469</v>
      </c>
      <c r="AL98" s="194">
        <v>-1.7093908776448532</v>
      </c>
      <c r="AM98" s="194">
        <v>-56.089310484207658</v>
      </c>
      <c r="AN98" s="194">
        <v>3.9215163294743958</v>
      </c>
      <c r="AO98" s="194">
        <v>11.542344986110098</v>
      </c>
      <c r="AP98" s="194">
        <v>5.3283580731271698</v>
      </c>
    </row>
    <row r="99" spans="1:42" ht="12" customHeight="1">
      <c r="A99" s="189" t="s">
        <v>443</v>
      </c>
      <c r="B99" s="190"/>
      <c r="C99" s="189" t="s">
        <v>59</v>
      </c>
      <c r="D99" s="189" t="s">
        <v>755</v>
      </c>
      <c r="E99" s="189" t="s">
        <v>875</v>
      </c>
      <c r="F99" s="190" t="s">
        <v>731</v>
      </c>
      <c r="G99" s="189" t="s">
        <v>695</v>
      </c>
      <c r="H99" s="198"/>
      <c r="I99" s="195"/>
      <c r="J99" s="195"/>
      <c r="K99" s="192">
        <v>3139757.71</v>
      </c>
      <c r="L99" s="192">
        <v>939409.61</v>
      </c>
      <c r="M99" s="192">
        <v>8185053.4300000006</v>
      </c>
      <c r="N99" s="192">
        <v>4842546.4100000011</v>
      </c>
      <c r="O99" s="192">
        <v>68673.31</v>
      </c>
      <c r="P99" s="192">
        <v>2725348.0000000005</v>
      </c>
      <c r="Q99" s="192">
        <v>0</v>
      </c>
      <c r="R99" s="192">
        <v>19900788.469999999</v>
      </c>
      <c r="S99" s="192">
        <v>2962490.2299999995</v>
      </c>
      <c r="T99" s="192">
        <v>767672.34</v>
      </c>
      <c r="U99" s="192">
        <v>7576234.0999999996</v>
      </c>
      <c r="V99" s="192">
        <v>4435302.3600000003</v>
      </c>
      <c r="W99" s="192">
        <v>63283.45</v>
      </c>
      <c r="X99" s="192">
        <v>2662814.0499999998</v>
      </c>
      <c r="Y99" s="192">
        <v>220549</v>
      </c>
      <c r="Z99" s="192">
        <v>18467796.529999997</v>
      </c>
      <c r="AA99" s="193">
        <v>177267.48000000045</v>
      </c>
      <c r="AB99" s="193">
        <v>171737.27000000002</v>
      </c>
      <c r="AC99" s="193">
        <v>608819.33000000101</v>
      </c>
      <c r="AD99" s="193">
        <v>407244.05000000075</v>
      </c>
      <c r="AE99" s="193">
        <v>5389.8600000000006</v>
      </c>
      <c r="AF99" s="193">
        <v>62533.950000000652</v>
      </c>
      <c r="AG99" s="193">
        <v>-220549</v>
      </c>
      <c r="AH99" s="193">
        <v>1432991.9400000013</v>
      </c>
      <c r="AI99" s="194">
        <v>5.9837321387554576</v>
      </c>
      <c r="AJ99" s="194">
        <v>22.371168147076919</v>
      </c>
      <c r="AK99" s="194">
        <v>8.0359096876375702</v>
      </c>
      <c r="AL99" s="194">
        <v>9.1818779633323739</v>
      </c>
      <c r="AM99" s="194">
        <v>8.5170135319740012</v>
      </c>
      <c r="AN99" s="194">
        <v>2.3484159549180936</v>
      </c>
      <c r="AO99" s="194">
        <v>-100</v>
      </c>
      <c r="AP99" s="194">
        <v>7.7594094004240235</v>
      </c>
    </row>
    <row r="100" spans="1:42" ht="12" customHeight="1">
      <c r="A100" s="199" t="s">
        <v>444</v>
      </c>
      <c r="B100" s="199"/>
      <c r="C100" s="200" t="s">
        <v>60</v>
      </c>
      <c r="D100" s="200" t="s">
        <v>755</v>
      </c>
      <c r="E100" s="200" t="s">
        <v>875</v>
      </c>
      <c r="F100" s="199" t="s">
        <v>731</v>
      </c>
      <c r="G100" s="200" t="s">
        <v>695</v>
      </c>
      <c r="H100" s="201" t="s">
        <v>935</v>
      </c>
      <c r="I100" s="202" t="s">
        <v>1033</v>
      </c>
      <c r="J100" s="202">
        <v>45292</v>
      </c>
      <c r="K100" s="192">
        <v>11103476.200000001</v>
      </c>
      <c r="L100" s="192">
        <v>3303039.3200000003</v>
      </c>
      <c r="M100" s="192">
        <v>30452268.400000006</v>
      </c>
      <c r="N100" s="192">
        <v>17758678.159999996</v>
      </c>
      <c r="O100" s="192">
        <v>555205.62</v>
      </c>
      <c r="P100" s="192">
        <v>9577551.1599999964</v>
      </c>
      <c r="Q100" s="192">
        <v>994687.44</v>
      </c>
      <c r="R100" s="192">
        <v>72750218.859999999</v>
      </c>
      <c r="S100" s="192">
        <v>11031561.289999999</v>
      </c>
      <c r="T100" s="192">
        <v>3494491.56</v>
      </c>
      <c r="U100" s="192">
        <v>27474897.319999993</v>
      </c>
      <c r="V100" s="192">
        <v>18242937.170000002</v>
      </c>
      <c r="W100" s="192">
        <v>752162.4800000001</v>
      </c>
      <c r="X100" s="192">
        <v>9229137.9499999993</v>
      </c>
      <c r="Y100" s="192">
        <v>899616.59999999986</v>
      </c>
      <c r="Z100" s="192">
        <v>70225187.769999996</v>
      </c>
      <c r="AA100" s="193">
        <v>71914.910000002012</v>
      </c>
      <c r="AB100" s="193">
        <v>-191452.23999999976</v>
      </c>
      <c r="AC100" s="193">
        <v>2977371.0800000131</v>
      </c>
      <c r="AD100" s="193">
        <v>-484259.01000000536</v>
      </c>
      <c r="AE100" s="193">
        <v>-196956.8600000001</v>
      </c>
      <c r="AF100" s="193">
        <v>348413.20999999717</v>
      </c>
      <c r="AG100" s="193">
        <v>95070.840000000084</v>
      </c>
      <c r="AH100" s="193">
        <v>2525031.0900000036</v>
      </c>
      <c r="AI100" s="194">
        <v>0.65190146806501603</v>
      </c>
      <c r="AJ100" s="194">
        <v>-5.478686576080892</v>
      </c>
      <c r="AK100" s="194">
        <v>10.836695931280786</v>
      </c>
      <c r="AL100" s="194">
        <v>-2.6545013310485754</v>
      </c>
      <c r="AM100" s="194">
        <v>-26.185414087658305</v>
      </c>
      <c r="AN100" s="194">
        <v>3.7751435929072574</v>
      </c>
      <c r="AO100" s="194">
        <v>10.567928604252089</v>
      </c>
      <c r="AP100" s="194">
        <v>3.5956202755483266</v>
      </c>
    </row>
    <row r="101" spans="1:42" ht="12" customHeight="1">
      <c r="A101" s="189" t="s">
        <v>869</v>
      </c>
      <c r="B101" s="190"/>
      <c r="C101" s="189" t="s">
        <v>61</v>
      </c>
      <c r="D101" s="189" t="s">
        <v>756</v>
      </c>
      <c r="E101" s="189" t="s">
        <v>875</v>
      </c>
      <c r="F101" s="190" t="s">
        <v>731</v>
      </c>
      <c r="G101" s="189" t="s">
        <v>695</v>
      </c>
      <c r="H101" s="198"/>
      <c r="I101" s="195"/>
      <c r="J101" s="195"/>
      <c r="K101" s="192">
        <v>5432978</v>
      </c>
      <c r="L101" s="192">
        <v>1764583</v>
      </c>
      <c r="M101" s="192">
        <v>18118705</v>
      </c>
      <c r="N101" s="192">
        <v>10844726</v>
      </c>
      <c r="O101" s="192">
        <v>210844</v>
      </c>
      <c r="P101" s="192">
        <v>5600239</v>
      </c>
      <c r="Q101" s="192">
        <v>505100</v>
      </c>
      <c r="R101" s="192">
        <v>41972075</v>
      </c>
      <c r="S101" s="192">
        <v>5639492</v>
      </c>
      <c r="T101" s="192">
        <v>2067908</v>
      </c>
      <c r="U101" s="192">
        <v>16785033</v>
      </c>
      <c r="V101" s="192">
        <v>10706298</v>
      </c>
      <c r="W101" s="192">
        <v>210376</v>
      </c>
      <c r="X101" s="192">
        <v>5337860</v>
      </c>
      <c r="Y101" s="192">
        <v>472953</v>
      </c>
      <c r="Z101" s="192">
        <v>40746967</v>
      </c>
      <c r="AA101" s="193">
        <v>-206514</v>
      </c>
      <c r="AB101" s="193">
        <v>-303325</v>
      </c>
      <c r="AC101" s="193">
        <v>1333672</v>
      </c>
      <c r="AD101" s="193">
        <v>138428</v>
      </c>
      <c r="AE101" s="193">
        <v>468</v>
      </c>
      <c r="AF101" s="193">
        <v>262379</v>
      </c>
      <c r="AG101" s="193">
        <v>32147</v>
      </c>
      <c r="AH101" s="193">
        <v>1225108</v>
      </c>
      <c r="AI101" s="194">
        <v>-3.6619255776938773</v>
      </c>
      <c r="AJ101" s="194">
        <v>-14.668205742228377</v>
      </c>
      <c r="AK101" s="194">
        <v>7.9456024900278717</v>
      </c>
      <c r="AL101" s="194">
        <v>1.2929585931570371</v>
      </c>
      <c r="AM101" s="194">
        <v>0.22245883560862456</v>
      </c>
      <c r="AN101" s="194">
        <v>4.9154342751589581</v>
      </c>
      <c r="AO101" s="194">
        <v>6.7970813167481756</v>
      </c>
      <c r="AP101" s="194">
        <v>3.0066237813479466</v>
      </c>
    </row>
    <row r="102" spans="1:42" ht="12" customHeight="1">
      <c r="A102" s="189" t="s">
        <v>445</v>
      </c>
      <c r="B102" s="189"/>
      <c r="C102" s="189" t="s">
        <v>62</v>
      </c>
      <c r="D102" s="189" t="s">
        <v>755</v>
      </c>
      <c r="E102" s="189" t="s">
        <v>878</v>
      </c>
      <c r="F102" s="190" t="s">
        <v>716</v>
      </c>
      <c r="G102" s="189" t="s">
        <v>694</v>
      </c>
      <c r="H102" s="197"/>
      <c r="I102" s="195"/>
      <c r="J102" s="195"/>
      <c r="K102" s="192">
        <v>12092903.440000001</v>
      </c>
      <c r="L102" s="192">
        <v>7050917.0000000009</v>
      </c>
      <c r="M102" s="192">
        <v>44981653.350000016</v>
      </c>
      <c r="N102" s="192">
        <v>40126560.029999994</v>
      </c>
      <c r="O102" s="192">
        <v>679153.45000000007</v>
      </c>
      <c r="P102" s="192">
        <v>15144983.200000001</v>
      </c>
      <c r="Q102" s="192">
        <v>2182778.1799999997</v>
      </c>
      <c r="R102" s="192">
        <v>120076170.47000003</v>
      </c>
      <c r="S102" s="192">
        <v>11036625.949999999</v>
      </c>
      <c r="T102" s="192">
        <v>6548394.8600000013</v>
      </c>
      <c r="U102" s="192">
        <v>36654197.5</v>
      </c>
      <c r="V102" s="192">
        <v>36202270.539999992</v>
      </c>
      <c r="W102" s="192">
        <v>748232.1</v>
      </c>
      <c r="X102" s="192">
        <v>13704606.609999999</v>
      </c>
      <c r="Y102" s="192">
        <v>1878230.3299999998</v>
      </c>
      <c r="Z102" s="192">
        <v>104894327.55999999</v>
      </c>
      <c r="AA102" s="193">
        <v>1056277.4900000021</v>
      </c>
      <c r="AB102" s="193">
        <v>502522.13999999966</v>
      </c>
      <c r="AC102" s="193">
        <v>8327455.8500000164</v>
      </c>
      <c r="AD102" s="193">
        <v>3924289.4900000021</v>
      </c>
      <c r="AE102" s="193">
        <v>-69078.649999999907</v>
      </c>
      <c r="AF102" s="193">
        <v>1440376.5900000017</v>
      </c>
      <c r="AG102" s="193">
        <v>304547.84999999986</v>
      </c>
      <c r="AH102" s="193">
        <v>15181842.910000041</v>
      </c>
      <c r="AI102" s="194">
        <v>9.5706558760379306</v>
      </c>
      <c r="AJ102" s="194">
        <v>7.6739743210903377</v>
      </c>
      <c r="AK102" s="194">
        <v>22.718969225830183</v>
      </c>
      <c r="AL102" s="194">
        <v>10.839898800446903</v>
      </c>
      <c r="AM102" s="194">
        <v>-9.232248923829907</v>
      </c>
      <c r="AN102" s="194">
        <v>10.510163706187562</v>
      </c>
      <c r="AO102" s="194">
        <v>16.214616766411172</v>
      </c>
      <c r="AP102" s="194">
        <v>14.47346416450972</v>
      </c>
    </row>
    <row r="103" spans="1:42" ht="12" customHeight="1">
      <c r="A103" s="189" t="s">
        <v>446</v>
      </c>
      <c r="B103" s="189"/>
      <c r="C103" s="189" t="s">
        <v>63</v>
      </c>
      <c r="D103" s="189" t="s">
        <v>755</v>
      </c>
      <c r="E103" s="189" t="s">
        <v>878</v>
      </c>
      <c r="F103" s="190" t="s">
        <v>716</v>
      </c>
      <c r="G103" s="189" t="s">
        <v>694</v>
      </c>
      <c r="H103" s="197"/>
      <c r="I103" s="195"/>
      <c r="J103" s="195"/>
      <c r="K103" s="192">
        <v>13153102.68</v>
      </c>
      <c r="L103" s="192">
        <v>8040078.9400000004</v>
      </c>
      <c r="M103" s="192">
        <v>47459393.719999991</v>
      </c>
      <c r="N103" s="192">
        <v>38291631.190000005</v>
      </c>
      <c r="O103" s="192">
        <v>389660.59</v>
      </c>
      <c r="P103" s="192">
        <v>15790557.860000001</v>
      </c>
      <c r="Q103" s="192">
        <v>1348786.3799999997</v>
      </c>
      <c r="R103" s="192">
        <v>123124424.98</v>
      </c>
      <c r="S103" s="192">
        <v>12226204.35</v>
      </c>
      <c r="T103" s="192">
        <v>6984405.9400000004</v>
      </c>
      <c r="U103" s="192">
        <v>41061625.140000001</v>
      </c>
      <c r="V103" s="192">
        <v>35930132.450000003</v>
      </c>
      <c r="W103" s="192">
        <v>511002.7</v>
      </c>
      <c r="X103" s="192">
        <v>14527945.300000004</v>
      </c>
      <c r="Y103" s="192">
        <v>1263638.1800000002</v>
      </c>
      <c r="Z103" s="192">
        <v>111241315.88</v>
      </c>
      <c r="AA103" s="193">
        <v>926898.33000000007</v>
      </c>
      <c r="AB103" s="193">
        <v>1055673</v>
      </c>
      <c r="AC103" s="193">
        <v>6397768.5799999908</v>
      </c>
      <c r="AD103" s="193">
        <v>2361498.7400000021</v>
      </c>
      <c r="AE103" s="193">
        <v>-121342.10999999999</v>
      </c>
      <c r="AF103" s="193">
        <v>1262612.5599999968</v>
      </c>
      <c r="AG103" s="193">
        <v>85148.199999999488</v>
      </c>
      <c r="AH103" s="193">
        <v>11883109.100000009</v>
      </c>
      <c r="AI103" s="194">
        <v>7.5812435606803854</v>
      </c>
      <c r="AJ103" s="194">
        <v>15.11471425156024</v>
      </c>
      <c r="AK103" s="194">
        <v>15.580894711757603</v>
      </c>
      <c r="AL103" s="194">
        <v>6.5724743522341287</v>
      </c>
      <c r="AM103" s="194">
        <v>-23.745884317245284</v>
      </c>
      <c r="AN103" s="194">
        <v>8.6909231410720995</v>
      </c>
      <c r="AO103" s="194">
        <v>6.738337076836304</v>
      </c>
      <c r="AP103" s="194">
        <v>10.682280235536538</v>
      </c>
    </row>
    <row r="104" spans="1:42" ht="12" customHeight="1">
      <c r="A104" s="189" t="s">
        <v>447</v>
      </c>
      <c r="B104" s="189"/>
      <c r="C104" s="189" t="s">
        <v>64</v>
      </c>
      <c r="D104" s="189" t="s">
        <v>755</v>
      </c>
      <c r="E104" s="189" t="s">
        <v>878</v>
      </c>
      <c r="F104" s="190" t="s">
        <v>716</v>
      </c>
      <c r="G104" s="189" t="s">
        <v>694</v>
      </c>
      <c r="H104" s="197"/>
      <c r="I104" s="195"/>
      <c r="J104" s="195"/>
      <c r="K104" s="192">
        <v>23983038.739999998</v>
      </c>
      <c r="L104" s="192">
        <v>11114293.960000001</v>
      </c>
      <c r="M104" s="192">
        <v>83218573.61999999</v>
      </c>
      <c r="N104" s="192">
        <v>78385518.069999993</v>
      </c>
      <c r="O104" s="192">
        <v>791435.21</v>
      </c>
      <c r="P104" s="192">
        <v>27998931.620000001</v>
      </c>
      <c r="Q104" s="192">
        <v>1211957.98</v>
      </c>
      <c r="R104" s="192">
        <v>225491791.22</v>
      </c>
      <c r="S104" s="192">
        <v>22540363.579999994</v>
      </c>
      <c r="T104" s="192">
        <v>13743803.709999997</v>
      </c>
      <c r="U104" s="192">
        <v>70925576.450000003</v>
      </c>
      <c r="V104" s="192">
        <v>72516530.789999977</v>
      </c>
      <c r="W104" s="192">
        <v>930846.29</v>
      </c>
      <c r="X104" s="192">
        <v>25992995.910000008</v>
      </c>
      <c r="Y104" s="192">
        <v>1257583.9799999997</v>
      </c>
      <c r="Z104" s="192">
        <v>206650116.72999996</v>
      </c>
      <c r="AA104" s="193">
        <v>1442675.1600000039</v>
      </c>
      <c r="AB104" s="193">
        <v>-2629509.7499999963</v>
      </c>
      <c r="AC104" s="193">
        <v>12292997.169999987</v>
      </c>
      <c r="AD104" s="193">
        <v>5868987.2800000161</v>
      </c>
      <c r="AE104" s="193">
        <v>-139411.08000000007</v>
      </c>
      <c r="AF104" s="193">
        <v>2005935.7099999934</v>
      </c>
      <c r="AG104" s="193">
        <v>-45625.999999999767</v>
      </c>
      <c r="AH104" s="193">
        <v>18841674.490000039</v>
      </c>
      <c r="AI104" s="194">
        <v>6.4004076725722641</v>
      </c>
      <c r="AJ104" s="194">
        <v>-19.13232905157663</v>
      </c>
      <c r="AK104" s="194">
        <v>17.332248513575511</v>
      </c>
      <c r="AL104" s="194">
        <v>8.0933095062089606</v>
      </c>
      <c r="AM104" s="194">
        <v>-14.97680997364238</v>
      </c>
      <c r="AN104" s="194">
        <v>7.7172162722045874</v>
      </c>
      <c r="AO104" s="194">
        <v>-3.6280678448209693</v>
      </c>
      <c r="AP104" s="194">
        <v>9.117669415409889</v>
      </c>
    </row>
    <row r="105" spans="1:42" ht="12" customHeight="1">
      <c r="A105" s="189" t="s">
        <v>777</v>
      </c>
      <c r="B105" s="189"/>
      <c r="C105" s="189" t="s">
        <v>76</v>
      </c>
      <c r="D105" s="189" t="s">
        <v>755</v>
      </c>
      <c r="E105" s="189" t="s">
        <v>878</v>
      </c>
      <c r="F105" s="190" t="s">
        <v>716</v>
      </c>
      <c r="G105" s="189" t="s">
        <v>694</v>
      </c>
      <c r="H105" s="279"/>
      <c r="I105" s="195"/>
      <c r="J105" s="195"/>
      <c r="K105" s="192">
        <v>16893287.41</v>
      </c>
      <c r="L105" s="192">
        <v>8204418.2000000002</v>
      </c>
      <c r="M105" s="192">
        <v>59084614.020000011</v>
      </c>
      <c r="N105" s="192">
        <v>52459227.130000003</v>
      </c>
      <c r="O105" s="192">
        <v>489409.27999999997</v>
      </c>
      <c r="P105" s="192">
        <v>19894659.779999997</v>
      </c>
      <c r="Q105" s="192">
        <v>2083612.46</v>
      </c>
      <c r="R105" s="192">
        <v>157025615.82000002</v>
      </c>
      <c r="S105" s="192">
        <v>15372606.420000002</v>
      </c>
      <c r="T105" s="192">
        <v>8443329.0700000003</v>
      </c>
      <c r="U105" s="192">
        <v>49392117.939999998</v>
      </c>
      <c r="V105" s="192">
        <v>48304859.669999994</v>
      </c>
      <c r="W105" s="192">
        <v>530734.11</v>
      </c>
      <c r="X105" s="192">
        <v>17875922.690000001</v>
      </c>
      <c r="Y105" s="192">
        <v>1761931.0100000002</v>
      </c>
      <c r="Z105" s="192">
        <v>139919569.90000001</v>
      </c>
      <c r="AA105" s="193">
        <v>1520680.9899999984</v>
      </c>
      <c r="AB105" s="193">
        <v>-238910.87000000011</v>
      </c>
      <c r="AC105" s="193">
        <v>9692496.0800000131</v>
      </c>
      <c r="AD105" s="193">
        <v>4154367.4600000083</v>
      </c>
      <c r="AE105" s="193">
        <v>-41324.830000000016</v>
      </c>
      <c r="AF105" s="193">
        <v>2018737.0899999961</v>
      </c>
      <c r="AG105" s="193">
        <v>321681.44999999972</v>
      </c>
      <c r="AH105" s="193">
        <v>17106045.920000017</v>
      </c>
      <c r="AI105" s="194">
        <v>9.8921480746529014</v>
      </c>
      <c r="AJ105" s="194">
        <v>-2.8295814129627441</v>
      </c>
      <c r="AK105" s="194">
        <v>19.6235684644545</v>
      </c>
      <c r="AL105" s="194">
        <v>8.6003095514220114</v>
      </c>
      <c r="AM105" s="194">
        <v>-7.7863527558083678</v>
      </c>
      <c r="AN105" s="194">
        <v>11.29305113368666</v>
      </c>
      <c r="AO105" s="194">
        <v>18.257323821095564</v>
      </c>
      <c r="AP105" s="194">
        <v>12.225627860509894</v>
      </c>
    </row>
    <row r="106" spans="1:42" ht="12" customHeight="1">
      <c r="A106" s="189" t="s">
        <v>448</v>
      </c>
      <c r="B106" s="189"/>
      <c r="C106" s="189" t="s">
        <v>66</v>
      </c>
      <c r="D106" s="189" t="s">
        <v>755</v>
      </c>
      <c r="E106" s="189" t="s">
        <v>882</v>
      </c>
      <c r="F106" s="190" t="s">
        <v>716</v>
      </c>
      <c r="G106" s="189" t="s">
        <v>694</v>
      </c>
      <c r="H106" s="197"/>
      <c r="I106" s="195"/>
      <c r="J106" s="195"/>
      <c r="K106" s="192">
        <v>14630251.68</v>
      </c>
      <c r="L106" s="192">
        <v>5608882.7300000014</v>
      </c>
      <c r="M106" s="192">
        <v>38787283.210000008</v>
      </c>
      <c r="N106" s="192">
        <v>29587802.649999999</v>
      </c>
      <c r="O106" s="192">
        <v>521753.75</v>
      </c>
      <c r="P106" s="192">
        <v>12863404.030000001</v>
      </c>
      <c r="Q106" s="192">
        <v>1560075.8099999998</v>
      </c>
      <c r="R106" s="192">
        <v>101999378.05000001</v>
      </c>
      <c r="S106" s="192">
        <v>13773616.290000001</v>
      </c>
      <c r="T106" s="192">
        <v>8311663.6399999997</v>
      </c>
      <c r="U106" s="192">
        <v>34039542.270000011</v>
      </c>
      <c r="V106" s="192">
        <v>28561763.110000003</v>
      </c>
      <c r="W106" s="192">
        <v>639173.6</v>
      </c>
      <c r="X106" s="192">
        <v>12391024.630000001</v>
      </c>
      <c r="Y106" s="192">
        <v>1561855.58</v>
      </c>
      <c r="Z106" s="192">
        <v>97716783.540000007</v>
      </c>
      <c r="AA106" s="193">
        <v>856635.38999999873</v>
      </c>
      <c r="AB106" s="193">
        <v>-2702780.9099999983</v>
      </c>
      <c r="AC106" s="193">
        <v>4747740.9399999976</v>
      </c>
      <c r="AD106" s="193">
        <v>1026039.5399999954</v>
      </c>
      <c r="AE106" s="193">
        <v>-117419.84999999998</v>
      </c>
      <c r="AF106" s="193">
        <v>472379.40000000037</v>
      </c>
      <c r="AG106" s="193">
        <v>-1779.7700000002515</v>
      </c>
      <c r="AH106" s="193">
        <v>4282594.5100000054</v>
      </c>
      <c r="AI106" s="194">
        <v>6.21939345458562</v>
      </c>
      <c r="AJ106" s="194">
        <v>-32.517929346813631</v>
      </c>
      <c r="AK106" s="194">
        <v>13.947722628997608</v>
      </c>
      <c r="AL106" s="194">
        <v>3.5923536514479384</v>
      </c>
      <c r="AM106" s="194">
        <v>-18.37057256432368</v>
      </c>
      <c r="AN106" s="194">
        <v>3.8122706887073656</v>
      </c>
      <c r="AO106" s="194">
        <v>-0.11395227720095934</v>
      </c>
      <c r="AP106" s="194">
        <v>4.3826601274150017</v>
      </c>
    </row>
    <row r="107" spans="1:42" ht="12" customHeight="1">
      <c r="A107" s="189" t="s">
        <v>449</v>
      </c>
      <c r="B107" s="189"/>
      <c r="C107" s="189" t="s">
        <v>67</v>
      </c>
      <c r="D107" s="189" t="s">
        <v>756</v>
      </c>
      <c r="E107" s="189" t="s">
        <v>878</v>
      </c>
      <c r="F107" s="190" t="s">
        <v>716</v>
      </c>
      <c r="G107" s="189" t="s">
        <v>694</v>
      </c>
      <c r="H107" s="197"/>
      <c r="I107" s="195"/>
      <c r="J107" s="195"/>
      <c r="K107" s="192">
        <v>13213863</v>
      </c>
      <c r="L107" s="192">
        <v>5059856</v>
      </c>
      <c r="M107" s="192">
        <v>41054376</v>
      </c>
      <c r="N107" s="192">
        <v>31473727</v>
      </c>
      <c r="O107" s="192">
        <v>412523</v>
      </c>
      <c r="P107" s="192">
        <v>13327334</v>
      </c>
      <c r="Q107" s="192">
        <v>2470203</v>
      </c>
      <c r="R107" s="192">
        <v>104541679</v>
      </c>
      <c r="S107" s="192">
        <v>12985008</v>
      </c>
      <c r="T107" s="192">
        <v>6130861</v>
      </c>
      <c r="U107" s="192">
        <v>34473175</v>
      </c>
      <c r="V107" s="192">
        <v>30884123</v>
      </c>
      <c r="W107" s="192">
        <v>437536</v>
      </c>
      <c r="X107" s="192">
        <v>12861138</v>
      </c>
      <c r="Y107" s="192">
        <v>1173003</v>
      </c>
      <c r="Z107" s="192">
        <v>97771841</v>
      </c>
      <c r="AA107" s="193">
        <v>228855</v>
      </c>
      <c r="AB107" s="193">
        <v>-1071005</v>
      </c>
      <c r="AC107" s="193">
        <v>6581201</v>
      </c>
      <c r="AD107" s="193">
        <v>589604</v>
      </c>
      <c r="AE107" s="193">
        <v>-25013</v>
      </c>
      <c r="AF107" s="193">
        <v>466196</v>
      </c>
      <c r="AG107" s="193">
        <v>1297200</v>
      </c>
      <c r="AH107" s="193">
        <v>6769838</v>
      </c>
      <c r="AI107" s="194">
        <v>1.7624555949445699</v>
      </c>
      <c r="AJ107" s="194">
        <v>-17.469079791565981</v>
      </c>
      <c r="AK107" s="194">
        <v>19.090788707451519</v>
      </c>
      <c r="AL107" s="194">
        <v>1.9090844833120242</v>
      </c>
      <c r="AM107" s="194">
        <v>-5.7167867329774005</v>
      </c>
      <c r="AN107" s="194">
        <v>3.6248425294868927</v>
      </c>
      <c r="AO107" s="194">
        <v>110.58795246047963</v>
      </c>
      <c r="AP107" s="194">
        <v>6.9241183665550485</v>
      </c>
    </row>
    <row r="108" spans="1:42" ht="12" customHeight="1">
      <c r="A108" s="189" t="s">
        <v>450</v>
      </c>
      <c r="B108" s="189"/>
      <c r="C108" s="189" t="s">
        <v>68</v>
      </c>
      <c r="D108" s="189" t="s">
        <v>756</v>
      </c>
      <c r="E108" s="189" t="s">
        <v>878</v>
      </c>
      <c r="F108" s="190" t="s">
        <v>716</v>
      </c>
      <c r="G108" s="189" t="s">
        <v>694</v>
      </c>
      <c r="H108" s="197"/>
      <c r="I108" s="195"/>
      <c r="J108" s="195"/>
      <c r="K108" s="192">
        <v>11117751</v>
      </c>
      <c r="L108" s="192">
        <v>3973422</v>
      </c>
      <c r="M108" s="192">
        <v>33473996</v>
      </c>
      <c r="N108" s="192">
        <v>27741323</v>
      </c>
      <c r="O108" s="192">
        <v>200658</v>
      </c>
      <c r="P108" s="192">
        <v>11033513</v>
      </c>
      <c r="Q108" s="192">
        <v>1389138</v>
      </c>
      <c r="R108" s="192">
        <v>87540663</v>
      </c>
      <c r="S108" s="192">
        <v>10405749</v>
      </c>
      <c r="T108" s="192">
        <v>3886734</v>
      </c>
      <c r="U108" s="192">
        <v>27471610</v>
      </c>
      <c r="V108" s="192">
        <v>25976224</v>
      </c>
      <c r="W108" s="192">
        <v>167501</v>
      </c>
      <c r="X108" s="192">
        <v>10198953</v>
      </c>
      <c r="Y108" s="192">
        <v>1124689</v>
      </c>
      <c r="Z108" s="192">
        <v>78106771</v>
      </c>
      <c r="AA108" s="193">
        <v>712002</v>
      </c>
      <c r="AB108" s="193">
        <v>86688</v>
      </c>
      <c r="AC108" s="193">
        <v>6002386</v>
      </c>
      <c r="AD108" s="193">
        <v>1765099</v>
      </c>
      <c r="AE108" s="193">
        <v>33157</v>
      </c>
      <c r="AF108" s="193">
        <v>834560</v>
      </c>
      <c r="AG108" s="193">
        <v>264449</v>
      </c>
      <c r="AH108" s="193">
        <v>9433892</v>
      </c>
      <c r="AI108" s="194">
        <v>6.8423906823045613</v>
      </c>
      <c r="AJ108" s="194">
        <v>2.2303558720509304</v>
      </c>
      <c r="AK108" s="194">
        <v>21.849414723054092</v>
      </c>
      <c r="AL108" s="194">
        <v>6.795056125170464</v>
      </c>
      <c r="AM108" s="194">
        <v>19.795105700861487</v>
      </c>
      <c r="AN108" s="194">
        <v>8.1828007247410586</v>
      </c>
      <c r="AO108" s="194">
        <v>23.513077837517748</v>
      </c>
      <c r="AP108" s="194">
        <v>12.078199980895382</v>
      </c>
    </row>
    <row r="109" spans="1:42" ht="12" customHeight="1">
      <c r="A109" s="189" t="s">
        <v>451</v>
      </c>
      <c r="B109" s="189"/>
      <c r="C109" s="189" t="s">
        <v>69</v>
      </c>
      <c r="D109" s="189" t="s">
        <v>755</v>
      </c>
      <c r="E109" s="189" t="s">
        <v>882</v>
      </c>
      <c r="F109" s="190" t="s">
        <v>717</v>
      </c>
      <c r="G109" s="189" t="s">
        <v>685</v>
      </c>
      <c r="H109" s="197"/>
      <c r="I109" s="195"/>
      <c r="J109" s="195"/>
      <c r="K109" s="192">
        <v>198238934.85999998</v>
      </c>
      <c r="L109" s="192">
        <v>151944146.06</v>
      </c>
      <c r="M109" s="192">
        <v>760291076.6099999</v>
      </c>
      <c r="N109" s="192">
        <v>853949045.69000018</v>
      </c>
      <c r="O109" s="192">
        <v>8170745.1500000004</v>
      </c>
      <c r="P109" s="192">
        <v>246859974.53999999</v>
      </c>
      <c r="Q109" s="192">
        <v>44568282.950000003</v>
      </c>
      <c r="R109" s="192">
        <v>2219453922.9099998</v>
      </c>
      <c r="S109" s="192">
        <v>184633467.59</v>
      </c>
      <c r="T109" s="192">
        <v>175925084.05999994</v>
      </c>
      <c r="U109" s="192">
        <v>659278619.1400001</v>
      </c>
      <c r="V109" s="192">
        <v>757451424</v>
      </c>
      <c r="W109" s="192">
        <v>9924418.25</v>
      </c>
      <c r="X109" s="192">
        <v>232755617.33000001</v>
      </c>
      <c r="Y109" s="192">
        <v>39604371.030000001</v>
      </c>
      <c r="Z109" s="192">
        <v>2019968630.3699999</v>
      </c>
      <c r="AA109" s="193">
        <v>13605467.269999981</v>
      </c>
      <c r="AB109" s="193">
        <v>-23980937.99999994</v>
      </c>
      <c r="AC109" s="193">
        <v>101012457.46999979</v>
      </c>
      <c r="AD109" s="193">
        <v>96497621.690000176</v>
      </c>
      <c r="AE109" s="193">
        <v>-1753673.0999999996</v>
      </c>
      <c r="AF109" s="193">
        <v>14104357.209999979</v>
      </c>
      <c r="AG109" s="193">
        <v>4963911.9200000018</v>
      </c>
      <c r="AH109" s="193">
        <v>199485292.53999996</v>
      </c>
      <c r="AI109" s="194">
        <v>7.3689063242924613</v>
      </c>
      <c r="AJ109" s="194">
        <v>-13.631335251669482</v>
      </c>
      <c r="AK109" s="194">
        <v>15.321664397636022</v>
      </c>
      <c r="AL109" s="194">
        <v>12.739776919344756</v>
      </c>
      <c r="AM109" s="194">
        <v>-17.670286114755388</v>
      </c>
      <c r="AN109" s="194">
        <v>6.0597279549231571</v>
      </c>
      <c r="AO109" s="194">
        <v>12.533747641743579</v>
      </c>
      <c r="AP109" s="194">
        <v>9.875662895985668</v>
      </c>
    </row>
    <row r="110" spans="1:42" ht="12" customHeight="1">
      <c r="A110" s="189" t="s">
        <v>452</v>
      </c>
      <c r="B110" s="189"/>
      <c r="C110" s="189" t="s">
        <v>70</v>
      </c>
      <c r="D110" s="189" t="s">
        <v>755</v>
      </c>
      <c r="E110" s="189" t="s">
        <v>878</v>
      </c>
      <c r="F110" s="190" t="s">
        <v>716</v>
      </c>
      <c r="G110" s="189" t="s">
        <v>694</v>
      </c>
      <c r="H110" s="197"/>
      <c r="I110" s="195"/>
      <c r="J110" s="195"/>
      <c r="K110" s="192">
        <v>11180909.009999998</v>
      </c>
      <c r="L110" s="192">
        <v>6226741.7699999996</v>
      </c>
      <c r="M110" s="192">
        <v>37034034.109999992</v>
      </c>
      <c r="N110" s="192">
        <v>27138694.560000006</v>
      </c>
      <c r="O110" s="192">
        <v>380259.72</v>
      </c>
      <c r="P110" s="192">
        <v>12182695.830000004</v>
      </c>
      <c r="Q110" s="192">
        <v>1026504.8099999998</v>
      </c>
      <c r="R110" s="192">
        <v>94143334.999999985</v>
      </c>
      <c r="S110" s="192">
        <v>10642223.369999999</v>
      </c>
      <c r="T110" s="192">
        <v>6892147.1800000016</v>
      </c>
      <c r="U110" s="192">
        <v>32000941.609999996</v>
      </c>
      <c r="V110" s="192">
        <v>25503367.66</v>
      </c>
      <c r="W110" s="192">
        <v>437006.3</v>
      </c>
      <c r="X110" s="192">
        <v>11306528.68</v>
      </c>
      <c r="Y110" s="192">
        <v>996079.29000000027</v>
      </c>
      <c r="Z110" s="192">
        <v>86782214.799999982</v>
      </c>
      <c r="AA110" s="193">
        <v>538685.63999999873</v>
      </c>
      <c r="AB110" s="193">
        <v>-665405.41000000201</v>
      </c>
      <c r="AC110" s="193">
        <v>5033092.4999999963</v>
      </c>
      <c r="AD110" s="193">
        <v>1635326.900000006</v>
      </c>
      <c r="AE110" s="193">
        <v>-56746.580000000016</v>
      </c>
      <c r="AF110" s="193">
        <v>876167.1500000041</v>
      </c>
      <c r="AG110" s="193">
        <v>30425.519999999553</v>
      </c>
      <c r="AH110" s="193">
        <v>7361120.200000003</v>
      </c>
      <c r="AI110" s="194">
        <v>5.061777236498644</v>
      </c>
      <c r="AJ110" s="194">
        <v>-9.6545444057101797</v>
      </c>
      <c r="AK110" s="194">
        <v>15.727951262619102</v>
      </c>
      <c r="AL110" s="194">
        <v>6.4121998388663224</v>
      </c>
      <c r="AM110" s="194">
        <v>-12.985300211919146</v>
      </c>
      <c r="AN110" s="194">
        <v>7.7492144122877162</v>
      </c>
      <c r="AO110" s="194">
        <v>3.0545279181539398</v>
      </c>
      <c r="AP110" s="194">
        <v>8.4822912355539515</v>
      </c>
    </row>
    <row r="111" spans="1:42" ht="12" customHeight="1">
      <c r="A111" s="189" t="s">
        <v>778</v>
      </c>
      <c r="B111" s="189"/>
      <c r="C111" s="189" t="s">
        <v>65</v>
      </c>
      <c r="D111" s="189" t="s">
        <v>755</v>
      </c>
      <c r="E111" s="189" t="s">
        <v>878</v>
      </c>
      <c r="F111" s="190" t="s">
        <v>716</v>
      </c>
      <c r="G111" s="189" t="s">
        <v>694</v>
      </c>
      <c r="H111" s="197"/>
      <c r="I111" s="195"/>
      <c r="J111" s="195"/>
      <c r="K111" s="192">
        <v>10663540.170000002</v>
      </c>
      <c r="L111" s="192">
        <v>4980100.93</v>
      </c>
      <c r="M111" s="192">
        <v>33560681.630000003</v>
      </c>
      <c r="N111" s="192">
        <v>23974598.98</v>
      </c>
      <c r="O111" s="192">
        <v>136003.65999999997</v>
      </c>
      <c r="P111" s="192">
        <v>11047868.359999999</v>
      </c>
      <c r="Q111" s="192">
        <v>855286.39</v>
      </c>
      <c r="R111" s="192">
        <v>84362793.730000004</v>
      </c>
      <c r="S111" s="192">
        <v>10156224.98</v>
      </c>
      <c r="T111" s="192">
        <v>5734328.3900000006</v>
      </c>
      <c r="U111" s="192">
        <v>29033641.600000001</v>
      </c>
      <c r="V111" s="192">
        <v>22783831.190000005</v>
      </c>
      <c r="W111" s="192">
        <v>177446.61000000002</v>
      </c>
      <c r="X111" s="192">
        <v>10230900.32</v>
      </c>
      <c r="Y111" s="192">
        <v>755977.40000000014</v>
      </c>
      <c r="Z111" s="192">
        <v>78116373.090000004</v>
      </c>
      <c r="AA111" s="193">
        <v>507315.19000000134</v>
      </c>
      <c r="AB111" s="193">
        <v>-754227.46000000089</v>
      </c>
      <c r="AC111" s="193">
        <v>4527040.0300000012</v>
      </c>
      <c r="AD111" s="193">
        <v>1190767.7899999954</v>
      </c>
      <c r="AE111" s="193">
        <v>-41442.950000000041</v>
      </c>
      <c r="AF111" s="193">
        <v>816968.03999999911</v>
      </c>
      <c r="AG111" s="193">
        <v>99308.989999999874</v>
      </c>
      <c r="AH111" s="193">
        <v>6246420.6400000006</v>
      </c>
      <c r="AI111" s="194">
        <v>4.9951157147367695</v>
      </c>
      <c r="AJ111" s="194">
        <v>-13.152847355503489</v>
      </c>
      <c r="AK111" s="194">
        <v>15.592394823803298</v>
      </c>
      <c r="AL111" s="194">
        <v>5.226372070921208</v>
      </c>
      <c r="AM111" s="194">
        <v>-23.355165815791036</v>
      </c>
      <c r="AN111" s="194">
        <v>7.9852995772321149</v>
      </c>
      <c r="AO111" s="194">
        <v>13.136502493328486</v>
      </c>
      <c r="AP111" s="194">
        <v>7.9963014063688398</v>
      </c>
    </row>
    <row r="112" spans="1:42" ht="12" customHeight="1">
      <c r="A112" s="189" t="s">
        <v>453</v>
      </c>
      <c r="B112" s="189"/>
      <c r="C112" s="189" t="s">
        <v>71</v>
      </c>
      <c r="D112" s="189" t="s">
        <v>755</v>
      </c>
      <c r="E112" s="189" t="s">
        <v>882</v>
      </c>
      <c r="F112" s="190" t="s">
        <v>716</v>
      </c>
      <c r="G112" s="189" t="s">
        <v>694</v>
      </c>
      <c r="H112" s="197"/>
      <c r="I112" s="195"/>
      <c r="J112" s="195"/>
      <c r="K112" s="192">
        <v>33621850.950000003</v>
      </c>
      <c r="L112" s="192">
        <v>22874671.450000003</v>
      </c>
      <c r="M112" s="192">
        <v>109086127.64999998</v>
      </c>
      <c r="N112" s="192">
        <v>86667841.610000014</v>
      </c>
      <c r="O112" s="192">
        <v>1539419.6</v>
      </c>
      <c r="P112" s="192">
        <v>36827552.269999988</v>
      </c>
      <c r="Q112" s="192">
        <v>1784031.0299999998</v>
      </c>
      <c r="R112" s="192">
        <v>290617463.52999997</v>
      </c>
      <c r="S112" s="192">
        <v>33332105.289999999</v>
      </c>
      <c r="T112" s="192">
        <v>26732627.820000004</v>
      </c>
      <c r="U112" s="192">
        <v>96739477.560000002</v>
      </c>
      <c r="V112" s="192">
        <v>82591130.450000003</v>
      </c>
      <c r="W112" s="192">
        <v>1256025.8999999999</v>
      </c>
      <c r="X112" s="192">
        <v>35185924.219999999</v>
      </c>
      <c r="Y112" s="192">
        <v>1759261.31</v>
      </c>
      <c r="Z112" s="192">
        <v>275837291.24000001</v>
      </c>
      <c r="AA112" s="193">
        <v>289745.66000000387</v>
      </c>
      <c r="AB112" s="193">
        <v>-3857956.370000001</v>
      </c>
      <c r="AC112" s="193">
        <v>12346650.089999974</v>
      </c>
      <c r="AD112" s="193">
        <v>4076711.1600000113</v>
      </c>
      <c r="AE112" s="193">
        <v>283393.70000000019</v>
      </c>
      <c r="AF112" s="193">
        <v>1641628.0499999896</v>
      </c>
      <c r="AG112" s="193">
        <v>24769.719999999739</v>
      </c>
      <c r="AH112" s="193">
        <v>14780172.289999962</v>
      </c>
      <c r="AI112" s="194">
        <v>0.86926900500020554</v>
      </c>
      <c r="AJ112" s="194">
        <v>-14.431639104007848</v>
      </c>
      <c r="AK112" s="194">
        <v>12.762783510322665</v>
      </c>
      <c r="AL112" s="194">
        <v>4.9360156929538812</v>
      </c>
      <c r="AM112" s="194">
        <v>22.562727408726222</v>
      </c>
      <c r="AN112" s="194">
        <v>4.6655817244865014</v>
      </c>
      <c r="AO112" s="194">
        <v>1.4079613903405708</v>
      </c>
      <c r="AP112" s="194">
        <v>5.3582937330761622</v>
      </c>
    </row>
    <row r="113" spans="1:42" ht="12" customHeight="1">
      <c r="A113" s="189" t="s">
        <v>454</v>
      </c>
      <c r="B113" s="189"/>
      <c r="C113" s="189" t="s">
        <v>72</v>
      </c>
      <c r="D113" s="189" t="s">
        <v>755</v>
      </c>
      <c r="E113" s="189" t="s">
        <v>878</v>
      </c>
      <c r="F113" s="190" t="s">
        <v>716</v>
      </c>
      <c r="G113" s="189" t="s">
        <v>694</v>
      </c>
      <c r="H113" s="197"/>
      <c r="I113" s="195"/>
      <c r="J113" s="195"/>
      <c r="K113" s="192">
        <v>7344786.3699999992</v>
      </c>
      <c r="L113" s="192">
        <v>4155842.95</v>
      </c>
      <c r="M113" s="192">
        <v>24403545.879999995</v>
      </c>
      <c r="N113" s="192">
        <v>20425697.729999997</v>
      </c>
      <c r="O113" s="192">
        <v>217633.19</v>
      </c>
      <c r="P113" s="192">
        <v>8509218.3100000005</v>
      </c>
      <c r="Q113" s="192">
        <v>1307312.71</v>
      </c>
      <c r="R113" s="192">
        <v>65056724.429999992</v>
      </c>
      <c r="S113" s="192">
        <v>7040832.1499999994</v>
      </c>
      <c r="T113" s="192">
        <v>4295813.7400000012</v>
      </c>
      <c r="U113" s="192">
        <v>21306978.550000001</v>
      </c>
      <c r="V113" s="192">
        <v>19492027.780000001</v>
      </c>
      <c r="W113" s="192">
        <v>318956.84000000003</v>
      </c>
      <c r="X113" s="192">
        <v>7994119.2999999998</v>
      </c>
      <c r="Y113" s="192">
        <v>1306767.26</v>
      </c>
      <c r="Z113" s="192">
        <v>60448728.359999999</v>
      </c>
      <c r="AA113" s="193">
        <v>303954.21999999974</v>
      </c>
      <c r="AB113" s="193">
        <v>-139970.79000000097</v>
      </c>
      <c r="AC113" s="193">
        <v>3096567.3299999945</v>
      </c>
      <c r="AD113" s="193">
        <v>933669.94999999553</v>
      </c>
      <c r="AE113" s="193">
        <v>-101323.65000000002</v>
      </c>
      <c r="AF113" s="193">
        <v>515099.01000000071</v>
      </c>
      <c r="AG113" s="193">
        <v>545.44999999995343</v>
      </c>
      <c r="AH113" s="193">
        <v>4607996.0699999928</v>
      </c>
      <c r="AI113" s="194">
        <v>4.3170212486886195</v>
      </c>
      <c r="AJ113" s="194">
        <v>-3.2583067719318981</v>
      </c>
      <c r="AK113" s="194">
        <v>14.533113283675759</v>
      </c>
      <c r="AL113" s="194">
        <v>4.7900093337543739</v>
      </c>
      <c r="AM113" s="194">
        <v>-31.76719771866313</v>
      </c>
      <c r="AN113" s="194">
        <v>6.4434741422985855</v>
      </c>
      <c r="AO113" s="194">
        <v>4.1740409076360958E-2</v>
      </c>
      <c r="AP113" s="194">
        <v>7.6229826416814843</v>
      </c>
    </row>
    <row r="114" spans="1:42" ht="12" customHeight="1">
      <c r="A114" s="189" t="s">
        <v>455</v>
      </c>
      <c r="B114" s="189"/>
      <c r="C114" s="189" t="s">
        <v>73</v>
      </c>
      <c r="D114" s="189" t="s">
        <v>755</v>
      </c>
      <c r="E114" s="189" t="s">
        <v>882</v>
      </c>
      <c r="F114" s="190" t="s">
        <v>716</v>
      </c>
      <c r="G114" s="189" t="s">
        <v>694</v>
      </c>
      <c r="H114" s="197"/>
      <c r="I114" s="195"/>
      <c r="J114" s="195"/>
      <c r="K114" s="192">
        <v>27549146.84</v>
      </c>
      <c r="L114" s="192">
        <v>15770473.99</v>
      </c>
      <c r="M114" s="192">
        <v>84210211.890000001</v>
      </c>
      <c r="N114" s="192">
        <v>69410699.549999982</v>
      </c>
      <c r="O114" s="192">
        <v>736938.60000000009</v>
      </c>
      <c r="P114" s="192">
        <v>28548022.73</v>
      </c>
      <c r="Q114" s="192">
        <v>4372504.59</v>
      </c>
      <c r="R114" s="192">
        <v>226225493.59999996</v>
      </c>
      <c r="S114" s="192">
        <v>27813632.579999998</v>
      </c>
      <c r="T114" s="192">
        <v>17191566.109999999</v>
      </c>
      <c r="U114" s="192">
        <v>73629578.089999974</v>
      </c>
      <c r="V114" s="192">
        <v>66412518.000000007</v>
      </c>
      <c r="W114" s="192">
        <v>831820.18</v>
      </c>
      <c r="X114" s="192">
        <v>27190618.860000003</v>
      </c>
      <c r="Y114" s="192">
        <v>4232423.24</v>
      </c>
      <c r="Z114" s="192">
        <v>213069733.81999999</v>
      </c>
      <c r="AA114" s="193">
        <v>-264485.73999999836</v>
      </c>
      <c r="AB114" s="193">
        <v>-1421092.1199999992</v>
      </c>
      <c r="AC114" s="193">
        <v>10580633.800000027</v>
      </c>
      <c r="AD114" s="193">
        <v>2998181.5499999747</v>
      </c>
      <c r="AE114" s="193">
        <v>-94881.579999999958</v>
      </c>
      <c r="AF114" s="193">
        <v>1357403.8699999973</v>
      </c>
      <c r="AG114" s="193">
        <v>140081.34999999963</v>
      </c>
      <c r="AH114" s="193">
        <v>13155759.779999971</v>
      </c>
      <c r="AI114" s="194">
        <v>-0.95092124065154526</v>
      </c>
      <c r="AJ114" s="194">
        <v>-8.2662167652857264</v>
      </c>
      <c r="AK114" s="194">
        <v>14.370086145362606</v>
      </c>
      <c r="AL114" s="194">
        <v>4.5144825708911904</v>
      </c>
      <c r="AM114" s="194">
        <v>-11.406501342633927</v>
      </c>
      <c r="AN114" s="194">
        <v>4.9921771806263227</v>
      </c>
      <c r="AO114" s="194">
        <v>3.309719800139828</v>
      </c>
      <c r="AP114" s="194">
        <v>6.1743916154294709</v>
      </c>
    </row>
    <row r="115" spans="1:42" ht="12" customHeight="1">
      <c r="A115" s="189" t="s">
        <v>456</v>
      </c>
      <c r="B115" s="189"/>
      <c r="C115" s="189" t="s">
        <v>74</v>
      </c>
      <c r="D115" s="189" t="s">
        <v>755</v>
      </c>
      <c r="E115" s="189" t="s">
        <v>878</v>
      </c>
      <c r="F115" s="190" t="s">
        <v>716</v>
      </c>
      <c r="G115" s="189" t="s">
        <v>694</v>
      </c>
      <c r="H115" s="279"/>
      <c r="I115" s="195"/>
      <c r="J115" s="195"/>
      <c r="K115" s="192">
        <v>12546930.220000003</v>
      </c>
      <c r="L115" s="192">
        <v>5648889.2600000007</v>
      </c>
      <c r="M115" s="192">
        <v>35839597.200000003</v>
      </c>
      <c r="N115" s="192">
        <v>29340402.529999997</v>
      </c>
      <c r="O115" s="192">
        <v>329184.42</v>
      </c>
      <c r="P115" s="192">
        <v>12462465.569999998</v>
      </c>
      <c r="Q115" s="192">
        <v>555822.34000000008</v>
      </c>
      <c r="R115" s="192">
        <v>96167469.200000003</v>
      </c>
      <c r="S115" s="192">
        <v>13293976.68</v>
      </c>
      <c r="T115" s="192">
        <v>5273257.62</v>
      </c>
      <c r="U115" s="192">
        <v>32292673.079999998</v>
      </c>
      <c r="V115" s="192">
        <v>28388675.760000005</v>
      </c>
      <c r="W115" s="192">
        <v>378172.07</v>
      </c>
      <c r="X115" s="192">
        <v>11968483.459999999</v>
      </c>
      <c r="Y115" s="192">
        <v>542433.37</v>
      </c>
      <c r="Z115" s="192">
        <v>91595238.669999987</v>
      </c>
      <c r="AA115" s="193">
        <v>-747046.45999999717</v>
      </c>
      <c r="AB115" s="193">
        <v>375631.6400000006</v>
      </c>
      <c r="AC115" s="193">
        <v>3546924.1200000048</v>
      </c>
      <c r="AD115" s="193">
        <v>951726.7699999921</v>
      </c>
      <c r="AE115" s="193">
        <v>-48987.650000000023</v>
      </c>
      <c r="AF115" s="193">
        <v>493982.1099999994</v>
      </c>
      <c r="AG115" s="193">
        <v>13388.970000000088</v>
      </c>
      <c r="AH115" s="193">
        <v>4572230.5300000161</v>
      </c>
      <c r="AI115" s="194">
        <v>-5.619435613452552</v>
      </c>
      <c r="AJ115" s="194">
        <v>7.1233318580024267</v>
      </c>
      <c r="AK115" s="194">
        <v>10.983680760069197</v>
      </c>
      <c r="AL115" s="194">
        <v>3.3524873722394153</v>
      </c>
      <c r="AM115" s="194">
        <v>-12.953799047084576</v>
      </c>
      <c r="AN115" s="194">
        <v>4.1273575858707785</v>
      </c>
      <c r="AO115" s="194">
        <v>2.468316062487101</v>
      </c>
      <c r="AP115" s="194">
        <v>4.9917775163760236</v>
      </c>
    </row>
    <row r="116" spans="1:42" ht="12" customHeight="1">
      <c r="A116" s="189" t="s">
        <v>457</v>
      </c>
      <c r="B116" s="189"/>
      <c r="C116" s="189" t="s">
        <v>75</v>
      </c>
      <c r="D116" s="189" t="s">
        <v>755</v>
      </c>
      <c r="E116" s="189" t="s">
        <v>882</v>
      </c>
      <c r="F116" s="190" t="s">
        <v>716</v>
      </c>
      <c r="G116" s="189" t="s">
        <v>694</v>
      </c>
      <c r="H116" s="197"/>
      <c r="I116" s="195"/>
      <c r="J116" s="195"/>
      <c r="K116" s="192">
        <v>10222315.510000002</v>
      </c>
      <c r="L116" s="192">
        <v>5968763.6300000008</v>
      </c>
      <c r="M116" s="192">
        <v>32445032.470000006</v>
      </c>
      <c r="N116" s="192">
        <v>23372445.690000001</v>
      </c>
      <c r="O116" s="192">
        <v>459769.02999999997</v>
      </c>
      <c r="P116" s="192">
        <v>10678062.119999999</v>
      </c>
      <c r="Q116" s="192">
        <v>1076871.5799999998</v>
      </c>
      <c r="R116" s="192">
        <v>83146388.450000018</v>
      </c>
      <c r="S116" s="192">
        <v>10006420.369999999</v>
      </c>
      <c r="T116" s="192">
        <v>6291044.6900000004</v>
      </c>
      <c r="U116" s="192">
        <v>28588017.679999992</v>
      </c>
      <c r="V116" s="192">
        <v>22087930.25</v>
      </c>
      <c r="W116" s="192">
        <v>408803</v>
      </c>
      <c r="X116" s="192">
        <v>10193253.100000001</v>
      </c>
      <c r="Y116" s="192">
        <v>992362.46000000008</v>
      </c>
      <c r="Z116" s="192">
        <v>77575469.090000004</v>
      </c>
      <c r="AA116" s="193">
        <v>215895.14000000246</v>
      </c>
      <c r="AB116" s="193">
        <v>-322281.05999999959</v>
      </c>
      <c r="AC116" s="193">
        <v>3857014.790000014</v>
      </c>
      <c r="AD116" s="193">
        <v>1284515.4400000013</v>
      </c>
      <c r="AE116" s="193">
        <v>50966.02999999997</v>
      </c>
      <c r="AF116" s="193">
        <v>484809.01999999769</v>
      </c>
      <c r="AG116" s="193">
        <v>84509.119999999763</v>
      </c>
      <c r="AH116" s="193">
        <v>5570919.3600000143</v>
      </c>
      <c r="AI116" s="194">
        <v>2.1575661626936271</v>
      </c>
      <c r="AJ116" s="194">
        <v>-5.1228544046473719</v>
      </c>
      <c r="AK116" s="194">
        <v>13.49171821975736</v>
      </c>
      <c r="AL116" s="194">
        <v>5.8154631305936935</v>
      </c>
      <c r="AM116" s="194">
        <v>12.467136982849922</v>
      </c>
      <c r="AN116" s="194">
        <v>4.7561756315066646</v>
      </c>
      <c r="AO116" s="194">
        <v>8.5159529311497497</v>
      </c>
      <c r="AP116" s="194">
        <v>7.1812899430061501</v>
      </c>
    </row>
    <row r="117" spans="1:42" ht="12" customHeight="1">
      <c r="A117" s="189" t="s">
        <v>458</v>
      </c>
      <c r="B117" s="189"/>
      <c r="C117" s="189" t="s">
        <v>77</v>
      </c>
      <c r="D117" s="189" t="s">
        <v>755</v>
      </c>
      <c r="E117" s="189" t="s">
        <v>878</v>
      </c>
      <c r="F117" s="190" t="s">
        <v>716</v>
      </c>
      <c r="G117" s="189" t="s">
        <v>694</v>
      </c>
      <c r="H117" s="197"/>
      <c r="I117" s="195"/>
      <c r="J117" s="195"/>
      <c r="K117" s="192">
        <v>14972200.029999999</v>
      </c>
      <c r="L117" s="192">
        <v>8493167.0700000003</v>
      </c>
      <c r="M117" s="192">
        <v>53528115.029999994</v>
      </c>
      <c r="N117" s="192">
        <v>38301864.570000008</v>
      </c>
      <c r="O117" s="192">
        <v>419991.76</v>
      </c>
      <c r="P117" s="192">
        <v>17722888.639999997</v>
      </c>
      <c r="Q117" s="192">
        <v>1850893.6899999997</v>
      </c>
      <c r="R117" s="192">
        <v>133438227.10000001</v>
      </c>
      <c r="S117" s="192">
        <v>14593807.129999999</v>
      </c>
      <c r="T117" s="192">
        <v>8344875.0599999977</v>
      </c>
      <c r="U117" s="192">
        <v>45081838.930000015</v>
      </c>
      <c r="V117" s="192">
        <v>35495783.699999988</v>
      </c>
      <c r="W117" s="192">
        <v>447195.38999999996</v>
      </c>
      <c r="X117" s="192">
        <v>16072375.180000002</v>
      </c>
      <c r="Y117" s="192">
        <v>1747039.83</v>
      </c>
      <c r="Z117" s="192">
        <v>120035875.39</v>
      </c>
      <c r="AA117" s="193">
        <v>378392.90000000037</v>
      </c>
      <c r="AB117" s="193">
        <v>148292.01000000257</v>
      </c>
      <c r="AC117" s="193">
        <v>8446276.0999999791</v>
      </c>
      <c r="AD117" s="193">
        <v>2806080.8700000197</v>
      </c>
      <c r="AE117" s="193">
        <v>-27203.629999999946</v>
      </c>
      <c r="AF117" s="193">
        <v>1650513.4599999953</v>
      </c>
      <c r="AG117" s="193">
        <v>103853.85999999964</v>
      </c>
      <c r="AH117" s="193">
        <v>13402351.710000008</v>
      </c>
      <c r="AI117" s="194">
        <v>2.5928319911954354</v>
      </c>
      <c r="AJ117" s="194">
        <v>1.7770429027849655</v>
      </c>
      <c r="AK117" s="194">
        <v>18.735429389015778</v>
      </c>
      <c r="AL117" s="194">
        <v>7.9053920705518061</v>
      </c>
      <c r="AM117" s="194">
        <v>-6.0831642293986858</v>
      </c>
      <c r="AN117" s="194">
        <v>10.269256668758246</v>
      </c>
      <c r="AO117" s="194">
        <v>5.9445616646301431</v>
      </c>
      <c r="AP117" s="194">
        <v>11.165288432691796</v>
      </c>
    </row>
    <row r="118" spans="1:42" ht="12" customHeight="1">
      <c r="A118" s="189" t="s">
        <v>459</v>
      </c>
      <c r="B118" s="189"/>
      <c r="C118" s="189" t="s">
        <v>78</v>
      </c>
      <c r="D118" s="189" t="s">
        <v>755</v>
      </c>
      <c r="E118" s="189" t="s">
        <v>882</v>
      </c>
      <c r="F118" s="190" t="s">
        <v>718</v>
      </c>
      <c r="G118" s="189" t="s">
        <v>688</v>
      </c>
      <c r="H118" s="197"/>
      <c r="I118" s="195"/>
      <c r="J118" s="195"/>
      <c r="K118" s="192">
        <v>22628156.160000004</v>
      </c>
      <c r="L118" s="192">
        <v>14320803.75</v>
      </c>
      <c r="M118" s="192">
        <v>73558226.630000025</v>
      </c>
      <c r="N118" s="192">
        <v>64194551.090000004</v>
      </c>
      <c r="O118" s="192">
        <v>961744.51</v>
      </c>
      <c r="P118" s="192">
        <v>24346494.27</v>
      </c>
      <c r="Q118" s="192">
        <v>3633247.77</v>
      </c>
      <c r="R118" s="192">
        <v>200009976.41000003</v>
      </c>
      <c r="S118" s="192">
        <v>20549659.850000001</v>
      </c>
      <c r="T118" s="192">
        <v>14801208.32</v>
      </c>
      <c r="U118" s="192">
        <v>65958565.600000009</v>
      </c>
      <c r="V118" s="192">
        <v>63251465.590000004</v>
      </c>
      <c r="W118" s="192">
        <v>1559900.21</v>
      </c>
      <c r="X118" s="192">
        <v>23478728.77</v>
      </c>
      <c r="Y118" s="192">
        <v>3296360.3399999994</v>
      </c>
      <c r="Z118" s="192">
        <v>189599528.34000003</v>
      </c>
      <c r="AA118" s="193">
        <v>2078496.3100000024</v>
      </c>
      <c r="AB118" s="193">
        <v>-480404.5700000003</v>
      </c>
      <c r="AC118" s="193">
        <v>7599661.0300000161</v>
      </c>
      <c r="AD118" s="193">
        <v>943085.5</v>
      </c>
      <c r="AE118" s="193">
        <v>-598155.69999999995</v>
      </c>
      <c r="AF118" s="193">
        <v>867765.5</v>
      </c>
      <c r="AG118" s="193">
        <v>336887.43000000063</v>
      </c>
      <c r="AH118" s="193">
        <v>10410448.069999993</v>
      </c>
      <c r="AI118" s="194">
        <v>10.114504693370884</v>
      </c>
      <c r="AJ118" s="194">
        <v>-3.2457118338835751</v>
      </c>
      <c r="AK118" s="194">
        <v>11.521871285205776</v>
      </c>
      <c r="AL118" s="194">
        <v>1.4910097200168291</v>
      </c>
      <c r="AM118" s="194">
        <v>-38.345767002621272</v>
      </c>
      <c r="AN118" s="194">
        <v>3.695964583520337</v>
      </c>
      <c r="AO118" s="194">
        <v>10.219981896760737</v>
      </c>
      <c r="AP118" s="194">
        <v>5.4907563120786982</v>
      </c>
    </row>
    <row r="119" spans="1:42" ht="12" customHeight="1">
      <c r="A119" s="189" t="s">
        <v>460</v>
      </c>
      <c r="B119" s="189"/>
      <c r="C119" s="189" t="s">
        <v>79</v>
      </c>
      <c r="D119" s="189" t="s">
        <v>755</v>
      </c>
      <c r="E119" s="189" t="s">
        <v>883</v>
      </c>
      <c r="F119" s="190" t="s">
        <v>718</v>
      </c>
      <c r="G119" s="189" t="s">
        <v>688</v>
      </c>
      <c r="H119" s="197"/>
      <c r="I119" s="195"/>
      <c r="J119" s="195"/>
      <c r="K119" s="192">
        <v>13789151.030000001</v>
      </c>
      <c r="L119" s="192">
        <v>8751978.9900000021</v>
      </c>
      <c r="M119" s="192">
        <v>50326781.139999993</v>
      </c>
      <c r="N119" s="192">
        <v>32950419.510000002</v>
      </c>
      <c r="O119" s="192">
        <v>794567.32000000007</v>
      </c>
      <c r="P119" s="192">
        <v>15773061.850000003</v>
      </c>
      <c r="Q119" s="192">
        <v>2301066.6700000004</v>
      </c>
      <c r="R119" s="192">
        <v>122385959.84</v>
      </c>
      <c r="S119" s="192">
        <v>12856402.490000002</v>
      </c>
      <c r="T119" s="192">
        <v>9745533.8300000001</v>
      </c>
      <c r="U119" s="192">
        <v>43725223.059999995</v>
      </c>
      <c r="V119" s="192">
        <v>32078937.050000004</v>
      </c>
      <c r="W119" s="192">
        <v>781425.12</v>
      </c>
      <c r="X119" s="192">
        <v>14990479.209999999</v>
      </c>
      <c r="Y119" s="192">
        <v>2126763.98</v>
      </c>
      <c r="Z119" s="192">
        <v>114178000.76000001</v>
      </c>
      <c r="AA119" s="193">
        <v>932748.53999999911</v>
      </c>
      <c r="AB119" s="193">
        <v>-993554.83999999799</v>
      </c>
      <c r="AC119" s="193">
        <v>6601558.0799999982</v>
      </c>
      <c r="AD119" s="193">
        <v>871482.45999999717</v>
      </c>
      <c r="AE119" s="193">
        <v>13142.20000000007</v>
      </c>
      <c r="AF119" s="193">
        <v>782582.64000000432</v>
      </c>
      <c r="AG119" s="193">
        <v>174302.69000000041</v>
      </c>
      <c r="AH119" s="193">
        <v>8207959.0799999982</v>
      </c>
      <c r="AI119" s="194">
        <v>7.2551286468007818</v>
      </c>
      <c r="AJ119" s="194">
        <v>-10.19497605089118</v>
      </c>
      <c r="AK119" s="194">
        <v>15.097825964069534</v>
      </c>
      <c r="AL119" s="194">
        <v>2.7166812249472492</v>
      </c>
      <c r="AM119" s="194">
        <v>1.6818246129584455</v>
      </c>
      <c r="AN119" s="194">
        <v>5.2205311720652086</v>
      </c>
      <c r="AO119" s="194">
        <v>8.1956762310785614</v>
      </c>
      <c r="AP119" s="194">
        <v>7.1887395342058698</v>
      </c>
    </row>
    <row r="120" spans="1:42" ht="12" customHeight="1">
      <c r="A120" s="189" t="s">
        <v>461</v>
      </c>
      <c r="B120" s="189"/>
      <c r="C120" s="189" t="s">
        <v>80</v>
      </c>
      <c r="D120" s="189" t="s">
        <v>755</v>
      </c>
      <c r="E120" s="189" t="s">
        <v>878</v>
      </c>
      <c r="F120" s="190" t="s">
        <v>718</v>
      </c>
      <c r="G120" s="189" t="s">
        <v>688</v>
      </c>
      <c r="H120" s="197"/>
      <c r="I120" s="195"/>
      <c r="J120" s="195"/>
      <c r="K120" s="192">
        <v>8668786.8099999987</v>
      </c>
      <c r="L120" s="192">
        <v>4297145.4700000007</v>
      </c>
      <c r="M120" s="192">
        <v>28291354.070000004</v>
      </c>
      <c r="N120" s="192">
        <v>22283851.600000001</v>
      </c>
      <c r="O120" s="192">
        <v>234558.32999999996</v>
      </c>
      <c r="P120" s="192">
        <v>9277973.2899999991</v>
      </c>
      <c r="Q120" s="192">
        <v>1115897.1900000002</v>
      </c>
      <c r="R120" s="192">
        <v>73053669.569999993</v>
      </c>
      <c r="S120" s="192">
        <v>7803655.6899999985</v>
      </c>
      <c r="T120" s="192">
        <v>3902493.4100000006</v>
      </c>
      <c r="U120" s="192">
        <v>25287585.04999999</v>
      </c>
      <c r="V120" s="192">
        <v>22049640.120000005</v>
      </c>
      <c r="W120" s="192">
        <v>266051.85000000003</v>
      </c>
      <c r="X120" s="192">
        <v>8817556.6199999992</v>
      </c>
      <c r="Y120" s="192">
        <v>963575.65000000014</v>
      </c>
      <c r="Z120" s="192">
        <v>68126982.739999995</v>
      </c>
      <c r="AA120" s="193">
        <v>865131.12000000011</v>
      </c>
      <c r="AB120" s="193">
        <v>394652.06000000006</v>
      </c>
      <c r="AC120" s="193">
        <v>3003769.0200000145</v>
      </c>
      <c r="AD120" s="193">
        <v>234211.47999999672</v>
      </c>
      <c r="AE120" s="193">
        <v>-31493.520000000077</v>
      </c>
      <c r="AF120" s="193">
        <v>460416.66999999993</v>
      </c>
      <c r="AG120" s="193">
        <v>152321.54000000004</v>
      </c>
      <c r="AH120" s="193">
        <v>4926686.8299999982</v>
      </c>
      <c r="AI120" s="194">
        <v>11.086228741596367</v>
      </c>
      <c r="AJ120" s="194">
        <v>10.112818102106672</v>
      </c>
      <c r="AK120" s="194">
        <v>11.878433682223111</v>
      </c>
      <c r="AL120" s="194">
        <v>1.0622009190415607</v>
      </c>
      <c r="AM120" s="194">
        <v>-11.837361777412964</v>
      </c>
      <c r="AN120" s="194">
        <v>5.2215901733557564</v>
      </c>
      <c r="AO120" s="194">
        <v>15.807948239455824</v>
      </c>
      <c r="AP120" s="194">
        <v>7.2316234065468885</v>
      </c>
    </row>
    <row r="121" spans="1:42" ht="12" customHeight="1">
      <c r="A121" s="189" t="s">
        <v>779</v>
      </c>
      <c r="B121" s="189"/>
      <c r="C121" s="189" t="s">
        <v>89</v>
      </c>
      <c r="D121" s="189" t="s">
        <v>755</v>
      </c>
      <c r="E121" s="189" t="s">
        <v>878</v>
      </c>
      <c r="F121" s="190" t="s">
        <v>718</v>
      </c>
      <c r="G121" s="189" t="s">
        <v>688</v>
      </c>
      <c r="H121" s="197"/>
      <c r="I121" s="195"/>
      <c r="J121" s="195"/>
      <c r="K121" s="192">
        <v>12852977.09</v>
      </c>
      <c r="L121" s="192">
        <v>5792948.0200000005</v>
      </c>
      <c r="M121" s="192">
        <v>40988430.469999991</v>
      </c>
      <c r="N121" s="192">
        <v>31873088.059999999</v>
      </c>
      <c r="O121" s="192">
        <v>393448.22000000003</v>
      </c>
      <c r="P121" s="192">
        <v>13613194.069999998</v>
      </c>
      <c r="Q121" s="192">
        <v>1336717.08</v>
      </c>
      <c r="R121" s="192">
        <v>105514085.92999998</v>
      </c>
      <c r="S121" s="192">
        <v>12385586.07</v>
      </c>
      <c r="T121" s="192">
        <v>7319802.1199999992</v>
      </c>
      <c r="U121" s="192">
        <v>35833705.629999988</v>
      </c>
      <c r="V121" s="192">
        <v>31330238.609999999</v>
      </c>
      <c r="W121" s="192">
        <v>744344.83</v>
      </c>
      <c r="X121" s="192">
        <v>12941658.59</v>
      </c>
      <c r="Y121" s="192">
        <v>1345813.8800000001</v>
      </c>
      <c r="Z121" s="192">
        <v>100555335.84999998</v>
      </c>
      <c r="AA121" s="193">
        <v>467391.01999999955</v>
      </c>
      <c r="AB121" s="193">
        <v>-1526854.0999999987</v>
      </c>
      <c r="AC121" s="193">
        <v>5154724.8400000036</v>
      </c>
      <c r="AD121" s="193">
        <v>542849.44999999925</v>
      </c>
      <c r="AE121" s="193">
        <v>-350896.60999999993</v>
      </c>
      <c r="AF121" s="193">
        <v>671535.47999999858</v>
      </c>
      <c r="AG121" s="193">
        <v>-9096.8000000000466</v>
      </c>
      <c r="AH121" s="193">
        <v>4958750.0799999982</v>
      </c>
      <c r="AI121" s="194">
        <v>3.7736689839175255</v>
      </c>
      <c r="AJ121" s="194">
        <v>-20.859226451329246</v>
      </c>
      <c r="AK121" s="194">
        <v>14.385129166447319</v>
      </c>
      <c r="AL121" s="194">
        <v>1.7326693765643151</v>
      </c>
      <c r="AM121" s="194">
        <v>-47.14167357083678</v>
      </c>
      <c r="AN121" s="194">
        <v>5.1889444875241342</v>
      </c>
      <c r="AO121" s="194">
        <v>-0.67593299008032559</v>
      </c>
      <c r="AP121" s="194">
        <v>4.9313644453408676</v>
      </c>
    </row>
    <row r="122" spans="1:42" ht="12" customHeight="1">
      <c r="A122" s="189" t="s">
        <v>462</v>
      </c>
      <c r="B122" s="189"/>
      <c r="C122" s="189" t="s">
        <v>82</v>
      </c>
      <c r="D122" s="189" t="s">
        <v>755</v>
      </c>
      <c r="E122" s="189" t="s">
        <v>882</v>
      </c>
      <c r="F122" s="190" t="s">
        <v>719</v>
      </c>
      <c r="G122" s="189" t="s">
        <v>684</v>
      </c>
      <c r="H122" s="197"/>
      <c r="I122" s="195"/>
      <c r="J122" s="195"/>
      <c r="K122" s="192">
        <v>80605396.599999994</v>
      </c>
      <c r="L122" s="192">
        <v>64825101.729999997</v>
      </c>
      <c r="M122" s="192">
        <v>305628503.51999998</v>
      </c>
      <c r="N122" s="192">
        <v>247269145.03999996</v>
      </c>
      <c r="O122" s="192">
        <v>3924501.21</v>
      </c>
      <c r="P122" s="192">
        <v>96913894.760000005</v>
      </c>
      <c r="Q122" s="192">
        <v>3411164.1800000006</v>
      </c>
      <c r="R122" s="192">
        <v>799166542.8599999</v>
      </c>
      <c r="S122" s="192">
        <v>79859189.840000004</v>
      </c>
      <c r="T122" s="192">
        <v>69602684.560000002</v>
      </c>
      <c r="U122" s="192">
        <v>264482713.67000011</v>
      </c>
      <c r="V122" s="192">
        <v>236516344.45999998</v>
      </c>
      <c r="W122" s="192">
        <v>4169275.27</v>
      </c>
      <c r="X122" s="192">
        <v>90857866.580000013</v>
      </c>
      <c r="Y122" s="192">
        <v>3254360.81</v>
      </c>
      <c r="Z122" s="192">
        <v>745488074.38000011</v>
      </c>
      <c r="AA122" s="193">
        <v>746206.75999999046</v>
      </c>
      <c r="AB122" s="193">
        <v>-4777582.8300000057</v>
      </c>
      <c r="AC122" s="193">
        <v>41145789.849999875</v>
      </c>
      <c r="AD122" s="193">
        <v>10752800.579999983</v>
      </c>
      <c r="AE122" s="193">
        <v>-244774.06000000006</v>
      </c>
      <c r="AF122" s="193">
        <v>6056028.1799999923</v>
      </c>
      <c r="AG122" s="193">
        <v>156803.37000000058</v>
      </c>
      <c r="AH122" s="193">
        <v>53678468.479999781</v>
      </c>
      <c r="AI122" s="194">
        <v>0.93440311815714061</v>
      </c>
      <c r="AJ122" s="194">
        <v>-6.864078390369496</v>
      </c>
      <c r="AK122" s="194">
        <v>15.557080944555878</v>
      </c>
      <c r="AL122" s="194">
        <v>4.5463245276135726</v>
      </c>
      <c r="AM122" s="194">
        <v>-5.8709018749918149</v>
      </c>
      <c r="AN122" s="194">
        <v>6.6653867275957683</v>
      </c>
      <c r="AO122" s="194">
        <v>4.8182540030034531</v>
      </c>
      <c r="AP122" s="194">
        <v>7.2004463015243454</v>
      </c>
    </row>
    <row r="123" spans="1:42" ht="12" customHeight="1">
      <c r="A123" s="189" t="s">
        <v>463</v>
      </c>
      <c r="B123" s="189"/>
      <c r="C123" s="189" t="s">
        <v>83</v>
      </c>
      <c r="D123" s="189" t="s">
        <v>756</v>
      </c>
      <c r="E123" s="189" t="s">
        <v>878</v>
      </c>
      <c r="F123" s="190" t="s">
        <v>718</v>
      </c>
      <c r="G123" s="189" t="s">
        <v>688</v>
      </c>
      <c r="H123" s="197"/>
      <c r="I123" s="195"/>
      <c r="J123" s="195"/>
      <c r="K123" s="192">
        <v>5535100</v>
      </c>
      <c r="L123" s="192">
        <v>1485559</v>
      </c>
      <c r="M123" s="192" t="s">
        <v>987</v>
      </c>
      <c r="N123" s="192">
        <v>13384180</v>
      </c>
      <c r="O123" s="192">
        <v>79262</v>
      </c>
      <c r="P123" s="192">
        <v>5458425</v>
      </c>
      <c r="Q123" s="192">
        <v>546277</v>
      </c>
      <c r="R123" s="192" t="s">
        <v>987</v>
      </c>
      <c r="S123" s="192">
        <v>5971023</v>
      </c>
      <c r="T123" s="192">
        <v>1843750</v>
      </c>
      <c r="U123" s="192">
        <v>16760496</v>
      </c>
      <c r="V123" s="192">
        <v>13115555</v>
      </c>
      <c r="W123" s="192">
        <v>129248</v>
      </c>
      <c r="X123" s="192">
        <v>5289925</v>
      </c>
      <c r="Y123" s="192">
        <v>508325</v>
      </c>
      <c r="Z123" s="192">
        <v>43109997</v>
      </c>
      <c r="AA123" s="193">
        <v>-435923</v>
      </c>
      <c r="AB123" s="193">
        <v>-358191</v>
      </c>
      <c r="AC123" s="193" t="s">
        <v>985</v>
      </c>
      <c r="AD123" s="193">
        <v>268625</v>
      </c>
      <c r="AE123" s="193">
        <v>-49986</v>
      </c>
      <c r="AF123" s="193">
        <v>168500</v>
      </c>
      <c r="AG123" s="193">
        <v>37952</v>
      </c>
      <c r="AH123" s="193" t="s">
        <v>985</v>
      </c>
      <c r="AI123" s="194">
        <v>-7.3006417828234786</v>
      </c>
      <c r="AJ123" s="194">
        <v>-19.427308474576272</v>
      </c>
      <c r="AK123" s="194" t="s">
        <v>985</v>
      </c>
      <c r="AL123" s="194">
        <v>2.0481405476169328</v>
      </c>
      <c r="AM123" s="194">
        <v>-38.674486258974994</v>
      </c>
      <c r="AN123" s="194">
        <v>3.1853003587007378</v>
      </c>
      <c r="AO123" s="194">
        <v>7.4660896080263601</v>
      </c>
      <c r="AP123" s="194" t="s">
        <v>985</v>
      </c>
    </row>
    <row r="124" spans="1:42" ht="12" customHeight="1">
      <c r="A124" s="189" t="s">
        <v>791</v>
      </c>
      <c r="B124" s="189"/>
      <c r="C124" s="189" t="s">
        <v>84</v>
      </c>
      <c r="D124" s="189" t="s">
        <v>755</v>
      </c>
      <c r="E124" s="189" t="s">
        <v>883</v>
      </c>
      <c r="F124" s="190" t="s">
        <v>719</v>
      </c>
      <c r="G124" s="189" t="s">
        <v>684</v>
      </c>
      <c r="H124" s="197"/>
      <c r="I124" s="195"/>
      <c r="J124" s="195"/>
      <c r="K124" s="192">
        <v>22627201.270000003</v>
      </c>
      <c r="L124" s="192">
        <v>16095704.309999999</v>
      </c>
      <c r="M124" s="192">
        <v>81119365.400000006</v>
      </c>
      <c r="N124" s="192">
        <v>55734391.430000007</v>
      </c>
      <c r="O124" s="192">
        <v>1436029.41</v>
      </c>
      <c r="P124" s="192">
        <v>25579095.279999994</v>
      </c>
      <c r="Q124" s="192">
        <v>2765337.0800000005</v>
      </c>
      <c r="R124" s="192">
        <v>202591787.10000002</v>
      </c>
      <c r="S124" s="192">
        <v>21712295.889999997</v>
      </c>
      <c r="T124" s="192">
        <v>16916762.829999998</v>
      </c>
      <c r="U124" s="192">
        <v>69166250.429999977</v>
      </c>
      <c r="V124" s="192">
        <v>53379862.670000002</v>
      </c>
      <c r="W124" s="192">
        <v>1382185.5200000003</v>
      </c>
      <c r="X124" s="192">
        <v>23983866.120000001</v>
      </c>
      <c r="Y124" s="192">
        <v>2439484.4699999997</v>
      </c>
      <c r="Z124" s="192">
        <v>186541223.46000001</v>
      </c>
      <c r="AA124" s="193">
        <v>914905.38000000641</v>
      </c>
      <c r="AB124" s="193">
        <v>-821058.51999999955</v>
      </c>
      <c r="AC124" s="193">
        <v>11953114.970000029</v>
      </c>
      <c r="AD124" s="193">
        <v>2354528.7600000054</v>
      </c>
      <c r="AE124" s="193">
        <v>53843.889999999665</v>
      </c>
      <c r="AF124" s="193">
        <v>1595229.1599999927</v>
      </c>
      <c r="AG124" s="193">
        <v>325852.6100000008</v>
      </c>
      <c r="AH124" s="193">
        <v>16050563.640000015</v>
      </c>
      <c r="AI124" s="194">
        <v>4.2137661748676853</v>
      </c>
      <c r="AJ124" s="194">
        <v>-4.8535203114862115</v>
      </c>
      <c r="AK124" s="194">
        <v>17.281716004104101</v>
      </c>
      <c r="AL124" s="194">
        <v>4.4108932511796688</v>
      </c>
      <c r="AM124" s="194">
        <v>3.8955617188060003</v>
      </c>
      <c r="AN124" s="194">
        <v>6.6512594425706064</v>
      </c>
      <c r="AO124" s="194">
        <v>13.357437360525637</v>
      </c>
      <c r="AP124" s="194">
        <v>8.6042984720970992</v>
      </c>
    </row>
    <row r="125" spans="1:42" ht="12" customHeight="1">
      <c r="A125" s="189" t="s">
        <v>464</v>
      </c>
      <c r="B125" s="189"/>
      <c r="C125" s="189" t="s">
        <v>85</v>
      </c>
      <c r="D125" s="189" t="s">
        <v>755</v>
      </c>
      <c r="E125" s="189" t="s">
        <v>879</v>
      </c>
      <c r="F125" s="190" t="s">
        <v>718</v>
      </c>
      <c r="G125" s="189" t="s">
        <v>688</v>
      </c>
      <c r="H125" s="197"/>
      <c r="I125" s="195"/>
      <c r="J125" s="195"/>
      <c r="K125" s="192">
        <v>15902109.339999998</v>
      </c>
      <c r="L125" s="192">
        <v>6755772.9899999993</v>
      </c>
      <c r="M125" s="192">
        <v>48502088.43999999</v>
      </c>
      <c r="N125" s="192">
        <v>35342676.709999993</v>
      </c>
      <c r="O125" s="192">
        <v>365596.02</v>
      </c>
      <c r="P125" s="192">
        <v>16017241.769999998</v>
      </c>
      <c r="Q125" s="192">
        <v>1663626.9199999997</v>
      </c>
      <c r="R125" s="192">
        <v>122885485.26999997</v>
      </c>
      <c r="S125" s="192">
        <v>15544933.579999998</v>
      </c>
      <c r="T125" s="192">
        <v>7562352.0899999999</v>
      </c>
      <c r="U125" s="192">
        <v>44202067.640000008</v>
      </c>
      <c r="V125" s="192">
        <v>34838490.600000009</v>
      </c>
      <c r="W125" s="192">
        <v>545963.64</v>
      </c>
      <c r="X125" s="192">
        <v>15579419.66</v>
      </c>
      <c r="Y125" s="192">
        <v>1533613.8499999999</v>
      </c>
      <c r="Z125" s="192">
        <v>118273227.21000001</v>
      </c>
      <c r="AA125" s="193">
        <v>357175.75999999978</v>
      </c>
      <c r="AB125" s="193">
        <v>-806579.10000000056</v>
      </c>
      <c r="AC125" s="193">
        <v>4300020.7999999821</v>
      </c>
      <c r="AD125" s="193">
        <v>504186.1099999845</v>
      </c>
      <c r="AE125" s="193">
        <v>-180367.62</v>
      </c>
      <c r="AF125" s="193">
        <v>437822.10999999754</v>
      </c>
      <c r="AG125" s="193">
        <v>130013.06999999983</v>
      </c>
      <c r="AH125" s="193">
        <v>4612258.0599999577</v>
      </c>
      <c r="AI125" s="194">
        <v>2.2976988493507595</v>
      </c>
      <c r="AJ125" s="194">
        <v>-10.665717364132945</v>
      </c>
      <c r="AK125" s="194">
        <v>9.7280987736165123</v>
      </c>
      <c r="AL125" s="194">
        <v>1.4472099718349576</v>
      </c>
      <c r="AM125" s="194">
        <v>-33.036562654611942</v>
      </c>
      <c r="AN125" s="194">
        <v>2.8102594291371541</v>
      </c>
      <c r="AO125" s="194">
        <v>8.4775623277006691</v>
      </c>
      <c r="AP125" s="194">
        <v>3.8996636591395815</v>
      </c>
    </row>
    <row r="126" spans="1:42" ht="12" customHeight="1">
      <c r="A126" s="189" t="s">
        <v>465</v>
      </c>
      <c r="B126" s="189"/>
      <c r="C126" s="189" t="s">
        <v>733</v>
      </c>
      <c r="D126" s="189" t="s">
        <v>756</v>
      </c>
      <c r="E126" s="189" t="s">
        <v>878</v>
      </c>
      <c r="F126" s="190" t="s">
        <v>718</v>
      </c>
      <c r="G126" s="189" t="s">
        <v>688</v>
      </c>
      <c r="H126" s="197"/>
      <c r="I126" s="195"/>
      <c r="J126" s="195"/>
      <c r="K126" s="192">
        <v>9414896</v>
      </c>
      <c r="L126" s="192">
        <v>6598112</v>
      </c>
      <c r="M126" s="192">
        <v>34457867</v>
      </c>
      <c r="N126" s="192">
        <v>25716303</v>
      </c>
      <c r="O126" s="192">
        <v>244384</v>
      </c>
      <c r="P126" s="192">
        <v>11335110</v>
      </c>
      <c r="Q126" s="192">
        <v>1077106</v>
      </c>
      <c r="R126" s="192">
        <v>87766672</v>
      </c>
      <c r="S126" s="192">
        <v>9000000</v>
      </c>
      <c r="T126" s="192">
        <v>6918138</v>
      </c>
      <c r="U126" s="192">
        <v>29982619</v>
      </c>
      <c r="V126" s="192">
        <v>24586772</v>
      </c>
      <c r="W126" s="192">
        <v>290126</v>
      </c>
      <c r="X126" s="192">
        <v>10603118</v>
      </c>
      <c r="Y126" s="192">
        <v>981308</v>
      </c>
      <c r="Z126" s="192">
        <v>81380773</v>
      </c>
      <c r="AA126" s="193">
        <v>414896</v>
      </c>
      <c r="AB126" s="193">
        <v>-320026</v>
      </c>
      <c r="AC126" s="193">
        <v>4475248</v>
      </c>
      <c r="AD126" s="193">
        <v>1129531</v>
      </c>
      <c r="AE126" s="193">
        <v>-45742</v>
      </c>
      <c r="AF126" s="193">
        <v>731992</v>
      </c>
      <c r="AG126" s="193">
        <v>95798</v>
      </c>
      <c r="AH126" s="193">
        <v>6385899</v>
      </c>
      <c r="AI126" s="194">
        <v>4.6099555555555556</v>
      </c>
      <c r="AJ126" s="194">
        <v>-4.6258978933348827</v>
      </c>
      <c r="AK126" s="194">
        <v>14.926141041914983</v>
      </c>
      <c r="AL126" s="194">
        <v>4.5940597651452579</v>
      </c>
      <c r="AM126" s="194">
        <v>-15.766253283056328</v>
      </c>
      <c r="AN126" s="194">
        <v>6.9035542186741665</v>
      </c>
      <c r="AO126" s="194">
        <v>9.7622764718110933</v>
      </c>
      <c r="AP126" s="194">
        <v>7.8469382442459725</v>
      </c>
    </row>
    <row r="127" spans="1:42" ht="12" customHeight="1">
      <c r="A127" s="189" t="s">
        <v>466</v>
      </c>
      <c r="B127" s="189"/>
      <c r="C127" s="189" t="s">
        <v>86</v>
      </c>
      <c r="D127" s="189" t="s">
        <v>755</v>
      </c>
      <c r="E127" s="189" t="s">
        <v>882</v>
      </c>
      <c r="F127" s="190" t="s">
        <v>718</v>
      </c>
      <c r="G127" s="189" t="s">
        <v>688</v>
      </c>
      <c r="H127" s="197"/>
      <c r="I127" s="195"/>
      <c r="J127" s="195"/>
      <c r="K127" s="192">
        <v>6490566.9399999995</v>
      </c>
      <c r="L127" s="192">
        <v>3432896.8699999996</v>
      </c>
      <c r="M127" s="192">
        <v>20406537.049999993</v>
      </c>
      <c r="N127" s="192">
        <v>14677060.779999997</v>
      </c>
      <c r="O127" s="192">
        <v>189061.15000000002</v>
      </c>
      <c r="P127" s="192">
        <v>6535856.7300000014</v>
      </c>
      <c r="Q127" s="192">
        <v>426849.87</v>
      </c>
      <c r="R127" s="192">
        <v>51731979.519999988</v>
      </c>
      <c r="S127" s="192">
        <v>6132586.4299999988</v>
      </c>
      <c r="T127" s="192">
        <v>3663247.95</v>
      </c>
      <c r="U127" s="192">
        <v>17768490.18</v>
      </c>
      <c r="V127" s="192">
        <v>13953593.23</v>
      </c>
      <c r="W127" s="192">
        <v>247772.94</v>
      </c>
      <c r="X127" s="192">
        <v>6216373.1600000001</v>
      </c>
      <c r="Y127" s="192">
        <v>347928.51</v>
      </c>
      <c r="Z127" s="192">
        <v>47982063.890000001</v>
      </c>
      <c r="AA127" s="193">
        <v>357980.51000000071</v>
      </c>
      <c r="AB127" s="193">
        <v>-230351.08000000054</v>
      </c>
      <c r="AC127" s="193">
        <v>2638046.8699999936</v>
      </c>
      <c r="AD127" s="193">
        <v>723467.54999999702</v>
      </c>
      <c r="AE127" s="193">
        <v>-58711.789999999979</v>
      </c>
      <c r="AF127" s="193">
        <v>319483.57000000123</v>
      </c>
      <c r="AG127" s="193">
        <v>78921.359999999986</v>
      </c>
      <c r="AH127" s="193">
        <v>3749915.6299999878</v>
      </c>
      <c r="AI127" s="194">
        <v>5.8373496091110253</v>
      </c>
      <c r="AJ127" s="194">
        <v>-6.2881651240670324</v>
      </c>
      <c r="AK127" s="194">
        <v>14.846770002829771</v>
      </c>
      <c r="AL127" s="194">
        <v>5.1848118120897597</v>
      </c>
      <c r="AM127" s="194">
        <v>-23.695803908207239</v>
      </c>
      <c r="AN127" s="194">
        <v>5.1393885433994955</v>
      </c>
      <c r="AO127" s="194">
        <v>22.683211559754039</v>
      </c>
      <c r="AP127" s="194">
        <v>7.8152445434543143</v>
      </c>
    </row>
    <row r="128" spans="1:42" ht="12" customHeight="1">
      <c r="A128" s="189" t="s">
        <v>780</v>
      </c>
      <c r="B128" s="189"/>
      <c r="C128" s="189" t="s">
        <v>101</v>
      </c>
      <c r="D128" s="189" t="s">
        <v>756</v>
      </c>
      <c r="E128" s="189" t="s">
        <v>878</v>
      </c>
      <c r="F128" s="190" t="s">
        <v>718</v>
      </c>
      <c r="G128" s="189" t="s">
        <v>688</v>
      </c>
      <c r="H128" s="197"/>
      <c r="I128" s="195"/>
      <c r="J128" s="195"/>
      <c r="K128" s="192">
        <v>11183527</v>
      </c>
      <c r="L128" s="192">
        <v>6498718</v>
      </c>
      <c r="M128" s="192" t="s">
        <v>987</v>
      </c>
      <c r="N128" s="192">
        <v>26332039</v>
      </c>
      <c r="O128" s="192">
        <v>240260</v>
      </c>
      <c r="P128" s="192">
        <v>12317338</v>
      </c>
      <c r="Q128" s="192">
        <v>1383711</v>
      </c>
      <c r="R128" s="192" t="s">
        <v>987</v>
      </c>
      <c r="S128" s="192">
        <v>11122572</v>
      </c>
      <c r="T128" s="192">
        <v>5897015</v>
      </c>
      <c r="U128" s="192">
        <v>32575828</v>
      </c>
      <c r="V128" s="192">
        <v>25848391</v>
      </c>
      <c r="W128" s="192">
        <v>432760</v>
      </c>
      <c r="X128" s="192">
        <v>11690121</v>
      </c>
      <c r="Y128" s="192">
        <v>1333726</v>
      </c>
      <c r="Z128" s="192">
        <v>87566687</v>
      </c>
      <c r="AA128" s="193">
        <v>60955</v>
      </c>
      <c r="AB128" s="193">
        <v>601703</v>
      </c>
      <c r="AC128" s="193" t="s">
        <v>985</v>
      </c>
      <c r="AD128" s="193">
        <v>483648</v>
      </c>
      <c r="AE128" s="193">
        <v>-192500</v>
      </c>
      <c r="AF128" s="193">
        <v>627217</v>
      </c>
      <c r="AG128" s="193">
        <v>49985</v>
      </c>
      <c r="AH128" s="193" t="s">
        <v>985</v>
      </c>
      <c r="AI128" s="194">
        <v>0.54802971830616154</v>
      </c>
      <c r="AJ128" s="194">
        <v>10.203518220659097</v>
      </c>
      <c r="AK128" s="194" t="s">
        <v>985</v>
      </c>
      <c r="AL128" s="194">
        <v>1.8710951873174619</v>
      </c>
      <c r="AM128" s="194">
        <v>-44.481929938071914</v>
      </c>
      <c r="AN128" s="194">
        <v>5.3653593491461722</v>
      </c>
      <c r="AO128" s="194">
        <v>3.7477712813576405</v>
      </c>
      <c r="AP128" s="194" t="s">
        <v>985</v>
      </c>
    </row>
    <row r="129" spans="1:42" ht="12" customHeight="1">
      <c r="A129" s="189" t="s">
        <v>781</v>
      </c>
      <c r="B129" s="189"/>
      <c r="C129" s="189" t="s">
        <v>88</v>
      </c>
      <c r="D129" s="189" t="s">
        <v>756</v>
      </c>
      <c r="E129" s="189" t="s">
        <v>878</v>
      </c>
      <c r="F129" s="190" t="s">
        <v>718</v>
      </c>
      <c r="G129" s="189" t="s">
        <v>688</v>
      </c>
      <c r="H129" s="197"/>
      <c r="I129" s="195"/>
      <c r="J129" s="195"/>
      <c r="K129" s="192">
        <v>4771790</v>
      </c>
      <c r="L129" s="192">
        <v>1371970</v>
      </c>
      <c r="M129" s="192">
        <v>12193654</v>
      </c>
      <c r="N129" s="192">
        <v>9549244</v>
      </c>
      <c r="O129" s="192">
        <v>129133</v>
      </c>
      <c r="P129" s="192">
        <v>4317971</v>
      </c>
      <c r="Q129" s="192">
        <v>448580</v>
      </c>
      <c r="R129" s="192">
        <v>32333762</v>
      </c>
      <c r="S129" s="192">
        <v>4319695</v>
      </c>
      <c r="T129" s="192">
        <v>1409363</v>
      </c>
      <c r="U129" s="192">
        <v>11014162</v>
      </c>
      <c r="V129" s="192">
        <v>9507269</v>
      </c>
      <c r="W129" s="192">
        <v>179342</v>
      </c>
      <c r="X129" s="192">
        <v>4155879</v>
      </c>
      <c r="Y129" s="192">
        <v>440648</v>
      </c>
      <c r="Z129" s="192">
        <v>30585710</v>
      </c>
      <c r="AA129" s="193">
        <v>452095</v>
      </c>
      <c r="AB129" s="193">
        <v>-37393</v>
      </c>
      <c r="AC129" s="193">
        <v>1179492</v>
      </c>
      <c r="AD129" s="193">
        <v>41975</v>
      </c>
      <c r="AE129" s="193">
        <v>-50209</v>
      </c>
      <c r="AF129" s="193">
        <v>162092</v>
      </c>
      <c r="AG129" s="193">
        <v>7932</v>
      </c>
      <c r="AH129" s="193">
        <v>1748052</v>
      </c>
      <c r="AI129" s="194">
        <v>10.465900949025336</v>
      </c>
      <c r="AJ129" s="194">
        <v>-2.6531844528343655</v>
      </c>
      <c r="AK129" s="194">
        <v>10.708867365488178</v>
      </c>
      <c r="AL129" s="194">
        <v>0.44150428477410286</v>
      </c>
      <c r="AM129" s="194">
        <v>-27.996230665432524</v>
      </c>
      <c r="AN129" s="194">
        <v>3.9003060483714753</v>
      </c>
      <c r="AO129" s="194">
        <v>1.8000762513389372</v>
      </c>
      <c r="AP129" s="194">
        <v>5.7152572230626655</v>
      </c>
    </row>
    <row r="130" spans="1:42" ht="12" customHeight="1">
      <c r="A130" s="189" t="s">
        <v>782</v>
      </c>
      <c r="B130" s="189"/>
      <c r="C130" s="189" t="s">
        <v>87</v>
      </c>
      <c r="D130" s="189" t="s">
        <v>756</v>
      </c>
      <c r="E130" s="189" t="s">
        <v>878</v>
      </c>
      <c r="F130" s="190" t="s">
        <v>718</v>
      </c>
      <c r="G130" s="189" t="s">
        <v>688</v>
      </c>
      <c r="H130" s="197"/>
      <c r="I130" s="195"/>
      <c r="J130" s="195"/>
      <c r="K130" s="192">
        <v>15261061</v>
      </c>
      <c r="L130" s="192">
        <v>6311629</v>
      </c>
      <c r="M130" s="192">
        <v>47586488</v>
      </c>
      <c r="N130" s="192">
        <v>34945568</v>
      </c>
      <c r="O130" s="192">
        <v>208959</v>
      </c>
      <c r="P130" s="192">
        <v>14507247</v>
      </c>
      <c r="Q130" s="192">
        <v>1440443</v>
      </c>
      <c r="R130" s="192">
        <v>118820952</v>
      </c>
      <c r="S130" s="192">
        <v>14843857</v>
      </c>
      <c r="T130" s="192">
        <v>7573393</v>
      </c>
      <c r="U130" s="192">
        <v>41457227</v>
      </c>
      <c r="V130" s="192">
        <v>33716542</v>
      </c>
      <c r="W130" s="192">
        <v>58204</v>
      </c>
      <c r="X130" s="192">
        <v>14727738</v>
      </c>
      <c r="Y130" s="192">
        <v>2031552</v>
      </c>
      <c r="Z130" s="192">
        <v>112376961</v>
      </c>
      <c r="AA130" s="193">
        <v>417204</v>
      </c>
      <c r="AB130" s="193">
        <v>-1261764</v>
      </c>
      <c r="AC130" s="193">
        <v>6129261</v>
      </c>
      <c r="AD130" s="193">
        <v>1229026</v>
      </c>
      <c r="AE130" s="193">
        <v>150755</v>
      </c>
      <c r="AF130" s="193">
        <v>-220491</v>
      </c>
      <c r="AG130" s="193">
        <v>-591109</v>
      </c>
      <c r="AH130" s="193">
        <v>6443991</v>
      </c>
      <c r="AI130" s="194">
        <v>2.8106172135719176</v>
      </c>
      <c r="AJ130" s="194">
        <v>-16.66048493720054</v>
      </c>
      <c r="AK130" s="194">
        <v>14.784541667487794</v>
      </c>
      <c r="AL130" s="194">
        <v>3.6451721531822572</v>
      </c>
      <c r="AM130" s="194" t="s">
        <v>951</v>
      </c>
      <c r="AN130" s="194">
        <v>-1.4971138134043394</v>
      </c>
      <c r="AO130" s="194">
        <v>-29.096424802318623</v>
      </c>
      <c r="AP130" s="194">
        <v>5.7342634492491742</v>
      </c>
    </row>
    <row r="131" spans="1:42" ht="12" customHeight="1">
      <c r="A131" s="189" t="s">
        <v>467</v>
      </c>
      <c r="B131" s="189"/>
      <c r="C131" s="189" t="s">
        <v>90</v>
      </c>
      <c r="D131" s="189" t="s">
        <v>756</v>
      </c>
      <c r="E131" s="189" t="s">
        <v>879</v>
      </c>
      <c r="F131" s="190" t="s">
        <v>718</v>
      </c>
      <c r="G131" s="189" t="s">
        <v>688</v>
      </c>
      <c r="H131" s="197"/>
      <c r="I131" s="195"/>
      <c r="J131" s="195"/>
      <c r="K131" s="192">
        <v>28259357</v>
      </c>
      <c r="L131" s="192">
        <v>11032063</v>
      </c>
      <c r="M131" s="192">
        <v>83774972</v>
      </c>
      <c r="N131" s="192">
        <v>64172869</v>
      </c>
      <c r="O131" s="192">
        <v>894556</v>
      </c>
      <c r="P131" s="192">
        <v>27305479</v>
      </c>
      <c r="Q131" s="192">
        <v>4973588</v>
      </c>
      <c r="R131" s="192">
        <v>215439296</v>
      </c>
      <c r="S131" s="192">
        <v>26899961</v>
      </c>
      <c r="T131" s="192">
        <v>10002200</v>
      </c>
      <c r="U131" s="192">
        <v>71734307</v>
      </c>
      <c r="V131" s="192">
        <v>61451945</v>
      </c>
      <c r="W131" s="192">
        <v>1258726</v>
      </c>
      <c r="X131" s="192">
        <v>25361757</v>
      </c>
      <c r="Y131" s="192">
        <v>4519167</v>
      </c>
      <c r="Z131" s="192">
        <v>196708896</v>
      </c>
      <c r="AA131" s="193">
        <v>1359396</v>
      </c>
      <c r="AB131" s="193">
        <v>1029863</v>
      </c>
      <c r="AC131" s="193">
        <v>12040665</v>
      </c>
      <c r="AD131" s="193">
        <v>2720924</v>
      </c>
      <c r="AE131" s="193">
        <v>-364170</v>
      </c>
      <c r="AF131" s="193">
        <v>1943722</v>
      </c>
      <c r="AG131" s="193">
        <v>454421</v>
      </c>
      <c r="AH131" s="193">
        <v>18730400</v>
      </c>
      <c r="AI131" s="194">
        <v>5.0535240552950986</v>
      </c>
      <c r="AJ131" s="194">
        <v>10.296364799744056</v>
      </c>
      <c r="AK131" s="194">
        <v>16.785085830689074</v>
      </c>
      <c r="AL131" s="194">
        <v>4.4277264128905935</v>
      </c>
      <c r="AM131" s="194">
        <v>-28.931634049030531</v>
      </c>
      <c r="AN131" s="194">
        <v>7.6639879484690283</v>
      </c>
      <c r="AO131" s="194">
        <v>10.055415079814487</v>
      </c>
      <c r="AP131" s="194">
        <v>9.5218876120376361</v>
      </c>
    </row>
    <row r="132" spans="1:42" ht="12" customHeight="1">
      <c r="A132" s="189" t="s">
        <v>468</v>
      </c>
      <c r="B132" s="189"/>
      <c r="C132" s="189" t="s">
        <v>91</v>
      </c>
      <c r="D132" s="189" t="s">
        <v>755</v>
      </c>
      <c r="E132" s="189" t="s">
        <v>876</v>
      </c>
      <c r="F132" s="190" t="s">
        <v>718</v>
      </c>
      <c r="G132" s="189" t="s">
        <v>688</v>
      </c>
      <c r="H132" s="197"/>
      <c r="I132" s="195"/>
      <c r="J132" s="195"/>
      <c r="K132" s="192">
        <v>10520328.09</v>
      </c>
      <c r="L132" s="192">
        <v>5091538.38</v>
      </c>
      <c r="M132" s="192">
        <v>34286711.409999996</v>
      </c>
      <c r="N132" s="192">
        <v>22000479.150000006</v>
      </c>
      <c r="O132" s="192">
        <v>372309.68999999994</v>
      </c>
      <c r="P132" s="192">
        <v>11146779.519999998</v>
      </c>
      <c r="Q132" s="192">
        <v>407207.60000000003</v>
      </c>
      <c r="R132" s="192">
        <v>83418146.239999995</v>
      </c>
      <c r="S132" s="192">
        <v>9730046.2300000004</v>
      </c>
      <c r="T132" s="192">
        <v>5171267.419999999</v>
      </c>
      <c r="U132" s="192">
        <v>29785300.370000001</v>
      </c>
      <c r="V132" s="192">
        <v>21007838.620000001</v>
      </c>
      <c r="W132" s="192">
        <v>541061.97</v>
      </c>
      <c r="X132" s="192">
        <v>10457322.99</v>
      </c>
      <c r="Y132" s="192">
        <v>366109.76999999996</v>
      </c>
      <c r="Z132" s="192">
        <v>76692837.599999994</v>
      </c>
      <c r="AA132" s="193">
        <v>790281.8599999994</v>
      </c>
      <c r="AB132" s="193">
        <v>-79729.039999999106</v>
      </c>
      <c r="AC132" s="193">
        <v>4501411.0399999954</v>
      </c>
      <c r="AD132" s="193">
        <v>992640.53000000492</v>
      </c>
      <c r="AE132" s="193">
        <v>-168752.28000000003</v>
      </c>
      <c r="AF132" s="193">
        <v>689456.52999999747</v>
      </c>
      <c r="AG132" s="193">
        <v>41097.830000000075</v>
      </c>
      <c r="AH132" s="193">
        <v>6725308.6400000006</v>
      </c>
      <c r="AI132" s="194">
        <v>8.12207713426249</v>
      </c>
      <c r="AJ132" s="194">
        <v>-1.5417698123992807</v>
      </c>
      <c r="AK132" s="194">
        <v>15.112860988750858</v>
      </c>
      <c r="AL132" s="194">
        <v>4.7250959413548888</v>
      </c>
      <c r="AM132" s="194">
        <v>-31.189085420289292</v>
      </c>
      <c r="AN132" s="194">
        <v>6.5930499675615106</v>
      </c>
      <c r="AO132" s="194">
        <v>11.225548556106569</v>
      </c>
      <c r="AP132" s="194">
        <v>8.7691482678950994</v>
      </c>
    </row>
    <row r="133" spans="1:42" ht="12" customHeight="1">
      <c r="A133" s="189" t="s">
        <v>469</v>
      </c>
      <c r="B133" s="189"/>
      <c r="C133" s="189" t="s">
        <v>92</v>
      </c>
      <c r="D133" s="189" t="s">
        <v>755</v>
      </c>
      <c r="E133" s="189" t="s">
        <v>879</v>
      </c>
      <c r="F133" s="190" t="s">
        <v>718</v>
      </c>
      <c r="G133" s="189" t="s">
        <v>688</v>
      </c>
      <c r="H133" s="281"/>
      <c r="I133" s="195"/>
      <c r="J133" s="195"/>
      <c r="K133" s="192">
        <v>6431539.9799999995</v>
      </c>
      <c r="L133" s="192">
        <v>2993976.4300000006</v>
      </c>
      <c r="M133" s="192">
        <v>20384091.589999992</v>
      </c>
      <c r="N133" s="192">
        <v>12589934.139999999</v>
      </c>
      <c r="O133" s="192">
        <v>273640.84000000003</v>
      </c>
      <c r="P133" s="192">
        <v>6495103.21</v>
      </c>
      <c r="Q133" s="192">
        <v>510683.41000000003</v>
      </c>
      <c r="R133" s="192">
        <v>49168286.189999998</v>
      </c>
      <c r="S133" s="192">
        <v>6141777.9900000002</v>
      </c>
      <c r="T133" s="192">
        <v>2993759.7299999995</v>
      </c>
      <c r="U133" s="192">
        <v>17970643.949999999</v>
      </c>
      <c r="V133" s="192">
        <v>12199898.530000001</v>
      </c>
      <c r="W133" s="192">
        <v>364348.08</v>
      </c>
      <c r="X133" s="192">
        <v>6173659.5700000003</v>
      </c>
      <c r="Y133" s="192">
        <v>426693.96</v>
      </c>
      <c r="Z133" s="192">
        <v>45844087.850000001</v>
      </c>
      <c r="AA133" s="193">
        <v>289761.98999999929</v>
      </c>
      <c r="AB133" s="193">
        <v>216.70000000111759</v>
      </c>
      <c r="AC133" s="193">
        <v>2413447.6399999931</v>
      </c>
      <c r="AD133" s="193">
        <v>390035.60999999754</v>
      </c>
      <c r="AE133" s="193">
        <v>-90707.239999999991</v>
      </c>
      <c r="AF133" s="193">
        <v>321443.63999999966</v>
      </c>
      <c r="AG133" s="193">
        <v>83989.450000000012</v>
      </c>
      <c r="AH133" s="193">
        <v>3324198.3399999961</v>
      </c>
      <c r="AI133" s="194">
        <v>4.7178844704544467</v>
      </c>
      <c r="AJ133" s="194">
        <v>7.2383898356838949E-3</v>
      </c>
      <c r="AK133" s="194">
        <v>13.429945230204138</v>
      </c>
      <c r="AL133" s="194">
        <v>3.1970397871825371</v>
      </c>
      <c r="AM133" s="194">
        <v>-24.895764511782247</v>
      </c>
      <c r="AN133" s="194">
        <v>5.2066952567648563</v>
      </c>
      <c r="AO133" s="194">
        <v>19.683768197703106</v>
      </c>
      <c r="AP133" s="194">
        <v>7.2510949522578318</v>
      </c>
    </row>
    <row r="134" spans="1:42" ht="12" customHeight="1">
      <c r="A134" s="189" t="s">
        <v>470</v>
      </c>
      <c r="B134" s="189"/>
      <c r="C134" s="189" t="s">
        <v>93</v>
      </c>
      <c r="D134" s="189" t="s">
        <v>755</v>
      </c>
      <c r="E134" s="189" t="s">
        <v>878</v>
      </c>
      <c r="F134" s="190" t="s">
        <v>718</v>
      </c>
      <c r="G134" s="189" t="s">
        <v>688</v>
      </c>
      <c r="H134" s="281"/>
      <c r="I134" s="195"/>
      <c r="J134" s="195"/>
      <c r="K134" s="192">
        <v>14522851.850000001</v>
      </c>
      <c r="L134" s="192">
        <v>8425510.9600000009</v>
      </c>
      <c r="M134" s="192">
        <v>50425743.340000011</v>
      </c>
      <c r="N134" s="192">
        <v>35897639.68999999</v>
      </c>
      <c r="O134" s="192">
        <v>487811.25</v>
      </c>
      <c r="P134" s="192">
        <v>16169645.800000001</v>
      </c>
      <c r="Q134" s="192">
        <v>1428886.67</v>
      </c>
      <c r="R134" s="192">
        <v>125929202.89</v>
      </c>
      <c r="S134" s="192">
        <v>13421626.959999999</v>
      </c>
      <c r="T134" s="192">
        <v>8386795.129999999</v>
      </c>
      <c r="U134" s="192">
        <v>43938463.490000002</v>
      </c>
      <c r="V134" s="192">
        <v>34670934.18</v>
      </c>
      <c r="W134" s="192">
        <v>686232.75</v>
      </c>
      <c r="X134" s="192">
        <v>15270892.620000005</v>
      </c>
      <c r="Y134" s="192">
        <v>1368470.2999999998</v>
      </c>
      <c r="Z134" s="192">
        <v>116374945.13</v>
      </c>
      <c r="AA134" s="193">
        <v>1101224.8900000025</v>
      </c>
      <c r="AB134" s="193">
        <v>38715.830000001937</v>
      </c>
      <c r="AC134" s="193">
        <v>6487279.8500000089</v>
      </c>
      <c r="AD134" s="193">
        <v>1226705.5099999905</v>
      </c>
      <c r="AE134" s="193">
        <v>-198421.5</v>
      </c>
      <c r="AF134" s="193">
        <v>898753.17999999598</v>
      </c>
      <c r="AG134" s="193">
        <v>60416.370000000112</v>
      </c>
      <c r="AH134" s="193">
        <v>9554257.7600000054</v>
      </c>
      <c r="AI134" s="194">
        <v>8.2048539516255676</v>
      </c>
      <c r="AJ134" s="194">
        <v>0.46162842182126779</v>
      </c>
      <c r="AK134" s="194">
        <v>14.76446678996059</v>
      </c>
      <c r="AL134" s="194">
        <v>3.5381380369832032</v>
      </c>
      <c r="AM134" s="194">
        <v>-28.914606596668552</v>
      </c>
      <c r="AN134" s="194">
        <v>5.8854004305086631</v>
      </c>
      <c r="AO134" s="194">
        <v>4.4148835382105203</v>
      </c>
      <c r="AP134" s="194">
        <v>8.2098923864815969</v>
      </c>
    </row>
    <row r="135" spans="1:42" ht="12" customHeight="1">
      <c r="A135" s="189" t="s">
        <v>783</v>
      </c>
      <c r="B135" s="189"/>
      <c r="C135" s="189" t="s">
        <v>94</v>
      </c>
      <c r="D135" s="189" t="s">
        <v>756</v>
      </c>
      <c r="E135" s="189" t="s">
        <v>878</v>
      </c>
      <c r="F135" s="190" t="s">
        <v>718</v>
      </c>
      <c r="G135" s="189" t="s">
        <v>688</v>
      </c>
      <c r="H135" s="197"/>
      <c r="I135" s="195"/>
      <c r="J135" s="195"/>
      <c r="K135" s="192">
        <v>11116482</v>
      </c>
      <c r="L135" s="192">
        <v>5882408</v>
      </c>
      <c r="M135" s="192">
        <v>36691094</v>
      </c>
      <c r="N135" s="192">
        <v>26132397</v>
      </c>
      <c r="O135" s="192">
        <v>319018</v>
      </c>
      <c r="P135" s="192">
        <v>12097090</v>
      </c>
      <c r="Q135" s="192">
        <v>2022256</v>
      </c>
      <c r="R135" s="192">
        <v>92238489</v>
      </c>
      <c r="S135" s="192">
        <v>10631543</v>
      </c>
      <c r="T135" s="192">
        <v>6477285</v>
      </c>
      <c r="U135" s="192">
        <v>31815628</v>
      </c>
      <c r="V135" s="192">
        <v>25311369</v>
      </c>
      <c r="W135" s="192">
        <v>368593</v>
      </c>
      <c r="X135" s="192">
        <v>11523364</v>
      </c>
      <c r="Y135" s="192">
        <v>1890618</v>
      </c>
      <c r="Z135" s="192">
        <v>86127782</v>
      </c>
      <c r="AA135" s="193">
        <v>484939</v>
      </c>
      <c r="AB135" s="193">
        <v>-594877</v>
      </c>
      <c r="AC135" s="193">
        <v>4875466</v>
      </c>
      <c r="AD135" s="193">
        <v>821028</v>
      </c>
      <c r="AE135" s="193">
        <v>-49575</v>
      </c>
      <c r="AF135" s="193">
        <v>573726</v>
      </c>
      <c r="AG135" s="193">
        <v>131638</v>
      </c>
      <c r="AH135" s="193">
        <v>6110707</v>
      </c>
      <c r="AI135" s="194">
        <v>4.5613228484331954</v>
      </c>
      <c r="AJ135" s="194">
        <v>-9.1840485635571074</v>
      </c>
      <c r="AK135" s="194">
        <v>15.324123100760421</v>
      </c>
      <c r="AL135" s="194">
        <v>3.2437123412803159</v>
      </c>
      <c r="AM135" s="194">
        <v>-13.449794217470219</v>
      </c>
      <c r="AN135" s="194">
        <v>4.9788065360080616</v>
      </c>
      <c r="AO135" s="194">
        <v>6.9626968536214084</v>
      </c>
      <c r="AP135" s="194">
        <v>7.0949313428273344</v>
      </c>
    </row>
    <row r="136" spans="1:42" ht="12" customHeight="1">
      <c r="A136" s="189" t="s">
        <v>471</v>
      </c>
      <c r="B136" s="189"/>
      <c r="C136" s="189" t="s">
        <v>95</v>
      </c>
      <c r="D136" s="189" t="s">
        <v>755</v>
      </c>
      <c r="E136" s="189" t="s">
        <v>882</v>
      </c>
      <c r="F136" s="190" t="s">
        <v>718</v>
      </c>
      <c r="G136" s="189" t="s">
        <v>688</v>
      </c>
      <c r="H136" s="197"/>
      <c r="I136" s="195"/>
      <c r="J136" s="195"/>
      <c r="K136" s="192">
        <v>129851668.63</v>
      </c>
      <c r="L136" s="192">
        <v>78452201.050000012</v>
      </c>
      <c r="M136" s="192">
        <v>440214108.40000015</v>
      </c>
      <c r="N136" s="192">
        <v>367006684.31</v>
      </c>
      <c r="O136" s="192">
        <v>4693228.45</v>
      </c>
      <c r="P136" s="192">
        <v>143722452.83000001</v>
      </c>
      <c r="Q136" s="192">
        <v>42755242.180000015</v>
      </c>
      <c r="R136" s="192">
        <v>1163940343.6700001</v>
      </c>
      <c r="S136" s="192">
        <v>124346125.15000001</v>
      </c>
      <c r="T136" s="192">
        <v>85391737.819999993</v>
      </c>
      <c r="U136" s="192">
        <v>392458999.3499999</v>
      </c>
      <c r="V136" s="192">
        <v>358736330.63999999</v>
      </c>
      <c r="W136" s="192">
        <v>6094239.5000000009</v>
      </c>
      <c r="X136" s="192">
        <v>137063968.90000004</v>
      </c>
      <c r="Y136" s="192">
        <v>35667018.00999999</v>
      </c>
      <c r="Z136" s="192">
        <v>1104091401.3599999</v>
      </c>
      <c r="AA136" s="193">
        <v>5505543.4799999893</v>
      </c>
      <c r="AB136" s="193">
        <v>-6939536.7699999809</v>
      </c>
      <c r="AC136" s="193">
        <v>47755109.05000025</v>
      </c>
      <c r="AD136" s="193">
        <v>8270353.6700000167</v>
      </c>
      <c r="AE136" s="193">
        <v>-1401011.0500000007</v>
      </c>
      <c r="AF136" s="193">
        <v>6658483.9299999774</v>
      </c>
      <c r="AG136" s="193">
        <v>7088224.1700000241</v>
      </c>
      <c r="AH136" s="193">
        <v>59848942.310000181</v>
      </c>
      <c r="AI136" s="194">
        <v>4.4275955309090618</v>
      </c>
      <c r="AJ136" s="194">
        <v>-8.1267075096047989</v>
      </c>
      <c r="AK136" s="194">
        <v>12.168177855290214</v>
      </c>
      <c r="AL136" s="194">
        <v>2.3054129073699823</v>
      </c>
      <c r="AM136" s="194">
        <v>-22.989103890649531</v>
      </c>
      <c r="AN136" s="194">
        <v>4.8579389488260878</v>
      </c>
      <c r="AO136" s="194">
        <v>19.873329943121941</v>
      </c>
      <c r="AP136" s="194">
        <v>5.420651065326596</v>
      </c>
    </row>
    <row r="137" spans="1:42" ht="12" customHeight="1">
      <c r="A137" s="189" t="s">
        <v>472</v>
      </c>
      <c r="B137" s="189"/>
      <c r="C137" s="189" t="s">
        <v>96</v>
      </c>
      <c r="D137" s="189" t="s">
        <v>755</v>
      </c>
      <c r="E137" s="189" t="s">
        <v>876</v>
      </c>
      <c r="F137" s="190" t="s">
        <v>718</v>
      </c>
      <c r="G137" s="189" t="s">
        <v>688</v>
      </c>
      <c r="H137" s="197"/>
      <c r="I137" s="195"/>
      <c r="J137" s="195"/>
      <c r="K137" s="192">
        <v>8070615.2999999998</v>
      </c>
      <c r="L137" s="192">
        <v>3410666.3200000003</v>
      </c>
      <c r="M137" s="192">
        <v>26036005.440000009</v>
      </c>
      <c r="N137" s="192">
        <v>19230010.070000004</v>
      </c>
      <c r="O137" s="192">
        <v>588590.69999999995</v>
      </c>
      <c r="P137" s="192">
        <v>8171252.25</v>
      </c>
      <c r="Q137" s="192">
        <v>967982.74</v>
      </c>
      <c r="R137" s="192">
        <v>65507140.080000013</v>
      </c>
      <c r="S137" s="192">
        <v>7746308.7799999993</v>
      </c>
      <c r="T137" s="192">
        <v>3396978.7999999993</v>
      </c>
      <c r="U137" s="192">
        <v>23280214.710000005</v>
      </c>
      <c r="V137" s="192">
        <v>18339006.32</v>
      </c>
      <c r="W137" s="192">
        <v>1109074.01</v>
      </c>
      <c r="X137" s="192">
        <v>7681651.0499999989</v>
      </c>
      <c r="Y137" s="192">
        <v>893660.81</v>
      </c>
      <c r="Z137" s="192">
        <v>61553233.670000002</v>
      </c>
      <c r="AA137" s="193">
        <v>324306.52000000048</v>
      </c>
      <c r="AB137" s="193">
        <v>13687.52000000095</v>
      </c>
      <c r="AC137" s="193">
        <v>2755790.7300000042</v>
      </c>
      <c r="AD137" s="193">
        <v>891003.75000000373</v>
      </c>
      <c r="AE137" s="193">
        <v>-520483.31000000006</v>
      </c>
      <c r="AF137" s="193">
        <v>489601.20000000112</v>
      </c>
      <c r="AG137" s="193">
        <v>74321.929999999935</v>
      </c>
      <c r="AH137" s="193">
        <v>3953906.4100000113</v>
      </c>
      <c r="AI137" s="194">
        <v>4.1865942761966757</v>
      </c>
      <c r="AJ137" s="194">
        <v>0.40293215842268293</v>
      </c>
      <c r="AK137" s="194">
        <v>11.837479870047142</v>
      </c>
      <c r="AL137" s="194">
        <v>4.858517056228397</v>
      </c>
      <c r="AM137" s="194">
        <v>-46.929538092773456</v>
      </c>
      <c r="AN137" s="194">
        <v>6.3736454157208984</v>
      </c>
      <c r="AO137" s="194">
        <v>8.3165703551440213</v>
      </c>
      <c r="AP137" s="194">
        <v>6.4235559600292422</v>
      </c>
    </row>
    <row r="138" spans="1:42" ht="12" customHeight="1">
      <c r="A138" s="189" t="s">
        <v>473</v>
      </c>
      <c r="B138" s="189"/>
      <c r="C138" s="189" t="s">
        <v>97</v>
      </c>
      <c r="D138" s="189" t="s">
        <v>755</v>
      </c>
      <c r="E138" s="189" t="s">
        <v>878</v>
      </c>
      <c r="F138" s="190" t="s">
        <v>718</v>
      </c>
      <c r="G138" s="189" t="s">
        <v>688</v>
      </c>
      <c r="H138" s="197"/>
      <c r="I138" s="195"/>
      <c r="J138" s="195"/>
      <c r="K138" s="192">
        <v>10272464.909999998</v>
      </c>
      <c r="L138" s="192">
        <v>4033076.2299999995</v>
      </c>
      <c r="M138" s="192">
        <v>32589810.539999995</v>
      </c>
      <c r="N138" s="192">
        <v>22835747.910000004</v>
      </c>
      <c r="O138" s="192">
        <v>461046.18999999994</v>
      </c>
      <c r="P138" s="192">
        <v>10649383.800000001</v>
      </c>
      <c r="Q138" s="192">
        <v>1580395.7700000003</v>
      </c>
      <c r="R138" s="192">
        <v>80841529.579999998</v>
      </c>
      <c r="S138" s="192">
        <v>9786671.2599999998</v>
      </c>
      <c r="T138" s="192">
        <v>4352202.0200000005</v>
      </c>
      <c r="U138" s="192">
        <v>28531509.030000009</v>
      </c>
      <c r="V138" s="192">
        <v>22910130.139999997</v>
      </c>
      <c r="W138" s="192">
        <v>620332.61</v>
      </c>
      <c r="X138" s="192">
        <v>10192579.969999997</v>
      </c>
      <c r="Y138" s="192">
        <v>1575044.7599999995</v>
      </c>
      <c r="Z138" s="192">
        <v>76393425.030000001</v>
      </c>
      <c r="AA138" s="193">
        <v>485793.64999999851</v>
      </c>
      <c r="AB138" s="193">
        <v>-319125.79000000097</v>
      </c>
      <c r="AC138" s="193">
        <v>4058301.5099999867</v>
      </c>
      <c r="AD138" s="193">
        <v>-74382.229999992996</v>
      </c>
      <c r="AE138" s="193">
        <v>-159286.42000000004</v>
      </c>
      <c r="AF138" s="193">
        <v>456803.8300000038</v>
      </c>
      <c r="AG138" s="193">
        <v>5351.0100000007078</v>
      </c>
      <c r="AH138" s="193">
        <v>4448104.549999997</v>
      </c>
      <c r="AI138" s="194">
        <v>4.9638292438158231</v>
      </c>
      <c r="AJ138" s="194">
        <v>-7.3325132549798537</v>
      </c>
      <c r="AK138" s="194">
        <v>14.223928729927348</v>
      </c>
      <c r="AL138" s="194">
        <v>-0.32466960923161742</v>
      </c>
      <c r="AM138" s="194">
        <v>-25.677582869615712</v>
      </c>
      <c r="AN138" s="194">
        <v>4.4817291730309963</v>
      </c>
      <c r="AO138" s="194">
        <v>0.33973701166439924</v>
      </c>
      <c r="AP138" s="194">
        <v>5.8226274685985198</v>
      </c>
    </row>
    <row r="139" spans="1:42" ht="12" customHeight="1">
      <c r="A139" s="189" t="s">
        <v>474</v>
      </c>
      <c r="B139" s="189"/>
      <c r="C139" s="189" t="s">
        <v>98</v>
      </c>
      <c r="D139" s="189" t="s">
        <v>755</v>
      </c>
      <c r="E139" s="189" t="s">
        <v>880</v>
      </c>
      <c r="F139" s="190" t="s">
        <v>718</v>
      </c>
      <c r="G139" s="189" t="s">
        <v>688</v>
      </c>
      <c r="H139" s="197"/>
      <c r="I139" s="195"/>
      <c r="J139" s="195"/>
      <c r="K139" s="192">
        <v>11270118.91</v>
      </c>
      <c r="L139" s="192">
        <v>5338542.9600000009</v>
      </c>
      <c r="M139" s="192">
        <v>39286873.720000006</v>
      </c>
      <c r="N139" s="192">
        <v>29962772.640000001</v>
      </c>
      <c r="O139" s="192">
        <v>619088.01</v>
      </c>
      <c r="P139" s="192">
        <v>12324662</v>
      </c>
      <c r="Q139" s="192">
        <v>613365.15999999992</v>
      </c>
      <c r="R139" s="192">
        <v>98802058.24000001</v>
      </c>
      <c r="S139" s="192">
        <v>9693446.3399999999</v>
      </c>
      <c r="T139" s="192">
        <v>4146458.9299999997</v>
      </c>
      <c r="U139" s="192">
        <v>33892830.68</v>
      </c>
      <c r="V139" s="192">
        <v>29672675.189999998</v>
      </c>
      <c r="W139" s="192">
        <v>863456.48</v>
      </c>
      <c r="X139" s="192">
        <v>11667145.42</v>
      </c>
      <c r="Y139" s="192">
        <v>562646.48</v>
      </c>
      <c r="Z139" s="192">
        <v>89936013.040000007</v>
      </c>
      <c r="AA139" s="193">
        <v>1576672.5700000003</v>
      </c>
      <c r="AB139" s="193">
        <v>1192084.0300000012</v>
      </c>
      <c r="AC139" s="193">
        <v>5394043.0400000066</v>
      </c>
      <c r="AD139" s="193">
        <v>290097.45000000298</v>
      </c>
      <c r="AE139" s="193">
        <v>-244368.46999999997</v>
      </c>
      <c r="AF139" s="193">
        <v>657516.58000000007</v>
      </c>
      <c r="AG139" s="193">
        <v>50718.679999999935</v>
      </c>
      <c r="AH139" s="193">
        <v>8866045.200000003</v>
      </c>
      <c r="AI139" s="194">
        <v>16.265345829520527</v>
      </c>
      <c r="AJ139" s="194">
        <v>28.749447423081104</v>
      </c>
      <c r="AK139" s="194">
        <v>15.914997159511396</v>
      </c>
      <c r="AL139" s="194">
        <v>0.97765856345089119</v>
      </c>
      <c r="AM139" s="194">
        <v>-28.301191277179367</v>
      </c>
      <c r="AN139" s="194">
        <v>5.6356251364869001</v>
      </c>
      <c r="AO139" s="194">
        <v>9.0143068165999978</v>
      </c>
      <c r="AP139" s="194">
        <v>9.8581701593295374</v>
      </c>
    </row>
    <row r="140" spans="1:42" ht="12" customHeight="1">
      <c r="A140" s="189" t="s">
        <v>475</v>
      </c>
      <c r="B140" s="189"/>
      <c r="C140" s="189" t="s">
        <v>99</v>
      </c>
      <c r="D140" s="189" t="s">
        <v>755</v>
      </c>
      <c r="E140" s="189" t="s">
        <v>879</v>
      </c>
      <c r="F140" s="190" t="s">
        <v>718</v>
      </c>
      <c r="G140" s="189" t="s">
        <v>688</v>
      </c>
      <c r="H140" s="197"/>
      <c r="I140" s="195"/>
      <c r="J140" s="195"/>
      <c r="K140" s="192">
        <v>21932669.529999997</v>
      </c>
      <c r="L140" s="192">
        <v>14996974.91</v>
      </c>
      <c r="M140" s="192">
        <v>83870630.980000019</v>
      </c>
      <c r="N140" s="192">
        <v>59921569.20000001</v>
      </c>
      <c r="O140" s="192">
        <v>1402578.3599999999</v>
      </c>
      <c r="P140" s="192">
        <v>26816578.260000002</v>
      </c>
      <c r="Q140" s="192">
        <v>3419943.74</v>
      </c>
      <c r="R140" s="192">
        <v>208941001.24000004</v>
      </c>
      <c r="S140" s="192">
        <v>20702677.059999999</v>
      </c>
      <c r="T140" s="192">
        <v>13583769.249999998</v>
      </c>
      <c r="U140" s="192">
        <v>73927330.160000011</v>
      </c>
      <c r="V140" s="192">
        <v>58707895.00999999</v>
      </c>
      <c r="W140" s="192">
        <v>1810651.07</v>
      </c>
      <c r="X140" s="192">
        <v>25162379.32</v>
      </c>
      <c r="Y140" s="192">
        <v>3180275.3900000006</v>
      </c>
      <c r="Z140" s="192">
        <v>193894701.86999997</v>
      </c>
      <c r="AA140" s="193">
        <v>1229992.4699999988</v>
      </c>
      <c r="AB140" s="193">
        <v>1413205.660000002</v>
      </c>
      <c r="AC140" s="193">
        <v>9943300.8200000077</v>
      </c>
      <c r="AD140" s="193">
        <v>1213674.19000002</v>
      </c>
      <c r="AE140" s="193">
        <v>-408072.7100000002</v>
      </c>
      <c r="AF140" s="193">
        <v>1654198.9400000013</v>
      </c>
      <c r="AG140" s="193">
        <v>239668.34999999963</v>
      </c>
      <c r="AH140" s="193">
        <v>15046299.370000064</v>
      </c>
      <c r="AI140" s="194">
        <v>5.9412242505414365</v>
      </c>
      <c r="AJ140" s="194">
        <v>10.40363417539651</v>
      </c>
      <c r="AK140" s="194">
        <v>13.450101333944895</v>
      </c>
      <c r="AL140" s="194">
        <v>2.0673100096559227</v>
      </c>
      <c r="AM140" s="194">
        <v>-22.537346745665367</v>
      </c>
      <c r="AN140" s="194">
        <v>6.5740958713120659</v>
      </c>
      <c r="AO140" s="194">
        <v>7.5360879360827804</v>
      </c>
      <c r="AP140" s="194">
        <v>7.7600363624624009</v>
      </c>
    </row>
    <row r="141" spans="1:42" ht="12" customHeight="1">
      <c r="A141" s="189" t="s">
        <v>784</v>
      </c>
      <c r="B141" s="189"/>
      <c r="C141" s="189" t="s">
        <v>81</v>
      </c>
      <c r="D141" s="189" t="s">
        <v>756</v>
      </c>
      <c r="E141" s="189" t="s">
        <v>878</v>
      </c>
      <c r="F141" s="190" t="s">
        <v>718</v>
      </c>
      <c r="G141" s="189" t="s">
        <v>688</v>
      </c>
      <c r="H141" s="197"/>
      <c r="I141" s="195"/>
      <c r="J141" s="195"/>
      <c r="K141" s="192">
        <v>9804561</v>
      </c>
      <c r="L141" s="192">
        <v>5234794</v>
      </c>
      <c r="M141" s="192">
        <v>36474888</v>
      </c>
      <c r="N141" s="192">
        <v>26706660</v>
      </c>
      <c r="O141" s="192">
        <v>469244</v>
      </c>
      <c r="P141" s="192">
        <v>10875197</v>
      </c>
      <c r="Q141" s="192">
        <v>1292816</v>
      </c>
      <c r="R141" s="192">
        <v>89565344</v>
      </c>
      <c r="S141" s="192">
        <v>9071723</v>
      </c>
      <c r="T141" s="192">
        <v>6431594</v>
      </c>
      <c r="U141" s="192">
        <v>31766146</v>
      </c>
      <c r="V141" s="192">
        <v>25746720</v>
      </c>
      <c r="W141" s="192">
        <v>580539</v>
      </c>
      <c r="X141" s="192">
        <v>10253972</v>
      </c>
      <c r="Y141" s="192">
        <v>1264366</v>
      </c>
      <c r="Z141" s="192">
        <v>83850694</v>
      </c>
      <c r="AA141" s="193">
        <v>732838</v>
      </c>
      <c r="AB141" s="193">
        <v>-1196800</v>
      </c>
      <c r="AC141" s="193">
        <v>4708742</v>
      </c>
      <c r="AD141" s="193">
        <v>959940</v>
      </c>
      <c r="AE141" s="193">
        <v>-111295</v>
      </c>
      <c r="AF141" s="193">
        <v>621225</v>
      </c>
      <c r="AG141" s="193">
        <v>28450</v>
      </c>
      <c r="AH141" s="193">
        <v>5714650</v>
      </c>
      <c r="AI141" s="194">
        <v>8.0782669400289233</v>
      </c>
      <c r="AJ141" s="194">
        <v>-18.60813975509026</v>
      </c>
      <c r="AK141" s="194">
        <v>14.823145369916766</v>
      </c>
      <c r="AL141" s="194">
        <v>3.7283972482708476</v>
      </c>
      <c r="AM141" s="194">
        <v>-19.170977315908146</v>
      </c>
      <c r="AN141" s="194">
        <v>6.0583840096306094</v>
      </c>
      <c r="AO141" s="194">
        <v>2.2501395956550554</v>
      </c>
      <c r="AP141" s="194">
        <v>6.8152685772642494</v>
      </c>
    </row>
    <row r="142" spans="1:42" ht="12" customHeight="1">
      <c r="A142" s="189" t="s">
        <v>476</v>
      </c>
      <c r="B142" s="189"/>
      <c r="C142" s="189" t="s">
        <v>102</v>
      </c>
      <c r="D142" s="189" t="s">
        <v>755</v>
      </c>
      <c r="E142" s="189" t="s">
        <v>878</v>
      </c>
      <c r="F142" s="190" t="s">
        <v>718</v>
      </c>
      <c r="G142" s="189" t="s">
        <v>688</v>
      </c>
      <c r="H142" s="197"/>
      <c r="I142" s="195"/>
      <c r="J142" s="195"/>
      <c r="K142" s="192">
        <v>13511051.34</v>
      </c>
      <c r="L142" s="192">
        <v>6903015.4899999993</v>
      </c>
      <c r="M142" s="192">
        <v>42765135.780000009</v>
      </c>
      <c r="N142" s="192">
        <v>35289538.569999993</v>
      </c>
      <c r="O142" s="192">
        <v>317939.19</v>
      </c>
      <c r="P142" s="192">
        <v>14426611.76</v>
      </c>
      <c r="Q142" s="192">
        <v>1782392.83</v>
      </c>
      <c r="R142" s="192">
        <v>113213292.13000001</v>
      </c>
      <c r="S142" s="192">
        <v>12890770.379999999</v>
      </c>
      <c r="T142" s="192">
        <v>7392845.3699999992</v>
      </c>
      <c r="U142" s="192">
        <v>37658744.210000008</v>
      </c>
      <c r="V142" s="192">
        <v>35228868.540000014</v>
      </c>
      <c r="W142" s="192">
        <v>429314.14999999997</v>
      </c>
      <c r="X142" s="192">
        <v>13826028.77</v>
      </c>
      <c r="Y142" s="192">
        <v>1764492.49</v>
      </c>
      <c r="Z142" s="192">
        <v>107426571.42000003</v>
      </c>
      <c r="AA142" s="193">
        <v>620280.96000000089</v>
      </c>
      <c r="AB142" s="193">
        <v>-489829.87999999989</v>
      </c>
      <c r="AC142" s="193">
        <v>5106391.57</v>
      </c>
      <c r="AD142" s="193">
        <v>60670.02999997884</v>
      </c>
      <c r="AE142" s="193">
        <v>-111374.95999999996</v>
      </c>
      <c r="AF142" s="193">
        <v>600582.99000000022</v>
      </c>
      <c r="AG142" s="193">
        <v>17900.340000000084</v>
      </c>
      <c r="AH142" s="193">
        <v>5786720.7099999785</v>
      </c>
      <c r="AI142" s="194">
        <v>4.8118222706252327</v>
      </c>
      <c r="AJ142" s="194">
        <v>-6.6257287348078258</v>
      </c>
      <c r="AK142" s="194">
        <v>13.559643788238787</v>
      </c>
      <c r="AL142" s="194">
        <v>0.1722167997847904</v>
      </c>
      <c r="AM142" s="194">
        <v>-25.942531826635566</v>
      </c>
      <c r="AN142" s="194">
        <v>4.3438575167958389</v>
      </c>
      <c r="AO142" s="194">
        <v>1.0144752727170907</v>
      </c>
      <c r="AP142" s="194">
        <v>5.3866754132699066</v>
      </c>
    </row>
    <row r="143" spans="1:42" ht="12" customHeight="1">
      <c r="A143" s="189" t="s">
        <v>477</v>
      </c>
      <c r="B143" s="189"/>
      <c r="C143" s="189" t="s">
        <v>103</v>
      </c>
      <c r="D143" s="189" t="s">
        <v>755</v>
      </c>
      <c r="E143" s="189" t="s">
        <v>878</v>
      </c>
      <c r="F143" s="190" t="s">
        <v>718</v>
      </c>
      <c r="G143" s="189" t="s">
        <v>688</v>
      </c>
      <c r="H143" s="197"/>
      <c r="I143" s="195"/>
      <c r="J143" s="195"/>
      <c r="K143" s="192">
        <v>13181815.410000002</v>
      </c>
      <c r="L143" s="192">
        <v>6216184.8199999994</v>
      </c>
      <c r="M143" s="192">
        <v>44243973.469999999</v>
      </c>
      <c r="N143" s="192">
        <v>40030899.009999998</v>
      </c>
      <c r="O143" s="192">
        <v>225663.78</v>
      </c>
      <c r="P143" s="192">
        <v>15342801.280000003</v>
      </c>
      <c r="Q143" s="192">
        <v>1750726.3199999998</v>
      </c>
      <c r="R143" s="192">
        <v>119241337.77000001</v>
      </c>
      <c r="S143" s="192">
        <v>12422939.719999999</v>
      </c>
      <c r="T143" s="192">
        <v>6292313.0100000007</v>
      </c>
      <c r="U143" s="192">
        <v>38664426.520000003</v>
      </c>
      <c r="V143" s="192">
        <v>38850004.49000001</v>
      </c>
      <c r="W143" s="192">
        <v>314764.13</v>
      </c>
      <c r="X143" s="192">
        <v>14369655.73</v>
      </c>
      <c r="Y143" s="192">
        <v>1522469.4999999998</v>
      </c>
      <c r="Z143" s="192">
        <v>110914103.60000001</v>
      </c>
      <c r="AA143" s="193">
        <v>758875.6900000032</v>
      </c>
      <c r="AB143" s="193">
        <v>-76128.190000001341</v>
      </c>
      <c r="AC143" s="193">
        <v>5579546.9499999955</v>
      </c>
      <c r="AD143" s="193">
        <v>1180894.5199999884</v>
      </c>
      <c r="AE143" s="193">
        <v>-89100.35</v>
      </c>
      <c r="AF143" s="193">
        <v>973145.55000000261</v>
      </c>
      <c r="AG143" s="193">
        <v>228256.82000000007</v>
      </c>
      <c r="AH143" s="193">
        <v>8327234.1700000018</v>
      </c>
      <c r="AI143" s="194">
        <v>6.1086643508240686</v>
      </c>
      <c r="AJ143" s="194">
        <v>-1.209860187803997</v>
      </c>
      <c r="AK143" s="194">
        <v>14.43069884177347</v>
      </c>
      <c r="AL143" s="194">
        <v>3.0396251828077667</v>
      </c>
      <c r="AM143" s="194">
        <v>-28.307021514808568</v>
      </c>
      <c r="AN143" s="194">
        <v>6.7722259202656803</v>
      </c>
      <c r="AO143" s="194">
        <v>14.992538109958858</v>
      </c>
      <c r="AP143" s="194">
        <v>7.5078226300518924</v>
      </c>
    </row>
    <row r="144" spans="1:42" ht="12" customHeight="1">
      <c r="A144" s="189" t="s">
        <v>785</v>
      </c>
      <c r="B144" s="189"/>
      <c r="C144" s="189" t="s">
        <v>116</v>
      </c>
      <c r="D144" s="189" t="s">
        <v>755</v>
      </c>
      <c r="E144" s="189" t="s">
        <v>878</v>
      </c>
      <c r="F144" s="190" t="s">
        <v>718</v>
      </c>
      <c r="G144" s="189" t="s">
        <v>688</v>
      </c>
      <c r="H144" s="197"/>
      <c r="I144" s="195"/>
      <c r="J144" s="195"/>
      <c r="K144" s="192">
        <v>5078851.18</v>
      </c>
      <c r="L144" s="192">
        <v>1725260.66</v>
      </c>
      <c r="M144" s="192">
        <v>12670805.529999999</v>
      </c>
      <c r="N144" s="192">
        <v>7795963.950000002</v>
      </c>
      <c r="O144" s="192">
        <v>84862.52</v>
      </c>
      <c r="P144" s="192">
        <v>4023287.81</v>
      </c>
      <c r="Q144" s="192">
        <v>710891.53</v>
      </c>
      <c r="R144" s="192">
        <v>31379031.649999999</v>
      </c>
      <c r="S144" s="192">
        <v>4771083.34</v>
      </c>
      <c r="T144" s="192">
        <v>1979969.67</v>
      </c>
      <c r="U144" s="192">
        <v>11894018.089999998</v>
      </c>
      <c r="V144" s="192">
        <v>8064149.2199999997</v>
      </c>
      <c r="W144" s="192">
        <v>151058.32</v>
      </c>
      <c r="X144" s="192">
        <v>4188719.1599999992</v>
      </c>
      <c r="Y144" s="192">
        <v>549287.74</v>
      </c>
      <c r="Z144" s="192">
        <v>31048997.799999997</v>
      </c>
      <c r="AA144" s="193">
        <v>307767.83999999985</v>
      </c>
      <c r="AB144" s="193">
        <v>-254709.01</v>
      </c>
      <c r="AC144" s="193">
        <v>776787.44000000134</v>
      </c>
      <c r="AD144" s="193">
        <v>-268185.26999999769</v>
      </c>
      <c r="AE144" s="193">
        <v>-66195.8</v>
      </c>
      <c r="AF144" s="193">
        <v>-165431.34999999916</v>
      </c>
      <c r="AG144" s="193">
        <v>161603.79000000004</v>
      </c>
      <c r="AH144" s="193">
        <v>330033.85000000149</v>
      </c>
      <c r="AI144" s="194">
        <v>6.4506909242126103</v>
      </c>
      <c r="AJ144" s="194">
        <v>-12.864288471651186</v>
      </c>
      <c r="AK144" s="194">
        <v>6.5309085131885949</v>
      </c>
      <c r="AL144" s="194">
        <v>-3.3256486541056054</v>
      </c>
      <c r="AM144" s="194">
        <v>-43.821353236286484</v>
      </c>
      <c r="AN144" s="194">
        <v>-3.9494495496327136</v>
      </c>
      <c r="AO144" s="194">
        <v>29.420607494352602</v>
      </c>
      <c r="AP144" s="194">
        <v>1.0629452587355381</v>
      </c>
    </row>
    <row r="145" spans="1:42" ht="12" customHeight="1">
      <c r="A145" s="189" t="s">
        <v>786</v>
      </c>
      <c r="B145" s="189"/>
      <c r="C145" s="189" t="s">
        <v>117</v>
      </c>
      <c r="D145" s="189" t="s">
        <v>755</v>
      </c>
      <c r="E145" s="189" t="s">
        <v>876</v>
      </c>
      <c r="F145" s="190" t="s">
        <v>718</v>
      </c>
      <c r="G145" s="189" t="s">
        <v>688</v>
      </c>
      <c r="H145" s="197"/>
      <c r="I145" s="195"/>
      <c r="J145" s="195"/>
      <c r="K145" s="192">
        <v>7151153.8799999999</v>
      </c>
      <c r="L145" s="192">
        <v>2697330.37</v>
      </c>
      <c r="M145" s="192">
        <v>21133594.789999992</v>
      </c>
      <c r="N145" s="192">
        <v>15196787.140000001</v>
      </c>
      <c r="O145" s="192">
        <v>274018.40999999997</v>
      </c>
      <c r="P145" s="192">
        <v>6780707.2299999995</v>
      </c>
      <c r="Q145" s="192">
        <v>267298.63</v>
      </c>
      <c r="R145" s="192">
        <v>53233591.819999985</v>
      </c>
      <c r="S145" s="192">
        <v>6544553.9499999993</v>
      </c>
      <c r="T145" s="192">
        <v>2568571.8599999994</v>
      </c>
      <c r="U145" s="192">
        <v>18643453.149999995</v>
      </c>
      <c r="V145" s="192">
        <v>15117053.059999999</v>
      </c>
      <c r="W145" s="192">
        <v>324808.97000000003</v>
      </c>
      <c r="X145" s="192">
        <v>6553188.5199999996</v>
      </c>
      <c r="Y145" s="192">
        <v>522360.28</v>
      </c>
      <c r="Z145" s="192">
        <v>49751629.50999999</v>
      </c>
      <c r="AA145" s="193">
        <v>606599.93000000063</v>
      </c>
      <c r="AB145" s="193">
        <v>128758.51000000071</v>
      </c>
      <c r="AC145" s="193">
        <v>2490141.6399999969</v>
      </c>
      <c r="AD145" s="193">
        <v>79734.080000001937</v>
      </c>
      <c r="AE145" s="193">
        <v>-50790.560000000056</v>
      </c>
      <c r="AF145" s="193">
        <v>227518.70999999996</v>
      </c>
      <c r="AG145" s="193">
        <v>-255061.65000000002</v>
      </c>
      <c r="AH145" s="193">
        <v>3481962.3099999949</v>
      </c>
      <c r="AI145" s="194">
        <v>9.2687742302132108</v>
      </c>
      <c r="AJ145" s="194">
        <v>5.0128443749282816</v>
      </c>
      <c r="AK145" s="194">
        <v>13.356654585204875</v>
      </c>
      <c r="AL145" s="194">
        <v>0.52744459970825786</v>
      </c>
      <c r="AM145" s="194">
        <v>-15.637055836235081</v>
      </c>
      <c r="AN145" s="194">
        <v>3.4718779919977032</v>
      </c>
      <c r="AO145" s="194">
        <v>-48.828683911418381</v>
      </c>
      <c r="AP145" s="194">
        <v>6.9986899811997638</v>
      </c>
    </row>
    <row r="146" spans="1:42" ht="12" customHeight="1">
      <c r="A146" s="189" t="s">
        <v>478</v>
      </c>
      <c r="B146" s="189"/>
      <c r="C146" s="189" t="s">
        <v>105</v>
      </c>
      <c r="D146" s="189" t="s">
        <v>756</v>
      </c>
      <c r="E146" s="189" t="s">
        <v>874</v>
      </c>
      <c r="F146" s="190" t="s">
        <v>718</v>
      </c>
      <c r="G146" s="189" t="s">
        <v>688</v>
      </c>
      <c r="H146" s="197"/>
      <c r="I146" s="195"/>
      <c r="J146" s="195"/>
      <c r="K146" s="192">
        <v>6695635</v>
      </c>
      <c r="L146" s="192">
        <v>4343786</v>
      </c>
      <c r="M146" s="192" t="s">
        <v>987</v>
      </c>
      <c r="N146" s="192">
        <v>19566285</v>
      </c>
      <c r="O146" s="192">
        <v>218299</v>
      </c>
      <c r="P146" s="192">
        <v>8700646</v>
      </c>
      <c r="Q146" s="192">
        <v>1503771</v>
      </c>
      <c r="R146" s="192" t="s">
        <v>987</v>
      </c>
      <c r="S146" s="192">
        <v>6776575</v>
      </c>
      <c r="T146" s="192">
        <v>3082393</v>
      </c>
      <c r="U146" s="192" t="s">
        <v>987</v>
      </c>
      <c r="V146" s="192">
        <v>18825845</v>
      </c>
      <c r="W146" s="192">
        <v>388557</v>
      </c>
      <c r="X146" s="192">
        <v>8051578</v>
      </c>
      <c r="Y146" s="192">
        <v>1418065</v>
      </c>
      <c r="Z146" s="192" t="s">
        <v>987</v>
      </c>
      <c r="AA146" s="193">
        <v>-80940</v>
      </c>
      <c r="AB146" s="193">
        <v>1261393</v>
      </c>
      <c r="AC146" s="193" t="s">
        <v>985</v>
      </c>
      <c r="AD146" s="193">
        <v>740440</v>
      </c>
      <c r="AE146" s="193">
        <v>-170258</v>
      </c>
      <c r="AF146" s="193">
        <v>649068</v>
      </c>
      <c r="AG146" s="193">
        <v>85706</v>
      </c>
      <c r="AH146" s="193" t="s">
        <v>985</v>
      </c>
      <c r="AI146" s="194">
        <v>-1.1944086799009825</v>
      </c>
      <c r="AJ146" s="194">
        <v>40.922523506898699</v>
      </c>
      <c r="AK146" s="194" t="s">
        <v>985</v>
      </c>
      <c r="AL146" s="194">
        <v>3.9331036667942394</v>
      </c>
      <c r="AM146" s="194">
        <v>-43.818024125160534</v>
      </c>
      <c r="AN146" s="194">
        <v>8.0613762917033167</v>
      </c>
      <c r="AO146" s="194">
        <v>6.0438696392619518</v>
      </c>
      <c r="AP146" s="194" t="s">
        <v>985</v>
      </c>
    </row>
    <row r="147" spans="1:42" ht="12" customHeight="1">
      <c r="A147" s="189" t="s">
        <v>787</v>
      </c>
      <c r="B147" s="189"/>
      <c r="C147" s="189" t="s">
        <v>100</v>
      </c>
      <c r="D147" s="189" t="s">
        <v>756</v>
      </c>
      <c r="E147" s="189" t="s">
        <v>874</v>
      </c>
      <c r="F147" s="190" t="s">
        <v>718</v>
      </c>
      <c r="G147" s="189" t="s">
        <v>688</v>
      </c>
      <c r="H147" s="197"/>
      <c r="I147" s="195"/>
      <c r="J147" s="195"/>
      <c r="K147" s="192">
        <v>14564983</v>
      </c>
      <c r="L147" s="192">
        <v>6621071</v>
      </c>
      <c r="M147" s="192">
        <v>52947984</v>
      </c>
      <c r="N147" s="192">
        <v>37890005</v>
      </c>
      <c r="O147" s="192">
        <v>380969</v>
      </c>
      <c r="P147" s="192">
        <v>17126911</v>
      </c>
      <c r="Q147" s="192">
        <v>1330094</v>
      </c>
      <c r="R147" s="192">
        <v>129531923</v>
      </c>
      <c r="S147" s="192">
        <v>13640334</v>
      </c>
      <c r="T147" s="192">
        <v>7179696</v>
      </c>
      <c r="U147" s="192">
        <v>47461957</v>
      </c>
      <c r="V147" s="192">
        <v>36194470</v>
      </c>
      <c r="W147" s="192">
        <v>541103</v>
      </c>
      <c r="X147" s="192">
        <v>16185048</v>
      </c>
      <c r="Y147" s="192">
        <v>1489459</v>
      </c>
      <c r="Z147" s="192">
        <v>121202608</v>
      </c>
      <c r="AA147" s="193">
        <v>924649</v>
      </c>
      <c r="AB147" s="193">
        <v>-558625</v>
      </c>
      <c r="AC147" s="193">
        <v>5486027</v>
      </c>
      <c r="AD147" s="193">
        <v>1695535</v>
      </c>
      <c r="AE147" s="193">
        <v>-160134</v>
      </c>
      <c r="AF147" s="193">
        <v>941863</v>
      </c>
      <c r="AG147" s="193">
        <v>-159365</v>
      </c>
      <c r="AH147" s="193">
        <v>8329315</v>
      </c>
      <c r="AI147" s="194">
        <v>6.7787856221115996</v>
      </c>
      <c r="AJ147" s="194">
        <v>-7.7806219093398941</v>
      </c>
      <c r="AK147" s="194">
        <v>11.558788020477117</v>
      </c>
      <c r="AL147" s="194">
        <v>4.6845139602817776</v>
      </c>
      <c r="AM147" s="194">
        <v>-29.593995967496024</v>
      </c>
      <c r="AN147" s="194">
        <v>5.8193401712494142</v>
      </c>
      <c r="AO147" s="194">
        <v>-10.699522444055191</v>
      </c>
      <c r="AP147" s="194">
        <v>6.8722242346468319</v>
      </c>
    </row>
    <row r="148" spans="1:42" ht="12" customHeight="1">
      <c r="A148" s="189" t="s">
        <v>479</v>
      </c>
      <c r="B148" s="189"/>
      <c r="C148" s="189" t="s">
        <v>106</v>
      </c>
      <c r="D148" s="189" t="s">
        <v>755</v>
      </c>
      <c r="E148" s="189" t="s">
        <v>883</v>
      </c>
      <c r="F148" s="190" t="s">
        <v>718</v>
      </c>
      <c r="G148" s="189" t="s">
        <v>688</v>
      </c>
      <c r="H148" s="197"/>
      <c r="I148" s="195"/>
      <c r="J148" s="195"/>
      <c r="K148" s="192">
        <v>10628777.579999998</v>
      </c>
      <c r="L148" s="192">
        <v>7018712.75</v>
      </c>
      <c r="M148" s="192">
        <v>35111854.649999991</v>
      </c>
      <c r="N148" s="192">
        <v>28132808.890000001</v>
      </c>
      <c r="O148" s="192">
        <v>287760.58999999997</v>
      </c>
      <c r="P148" s="192">
        <v>11815420.739999998</v>
      </c>
      <c r="Q148" s="192">
        <v>1576412.31</v>
      </c>
      <c r="R148" s="192">
        <v>92995335.199999988</v>
      </c>
      <c r="S148" s="192">
        <v>10064995.41</v>
      </c>
      <c r="T148" s="192">
        <v>7256091.2500000019</v>
      </c>
      <c r="U148" s="192">
        <v>31778400.379999995</v>
      </c>
      <c r="V148" s="192">
        <v>27110317.469999999</v>
      </c>
      <c r="W148" s="192">
        <v>396563.52</v>
      </c>
      <c r="X148" s="192">
        <v>11471127.26</v>
      </c>
      <c r="Y148" s="192">
        <v>1445476.3999999997</v>
      </c>
      <c r="Z148" s="192">
        <v>88077495.289999992</v>
      </c>
      <c r="AA148" s="193">
        <v>563782.16999999806</v>
      </c>
      <c r="AB148" s="193">
        <v>-237378.50000000186</v>
      </c>
      <c r="AC148" s="193">
        <v>3333454.2699999958</v>
      </c>
      <c r="AD148" s="193">
        <v>1022491.4200000018</v>
      </c>
      <c r="AE148" s="193">
        <v>-108802.93000000005</v>
      </c>
      <c r="AF148" s="193">
        <v>344293.47999999858</v>
      </c>
      <c r="AG148" s="193">
        <v>130935.91000000038</v>
      </c>
      <c r="AH148" s="193">
        <v>4917839.9099999964</v>
      </c>
      <c r="AI148" s="194">
        <v>5.6014150730745147</v>
      </c>
      <c r="AJ148" s="194">
        <v>-3.2714376352420018</v>
      </c>
      <c r="AK148" s="194">
        <v>10.489685541560277</v>
      </c>
      <c r="AL148" s="194">
        <v>3.7715951542488586</v>
      </c>
      <c r="AM148" s="194">
        <v>-27.436444481832329</v>
      </c>
      <c r="AN148" s="194">
        <v>3.0013918614655712</v>
      </c>
      <c r="AO148" s="194">
        <v>9.0583222251155693</v>
      </c>
      <c r="AP148" s="194">
        <v>5.5835374221391492</v>
      </c>
    </row>
    <row r="149" spans="1:42" ht="12" customHeight="1">
      <c r="A149" s="189" t="s">
        <v>480</v>
      </c>
      <c r="B149" s="189"/>
      <c r="C149" s="189" t="s">
        <v>107</v>
      </c>
      <c r="D149" s="189" t="s">
        <v>755</v>
      </c>
      <c r="E149" s="189" t="s">
        <v>882</v>
      </c>
      <c r="F149" s="190" t="s">
        <v>718</v>
      </c>
      <c r="G149" s="189" t="s">
        <v>688</v>
      </c>
      <c r="H149" s="197"/>
      <c r="I149" s="195"/>
      <c r="J149" s="195"/>
      <c r="K149" s="192">
        <v>18303967.59</v>
      </c>
      <c r="L149" s="192">
        <v>12481195.59</v>
      </c>
      <c r="M149" s="192">
        <v>58277416.240000017</v>
      </c>
      <c r="N149" s="192">
        <v>56909572.830000006</v>
      </c>
      <c r="O149" s="192">
        <v>938180.17999999993</v>
      </c>
      <c r="P149" s="192">
        <v>20614753.359999992</v>
      </c>
      <c r="Q149" s="192">
        <v>4806173.93</v>
      </c>
      <c r="R149" s="192">
        <v>167525085.79000002</v>
      </c>
      <c r="S149" s="192">
        <v>17333853.460000001</v>
      </c>
      <c r="T149" s="192">
        <v>14398409.850000001</v>
      </c>
      <c r="U149" s="192">
        <v>51853838.480000004</v>
      </c>
      <c r="V149" s="192">
        <v>54548893.580000013</v>
      </c>
      <c r="W149" s="192">
        <v>967582.04</v>
      </c>
      <c r="X149" s="192">
        <v>19860340.399999999</v>
      </c>
      <c r="Y149" s="192">
        <v>4310646.33</v>
      </c>
      <c r="Z149" s="192">
        <v>158962917.81</v>
      </c>
      <c r="AA149" s="193">
        <v>970114.12999999896</v>
      </c>
      <c r="AB149" s="193">
        <v>-1917214.2600000016</v>
      </c>
      <c r="AC149" s="193">
        <v>6423577.7600000128</v>
      </c>
      <c r="AD149" s="193">
        <v>2360679.2499999925</v>
      </c>
      <c r="AE149" s="193">
        <v>-29401.860000000102</v>
      </c>
      <c r="AF149" s="193">
        <v>754412.95999999344</v>
      </c>
      <c r="AG149" s="193">
        <v>495527.59999999963</v>
      </c>
      <c r="AH149" s="193">
        <v>8562167.9800000191</v>
      </c>
      <c r="AI149" s="194">
        <v>5.5966443482325303</v>
      </c>
      <c r="AJ149" s="194">
        <v>-13.31545830389042</v>
      </c>
      <c r="AK149" s="194">
        <v>12.387853914571018</v>
      </c>
      <c r="AL149" s="194">
        <v>4.3276391051596326</v>
      </c>
      <c r="AM149" s="194">
        <v>-3.0386942692735492</v>
      </c>
      <c r="AN149" s="194">
        <v>3.7985902799530744</v>
      </c>
      <c r="AO149" s="194">
        <v>11.495436230789077</v>
      </c>
      <c r="AP149" s="194">
        <v>5.3862675005965404</v>
      </c>
    </row>
    <row r="150" spans="1:42" ht="12" customHeight="1">
      <c r="A150" s="189" t="s">
        <v>481</v>
      </c>
      <c r="B150" s="189"/>
      <c r="C150" s="189" t="s">
        <v>108</v>
      </c>
      <c r="D150" s="189" t="s">
        <v>755</v>
      </c>
      <c r="E150" s="189" t="s">
        <v>879</v>
      </c>
      <c r="F150" s="190" t="s">
        <v>718</v>
      </c>
      <c r="G150" s="189" t="s">
        <v>688</v>
      </c>
      <c r="H150" s="197"/>
      <c r="I150" s="195"/>
      <c r="J150" s="195"/>
      <c r="K150" s="192">
        <v>7667636.9900000012</v>
      </c>
      <c r="L150" s="192">
        <v>3711640.9200000004</v>
      </c>
      <c r="M150" s="192">
        <v>24366856.57</v>
      </c>
      <c r="N150" s="192">
        <v>16621748.809999999</v>
      </c>
      <c r="O150" s="192">
        <v>231584.82</v>
      </c>
      <c r="P150" s="192">
        <v>7889778.2700000005</v>
      </c>
      <c r="Q150" s="192">
        <v>2233783.7999999998</v>
      </c>
      <c r="R150" s="192">
        <v>60489246.38000001</v>
      </c>
      <c r="S150" s="192">
        <v>7259040.6600000001</v>
      </c>
      <c r="T150" s="192">
        <v>3703854.2499999995</v>
      </c>
      <c r="U150" s="192">
        <v>21864593.569999997</v>
      </c>
      <c r="V150" s="192">
        <v>16162638.719999999</v>
      </c>
      <c r="W150" s="192">
        <v>355851.11</v>
      </c>
      <c r="X150" s="192">
        <v>7586578.1800000006</v>
      </c>
      <c r="Y150" s="192">
        <v>2408680.1</v>
      </c>
      <c r="Z150" s="192">
        <v>56932556.489999995</v>
      </c>
      <c r="AA150" s="193">
        <v>408596.33000000101</v>
      </c>
      <c r="AB150" s="193">
        <v>7786.6700000008568</v>
      </c>
      <c r="AC150" s="193">
        <v>2502263.0000000037</v>
      </c>
      <c r="AD150" s="193">
        <v>459110.08999999985</v>
      </c>
      <c r="AE150" s="193">
        <v>-124266.28999999998</v>
      </c>
      <c r="AF150" s="193">
        <v>303200.08999999985</v>
      </c>
      <c r="AG150" s="193">
        <v>-174896.30000000028</v>
      </c>
      <c r="AH150" s="193">
        <v>3556689.8900000155</v>
      </c>
      <c r="AI150" s="194">
        <v>5.6287924140102694</v>
      </c>
      <c r="AJ150" s="194">
        <v>0.21023154461331348</v>
      </c>
      <c r="AK150" s="194">
        <v>11.444360911575838</v>
      </c>
      <c r="AL150" s="194">
        <v>2.8405639571209811</v>
      </c>
      <c r="AM150" s="194">
        <v>-34.920866201597619</v>
      </c>
      <c r="AN150" s="194">
        <v>3.996532861142938</v>
      </c>
      <c r="AO150" s="194">
        <v>-7.2610846081221103</v>
      </c>
      <c r="AP150" s="194">
        <v>6.2471986316383594</v>
      </c>
    </row>
    <row r="151" spans="1:42" ht="12" customHeight="1">
      <c r="A151" s="189" t="s">
        <v>482</v>
      </c>
      <c r="B151" s="189"/>
      <c r="C151" s="189" t="s">
        <v>109</v>
      </c>
      <c r="D151" s="189" t="s">
        <v>756</v>
      </c>
      <c r="E151" s="189" t="s">
        <v>878</v>
      </c>
      <c r="F151" s="190" t="s">
        <v>718</v>
      </c>
      <c r="G151" s="189" t="s">
        <v>688</v>
      </c>
      <c r="H151" s="197"/>
      <c r="I151" s="195"/>
      <c r="J151" s="195"/>
      <c r="K151" s="192">
        <v>6971005</v>
      </c>
      <c r="L151" s="192">
        <v>3675533</v>
      </c>
      <c r="M151" s="192">
        <v>22501633</v>
      </c>
      <c r="N151" s="192">
        <v>18055863</v>
      </c>
      <c r="O151" s="192">
        <v>223430</v>
      </c>
      <c r="P151" s="192">
        <v>7694172</v>
      </c>
      <c r="Q151" s="192">
        <v>1944197</v>
      </c>
      <c r="R151" s="192">
        <v>59121636</v>
      </c>
      <c r="S151" s="192">
        <v>6631086</v>
      </c>
      <c r="T151" s="192">
        <v>3917496</v>
      </c>
      <c r="U151" s="192">
        <v>19557638</v>
      </c>
      <c r="V151" s="192">
        <v>17994692</v>
      </c>
      <c r="W151" s="192">
        <v>269392</v>
      </c>
      <c r="X151" s="192">
        <v>7184489</v>
      </c>
      <c r="Y151" s="192">
        <v>1574113</v>
      </c>
      <c r="Z151" s="192">
        <v>55554793</v>
      </c>
      <c r="AA151" s="193">
        <v>339919</v>
      </c>
      <c r="AB151" s="193">
        <v>-241963</v>
      </c>
      <c r="AC151" s="193">
        <v>2943995</v>
      </c>
      <c r="AD151" s="193">
        <v>61171</v>
      </c>
      <c r="AE151" s="193">
        <v>-45962</v>
      </c>
      <c r="AF151" s="193">
        <v>509683</v>
      </c>
      <c r="AG151" s="193">
        <v>370084</v>
      </c>
      <c r="AH151" s="193">
        <v>3566843</v>
      </c>
      <c r="AI151" s="194">
        <v>5.1261437417641691</v>
      </c>
      <c r="AJ151" s="194">
        <v>-6.1764708885471737</v>
      </c>
      <c r="AK151" s="194">
        <v>15.052916921767343</v>
      </c>
      <c r="AL151" s="194">
        <v>0.33993913316215696</v>
      </c>
      <c r="AM151" s="194">
        <v>-17.061382669121578</v>
      </c>
      <c r="AN151" s="194">
        <v>7.0942136594544163</v>
      </c>
      <c r="AO151" s="194">
        <v>23.510637419295819</v>
      </c>
      <c r="AP151" s="194">
        <v>6.420405526486257</v>
      </c>
    </row>
    <row r="152" spans="1:42" ht="12" customHeight="1">
      <c r="A152" s="189" t="s">
        <v>483</v>
      </c>
      <c r="B152" s="189"/>
      <c r="C152" s="189" t="s">
        <v>110</v>
      </c>
      <c r="D152" s="189" t="s">
        <v>756</v>
      </c>
      <c r="E152" s="189" t="s">
        <v>878</v>
      </c>
      <c r="F152" s="190" t="s">
        <v>718</v>
      </c>
      <c r="G152" s="189" t="s">
        <v>688</v>
      </c>
      <c r="H152" s="197"/>
      <c r="I152" s="195"/>
      <c r="J152" s="195"/>
      <c r="K152" s="192">
        <v>6448127</v>
      </c>
      <c r="L152" s="192">
        <v>3339982</v>
      </c>
      <c r="M152" s="192">
        <v>21915487</v>
      </c>
      <c r="N152" s="192">
        <v>16563538</v>
      </c>
      <c r="O152" s="192">
        <v>147365</v>
      </c>
      <c r="P152" s="192">
        <v>7326289</v>
      </c>
      <c r="Q152" s="192">
        <v>1073356</v>
      </c>
      <c r="R152" s="192">
        <v>55740788</v>
      </c>
      <c r="S152" s="192">
        <v>6080404</v>
      </c>
      <c r="T152" s="192">
        <v>3367914</v>
      </c>
      <c r="U152" s="192">
        <v>19643758</v>
      </c>
      <c r="V152" s="192">
        <v>15501492</v>
      </c>
      <c r="W152" s="192">
        <v>192090</v>
      </c>
      <c r="X152" s="192">
        <v>6660523</v>
      </c>
      <c r="Y152" s="192">
        <v>1007756</v>
      </c>
      <c r="Z152" s="192">
        <v>51446181</v>
      </c>
      <c r="AA152" s="193">
        <v>367723</v>
      </c>
      <c r="AB152" s="193">
        <v>-27932</v>
      </c>
      <c r="AC152" s="193">
        <v>2271729</v>
      </c>
      <c r="AD152" s="193">
        <v>1062046</v>
      </c>
      <c r="AE152" s="193">
        <v>-44725</v>
      </c>
      <c r="AF152" s="193">
        <v>665766</v>
      </c>
      <c r="AG152" s="193">
        <v>65600</v>
      </c>
      <c r="AH152" s="193">
        <v>4294607</v>
      </c>
      <c r="AI152" s="194">
        <v>6.0476738058852666</v>
      </c>
      <c r="AJ152" s="194">
        <v>-0.82935609400952637</v>
      </c>
      <c r="AK152" s="194">
        <v>11.564635442973794</v>
      </c>
      <c r="AL152" s="194">
        <v>6.8512501893366133</v>
      </c>
      <c r="AM152" s="194">
        <v>-23.283356759852154</v>
      </c>
      <c r="AN152" s="194">
        <v>9.9957015387530372</v>
      </c>
      <c r="AO152" s="194">
        <v>6.5095122231968849</v>
      </c>
      <c r="AP152" s="194">
        <v>8.3477663774498634</v>
      </c>
    </row>
    <row r="153" spans="1:42" ht="12" customHeight="1">
      <c r="A153" s="189" t="s">
        <v>788</v>
      </c>
      <c r="B153" s="189"/>
      <c r="C153" s="189" t="s">
        <v>122</v>
      </c>
      <c r="D153" s="189" t="s">
        <v>755</v>
      </c>
      <c r="E153" s="189" t="s">
        <v>882</v>
      </c>
      <c r="F153" s="190" t="s">
        <v>718</v>
      </c>
      <c r="G153" s="189" t="s">
        <v>688</v>
      </c>
      <c r="H153" s="197"/>
      <c r="I153" s="195"/>
      <c r="J153" s="195"/>
      <c r="K153" s="192">
        <v>11966971.639999999</v>
      </c>
      <c r="L153" s="192">
        <v>8071935.1099999994</v>
      </c>
      <c r="M153" s="192">
        <v>43330036.359999992</v>
      </c>
      <c r="N153" s="192">
        <v>33764582.960000008</v>
      </c>
      <c r="O153" s="192">
        <v>510986.75</v>
      </c>
      <c r="P153" s="192">
        <v>13680021.659999998</v>
      </c>
      <c r="Q153" s="192">
        <v>1059212.18</v>
      </c>
      <c r="R153" s="192">
        <v>111324534.47999999</v>
      </c>
      <c r="S153" s="192">
        <v>12006138.039999999</v>
      </c>
      <c r="T153" s="192">
        <v>8902737.1500000004</v>
      </c>
      <c r="U153" s="192">
        <v>38276286.989999995</v>
      </c>
      <c r="V153" s="192">
        <v>32072311.460000001</v>
      </c>
      <c r="W153" s="192">
        <v>1010568.5900000001</v>
      </c>
      <c r="X153" s="192">
        <v>13193877.559999999</v>
      </c>
      <c r="Y153" s="192">
        <v>1055644.74</v>
      </c>
      <c r="Z153" s="192">
        <v>105461919.78999999</v>
      </c>
      <c r="AA153" s="193">
        <v>-39166.400000000373</v>
      </c>
      <c r="AB153" s="193">
        <v>-830802.04000000097</v>
      </c>
      <c r="AC153" s="193">
        <v>5053749.3699999973</v>
      </c>
      <c r="AD153" s="193">
        <v>1692271.5000000075</v>
      </c>
      <c r="AE153" s="193">
        <v>-499581.84000000008</v>
      </c>
      <c r="AF153" s="193">
        <v>486144.09999999963</v>
      </c>
      <c r="AG153" s="193">
        <v>3567.4399999999441</v>
      </c>
      <c r="AH153" s="193">
        <v>5862614.6899999976</v>
      </c>
      <c r="AI153" s="194">
        <v>-0.32621980414944801</v>
      </c>
      <c r="AJ153" s="194">
        <v>-9.3319843774114002</v>
      </c>
      <c r="AK153" s="194">
        <v>13.203342767600034</v>
      </c>
      <c r="AL153" s="194">
        <v>5.2764251248637857</v>
      </c>
      <c r="AM153" s="194">
        <v>-49.435718163375732</v>
      </c>
      <c r="AN153" s="194">
        <v>3.6846188528673878</v>
      </c>
      <c r="AO153" s="194">
        <v>0.33793944731822795</v>
      </c>
      <c r="AP153" s="194">
        <v>5.5589872644779001</v>
      </c>
    </row>
    <row r="154" spans="1:42" ht="12" customHeight="1">
      <c r="A154" s="189" t="s">
        <v>789</v>
      </c>
      <c r="B154" s="189"/>
      <c r="C154" s="189" t="s">
        <v>123</v>
      </c>
      <c r="D154" s="189" t="s">
        <v>756</v>
      </c>
      <c r="E154" s="189" t="s">
        <v>878</v>
      </c>
      <c r="F154" s="190" t="s">
        <v>718</v>
      </c>
      <c r="G154" s="189" t="s">
        <v>688</v>
      </c>
      <c r="H154" s="197"/>
      <c r="I154" s="195"/>
      <c r="J154" s="195"/>
      <c r="K154" s="192">
        <v>6331649</v>
      </c>
      <c r="L154" s="192">
        <v>2176372</v>
      </c>
      <c r="M154" s="192">
        <v>19234787</v>
      </c>
      <c r="N154" s="192">
        <v>14161956</v>
      </c>
      <c r="O154" s="192">
        <v>118761</v>
      </c>
      <c r="P154" s="192">
        <v>6289802</v>
      </c>
      <c r="Q154" s="192">
        <v>1128855</v>
      </c>
      <c r="R154" s="192">
        <v>48313327</v>
      </c>
      <c r="S154" s="192">
        <v>5775466</v>
      </c>
      <c r="T154" s="192">
        <v>2745012</v>
      </c>
      <c r="U154" s="192">
        <v>16940460</v>
      </c>
      <c r="V154" s="192">
        <v>13952335</v>
      </c>
      <c r="W154" s="192">
        <v>163112</v>
      </c>
      <c r="X154" s="192">
        <v>5919140</v>
      </c>
      <c r="Y154" s="192">
        <v>1168209</v>
      </c>
      <c r="Z154" s="192">
        <v>45495525</v>
      </c>
      <c r="AA154" s="193">
        <v>556183</v>
      </c>
      <c r="AB154" s="193">
        <v>-568640</v>
      </c>
      <c r="AC154" s="193">
        <v>2294327</v>
      </c>
      <c r="AD154" s="193">
        <v>209621</v>
      </c>
      <c r="AE154" s="193">
        <v>-44351</v>
      </c>
      <c r="AF154" s="193">
        <v>370662</v>
      </c>
      <c r="AG154" s="193">
        <v>-39354</v>
      </c>
      <c r="AH154" s="193">
        <v>2817802</v>
      </c>
      <c r="AI154" s="194">
        <v>9.6300973808866672</v>
      </c>
      <c r="AJ154" s="194">
        <v>-20.715392136719256</v>
      </c>
      <c r="AK154" s="194">
        <v>13.543475206694506</v>
      </c>
      <c r="AL154" s="194">
        <v>1.5024080198762428</v>
      </c>
      <c r="AM154" s="194">
        <v>-27.190519397714453</v>
      </c>
      <c r="AN154" s="194">
        <v>6.2620921282483604</v>
      </c>
      <c r="AO154" s="194">
        <v>-3.368746517104388</v>
      </c>
      <c r="AP154" s="194">
        <v>6.1935805774304171</v>
      </c>
    </row>
    <row r="155" spans="1:42" ht="12" customHeight="1">
      <c r="A155" s="189" t="s">
        <v>484</v>
      </c>
      <c r="B155" s="189"/>
      <c r="C155" s="189" t="s">
        <v>111</v>
      </c>
      <c r="D155" s="189" t="s">
        <v>755</v>
      </c>
      <c r="E155" s="189" t="s">
        <v>882</v>
      </c>
      <c r="F155" s="190" t="s">
        <v>718</v>
      </c>
      <c r="G155" s="189" t="s">
        <v>688</v>
      </c>
      <c r="H155" s="197"/>
      <c r="I155" s="195"/>
      <c r="J155" s="195"/>
      <c r="K155" s="192">
        <v>18231033.02</v>
      </c>
      <c r="L155" s="192">
        <v>10311647.560000002</v>
      </c>
      <c r="M155" s="192">
        <v>58206343.669999994</v>
      </c>
      <c r="N155" s="192">
        <v>52508776.859999999</v>
      </c>
      <c r="O155" s="192">
        <v>762987.62999999989</v>
      </c>
      <c r="P155" s="192">
        <v>19867859.359999999</v>
      </c>
      <c r="Q155" s="192">
        <v>536995.92999999993</v>
      </c>
      <c r="R155" s="192">
        <v>159888648.10000002</v>
      </c>
      <c r="S155" s="192">
        <v>17087656.609999999</v>
      </c>
      <c r="T155" s="192">
        <v>10675277.889999999</v>
      </c>
      <c r="U155" s="192">
        <v>50559434.299999997</v>
      </c>
      <c r="V155" s="192">
        <v>48777382.370000005</v>
      </c>
      <c r="W155" s="192">
        <v>834828.58</v>
      </c>
      <c r="X155" s="192">
        <v>18661472.739999998</v>
      </c>
      <c r="Y155" s="192">
        <v>494156.33</v>
      </c>
      <c r="Z155" s="192">
        <v>146596052.49000001</v>
      </c>
      <c r="AA155" s="193">
        <v>1143376.4100000001</v>
      </c>
      <c r="AB155" s="193">
        <v>-363630.32999999635</v>
      </c>
      <c r="AC155" s="193">
        <v>7646909.3699999973</v>
      </c>
      <c r="AD155" s="193">
        <v>3731394.4899999946</v>
      </c>
      <c r="AE155" s="193">
        <v>-71840.95000000007</v>
      </c>
      <c r="AF155" s="193">
        <v>1206386.620000001</v>
      </c>
      <c r="AG155" s="193">
        <v>42839.599999999919</v>
      </c>
      <c r="AH155" s="193">
        <v>13292595.610000014</v>
      </c>
      <c r="AI155" s="194">
        <v>6.6912417313610808</v>
      </c>
      <c r="AJ155" s="194">
        <v>-3.4062844428679915</v>
      </c>
      <c r="AK155" s="194">
        <v>15.12459440235469</v>
      </c>
      <c r="AL155" s="194">
        <v>7.6498457045020691</v>
      </c>
      <c r="AM155" s="194">
        <v>-8.6054732337984969</v>
      </c>
      <c r="AN155" s="194">
        <v>6.4645842094454178</v>
      </c>
      <c r="AO155" s="194">
        <v>8.6692403596246379</v>
      </c>
      <c r="AP155" s="194">
        <v>9.0674990112075253</v>
      </c>
    </row>
    <row r="156" spans="1:42" ht="12" customHeight="1">
      <c r="A156" s="189" t="s">
        <v>485</v>
      </c>
      <c r="B156" s="189"/>
      <c r="C156" s="189" t="s">
        <v>112</v>
      </c>
      <c r="D156" s="189" t="s">
        <v>756</v>
      </c>
      <c r="E156" s="189" t="s">
        <v>876</v>
      </c>
      <c r="F156" s="190" t="s">
        <v>718</v>
      </c>
      <c r="G156" s="189" t="s">
        <v>688</v>
      </c>
      <c r="H156" s="197"/>
      <c r="I156" s="195"/>
      <c r="J156" s="195"/>
      <c r="K156" s="192">
        <v>15853975</v>
      </c>
      <c r="L156" s="192">
        <v>4742995</v>
      </c>
      <c r="M156" s="192">
        <v>46869961</v>
      </c>
      <c r="N156" s="192">
        <v>33303246</v>
      </c>
      <c r="O156" s="192">
        <v>452886</v>
      </c>
      <c r="P156" s="192">
        <v>15507012</v>
      </c>
      <c r="Q156" s="192">
        <v>2147847</v>
      </c>
      <c r="R156" s="192">
        <v>116730075</v>
      </c>
      <c r="S156" s="192">
        <v>15115718</v>
      </c>
      <c r="T156" s="192">
        <v>5777974</v>
      </c>
      <c r="U156" s="192">
        <v>44966028</v>
      </c>
      <c r="V156" s="192">
        <v>32722730</v>
      </c>
      <c r="W156" s="192">
        <v>603942</v>
      </c>
      <c r="X156" s="192">
        <v>14750730</v>
      </c>
      <c r="Y156" s="192">
        <v>1949662</v>
      </c>
      <c r="Z156" s="192">
        <v>113937122</v>
      </c>
      <c r="AA156" s="193">
        <v>738257</v>
      </c>
      <c r="AB156" s="193">
        <v>-1034979</v>
      </c>
      <c r="AC156" s="193">
        <v>1903933</v>
      </c>
      <c r="AD156" s="193">
        <v>580516</v>
      </c>
      <c r="AE156" s="193">
        <v>-151056</v>
      </c>
      <c r="AF156" s="193">
        <v>756282</v>
      </c>
      <c r="AG156" s="193">
        <v>198185</v>
      </c>
      <c r="AH156" s="193">
        <v>2792953</v>
      </c>
      <c r="AI156" s="194">
        <v>4.8840352803618066</v>
      </c>
      <c r="AJ156" s="194">
        <v>-17.91248974121379</v>
      </c>
      <c r="AK156" s="194">
        <v>4.2341587297859622</v>
      </c>
      <c r="AL156" s="194">
        <v>1.774045136209601</v>
      </c>
      <c r="AM156" s="194">
        <v>-25.011673306377102</v>
      </c>
      <c r="AN156" s="194">
        <v>5.1270818461188021</v>
      </c>
      <c r="AO156" s="194">
        <v>10.165095283182419</v>
      </c>
      <c r="AP156" s="194">
        <v>2.4513108203663423</v>
      </c>
    </row>
    <row r="157" spans="1:42" ht="12" customHeight="1">
      <c r="A157" s="189" t="s">
        <v>486</v>
      </c>
      <c r="B157" s="189"/>
      <c r="C157" s="189" t="s">
        <v>113</v>
      </c>
      <c r="D157" s="189" t="s">
        <v>755</v>
      </c>
      <c r="E157" s="189" t="s">
        <v>879</v>
      </c>
      <c r="F157" s="190" t="s">
        <v>718</v>
      </c>
      <c r="G157" s="189" t="s">
        <v>688</v>
      </c>
      <c r="H157" s="197"/>
      <c r="I157" s="195"/>
      <c r="J157" s="195"/>
      <c r="K157" s="192">
        <v>15503474.829999998</v>
      </c>
      <c r="L157" s="192">
        <v>9196436.2000000011</v>
      </c>
      <c r="M157" s="192">
        <v>55405863.74000001</v>
      </c>
      <c r="N157" s="192">
        <v>46101521.380000003</v>
      </c>
      <c r="O157" s="192">
        <v>553163.54999999993</v>
      </c>
      <c r="P157" s="192">
        <v>18656737.139999993</v>
      </c>
      <c r="Q157" s="192">
        <v>2470089.7399999998</v>
      </c>
      <c r="R157" s="192">
        <v>145417196.84</v>
      </c>
      <c r="S157" s="192">
        <v>14446627.350000001</v>
      </c>
      <c r="T157" s="192">
        <v>7741039.4199999999</v>
      </c>
      <c r="U157" s="192">
        <v>49122980.619999997</v>
      </c>
      <c r="V157" s="192">
        <v>44443759.129999995</v>
      </c>
      <c r="W157" s="192">
        <v>667585.41</v>
      </c>
      <c r="X157" s="192">
        <v>17637089.629999999</v>
      </c>
      <c r="Y157" s="192">
        <v>2010938.85</v>
      </c>
      <c r="Z157" s="192">
        <v>134059081.55999999</v>
      </c>
      <c r="AA157" s="193">
        <v>1056847.4799999967</v>
      </c>
      <c r="AB157" s="193">
        <v>1455396.7800000012</v>
      </c>
      <c r="AC157" s="193">
        <v>6282883.1200000122</v>
      </c>
      <c r="AD157" s="193">
        <v>1657762.2500000075</v>
      </c>
      <c r="AE157" s="193">
        <v>-114421.8600000001</v>
      </c>
      <c r="AF157" s="193">
        <v>1019647.5099999942</v>
      </c>
      <c r="AG157" s="193">
        <v>459150.88999999966</v>
      </c>
      <c r="AH157" s="193">
        <v>11358115.280000016</v>
      </c>
      <c r="AI157" s="194">
        <v>7.315530846028202</v>
      </c>
      <c r="AJ157" s="194">
        <v>18.801051138427109</v>
      </c>
      <c r="AK157" s="194">
        <v>12.790109721969905</v>
      </c>
      <c r="AL157" s="194">
        <v>3.7300225778629086</v>
      </c>
      <c r="AM157" s="194">
        <v>-17.139658579416842</v>
      </c>
      <c r="AN157" s="194">
        <v>5.7812685164655155</v>
      </c>
      <c r="AO157" s="194">
        <v>22.832662962376986</v>
      </c>
      <c r="AP157" s="194">
        <v>8.4724698601761901</v>
      </c>
    </row>
    <row r="158" spans="1:42" ht="12" customHeight="1">
      <c r="A158" s="189" t="s">
        <v>487</v>
      </c>
      <c r="B158" s="189"/>
      <c r="C158" s="189" t="s">
        <v>114</v>
      </c>
      <c r="D158" s="189" t="s">
        <v>755</v>
      </c>
      <c r="E158" s="189" t="s">
        <v>878</v>
      </c>
      <c r="F158" s="190" t="s">
        <v>718</v>
      </c>
      <c r="G158" s="189" t="s">
        <v>688</v>
      </c>
      <c r="H158" s="197"/>
      <c r="I158" s="195"/>
      <c r="J158" s="195"/>
      <c r="K158" s="192">
        <v>14057390.17</v>
      </c>
      <c r="L158" s="192">
        <v>5486343.9500000002</v>
      </c>
      <c r="M158" s="192">
        <v>44332173.410000011</v>
      </c>
      <c r="N158" s="192">
        <v>30299553.480000004</v>
      </c>
      <c r="O158" s="192">
        <v>385041.48</v>
      </c>
      <c r="P158" s="192">
        <v>14382337.449999999</v>
      </c>
      <c r="Q158" s="192">
        <v>1214767.6399999999</v>
      </c>
      <c r="R158" s="192">
        <v>108942839.94000003</v>
      </c>
      <c r="S158" s="192">
        <v>12934068.099999998</v>
      </c>
      <c r="T158" s="192">
        <v>6492628.2199999997</v>
      </c>
      <c r="U158" s="192">
        <v>39746229.149999991</v>
      </c>
      <c r="V158" s="192">
        <v>29924385.779999994</v>
      </c>
      <c r="W158" s="192">
        <v>449283.52999999997</v>
      </c>
      <c r="X158" s="192">
        <v>13783555.049999999</v>
      </c>
      <c r="Y158" s="192">
        <v>1131120.4000000001</v>
      </c>
      <c r="Z158" s="192">
        <v>103330149.82999997</v>
      </c>
      <c r="AA158" s="193">
        <v>1123322.0700000022</v>
      </c>
      <c r="AB158" s="193">
        <v>-1006284.2699999996</v>
      </c>
      <c r="AC158" s="193">
        <v>4585944.2600000203</v>
      </c>
      <c r="AD158" s="193">
        <v>375167.70000001043</v>
      </c>
      <c r="AE158" s="193">
        <v>-64242.049999999988</v>
      </c>
      <c r="AF158" s="193">
        <v>598782.40000000037</v>
      </c>
      <c r="AG158" s="193">
        <v>83647.239999999758</v>
      </c>
      <c r="AH158" s="193">
        <v>5612690.110000059</v>
      </c>
      <c r="AI158" s="194">
        <v>8.6849865124801866</v>
      </c>
      <c r="AJ158" s="194">
        <v>-15.498874044569883</v>
      </c>
      <c r="AK158" s="194">
        <v>11.538061240207039</v>
      </c>
      <c r="AL158" s="194">
        <v>1.2537189660572894</v>
      </c>
      <c r="AM158" s="194">
        <v>-14.298776988330729</v>
      </c>
      <c r="AN158" s="194">
        <v>4.3441796969498112</v>
      </c>
      <c r="AO158" s="194">
        <v>7.3950783665469864</v>
      </c>
      <c r="AP158" s="194">
        <v>5.4318029338330831</v>
      </c>
    </row>
    <row r="159" spans="1:42" ht="12" customHeight="1">
      <c r="A159" s="189" t="s">
        <v>488</v>
      </c>
      <c r="B159" s="189"/>
      <c r="C159" s="189" t="s">
        <v>115</v>
      </c>
      <c r="D159" s="189" t="s">
        <v>756</v>
      </c>
      <c r="E159" s="189" t="s">
        <v>878</v>
      </c>
      <c r="F159" s="190" t="s">
        <v>718</v>
      </c>
      <c r="G159" s="189" t="s">
        <v>688</v>
      </c>
      <c r="H159" s="197"/>
      <c r="I159" s="195"/>
      <c r="J159" s="195"/>
      <c r="K159" s="192">
        <v>7907165</v>
      </c>
      <c r="L159" s="192">
        <v>2961462</v>
      </c>
      <c r="M159" s="192">
        <v>22391231</v>
      </c>
      <c r="N159" s="192">
        <v>16977766</v>
      </c>
      <c r="O159" s="192">
        <v>104003</v>
      </c>
      <c r="P159" s="192">
        <v>7760767</v>
      </c>
      <c r="Q159" s="192">
        <v>642324</v>
      </c>
      <c r="R159" s="192">
        <v>58102394</v>
      </c>
      <c r="S159" s="192">
        <v>7933029</v>
      </c>
      <c r="T159" s="192">
        <v>2231652</v>
      </c>
      <c r="U159" s="192">
        <v>20147922</v>
      </c>
      <c r="V159" s="192">
        <v>16199023</v>
      </c>
      <c r="W159" s="192">
        <v>158548</v>
      </c>
      <c r="X159" s="192">
        <v>7629977</v>
      </c>
      <c r="Y159" s="192">
        <v>610083</v>
      </c>
      <c r="Z159" s="192">
        <v>54300151</v>
      </c>
      <c r="AA159" s="193">
        <v>-25864</v>
      </c>
      <c r="AB159" s="193">
        <v>729810</v>
      </c>
      <c r="AC159" s="193">
        <v>2243309</v>
      </c>
      <c r="AD159" s="193">
        <v>778743</v>
      </c>
      <c r="AE159" s="193">
        <v>-54545</v>
      </c>
      <c r="AF159" s="193">
        <v>130790</v>
      </c>
      <c r="AG159" s="193">
        <v>32241</v>
      </c>
      <c r="AH159" s="193">
        <v>3802243</v>
      </c>
      <c r="AI159" s="194">
        <v>-0.32602931364551929</v>
      </c>
      <c r="AJ159" s="194">
        <v>32.702679450021776</v>
      </c>
      <c r="AK159" s="194">
        <v>11.13419537756797</v>
      </c>
      <c r="AL159" s="194">
        <v>4.8073454800329625</v>
      </c>
      <c r="AM159" s="194">
        <v>-34.402830688498121</v>
      </c>
      <c r="AN159" s="194">
        <v>1.7141598198788803</v>
      </c>
      <c r="AO159" s="194">
        <v>5.2846907715835387</v>
      </c>
      <c r="AP159" s="194">
        <v>7.0022696621967047</v>
      </c>
    </row>
    <row r="160" spans="1:42" ht="12" customHeight="1">
      <c r="A160" s="189" t="s">
        <v>489</v>
      </c>
      <c r="B160" s="189"/>
      <c r="C160" s="189" t="s">
        <v>118</v>
      </c>
      <c r="D160" s="189" t="s">
        <v>755</v>
      </c>
      <c r="E160" s="189" t="s">
        <v>874</v>
      </c>
      <c r="F160" s="190" t="s">
        <v>718</v>
      </c>
      <c r="G160" s="189" t="s">
        <v>688</v>
      </c>
      <c r="H160" s="197"/>
      <c r="I160" s="195"/>
      <c r="J160" s="195"/>
      <c r="K160" s="192">
        <v>7007130.3200000003</v>
      </c>
      <c r="L160" s="192">
        <v>4288047.5699999994</v>
      </c>
      <c r="M160" s="192">
        <v>23490763.890000008</v>
      </c>
      <c r="N160" s="192">
        <v>17393690.599999994</v>
      </c>
      <c r="O160" s="192">
        <v>194843.93</v>
      </c>
      <c r="P160" s="192">
        <v>8056053.8899999997</v>
      </c>
      <c r="Q160" s="192">
        <v>1528600.7100000002</v>
      </c>
      <c r="R160" s="192">
        <v>60430530.200000003</v>
      </c>
      <c r="S160" s="192">
        <v>6230938.3400000008</v>
      </c>
      <c r="T160" s="192">
        <v>4483360.1499999994</v>
      </c>
      <c r="U160" s="192">
        <v>21071908.490000002</v>
      </c>
      <c r="V160" s="192">
        <v>17003348.039999995</v>
      </c>
      <c r="W160" s="192">
        <v>259940.49000000002</v>
      </c>
      <c r="X160" s="192">
        <v>7784369.04</v>
      </c>
      <c r="Y160" s="192">
        <v>1888033.1900000002</v>
      </c>
      <c r="Z160" s="192">
        <v>56833864.549999997</v>
      </c>
      <c r="AA160" s="193">
        <v>776191.97999999952</v>
      </c>
      <c r="AB160" s="193">
        <v>-195312.58000000007</v>
      </c>
      <c r="AC160" s="193">
        <v>2418855.400000006</v>
      </c>
      <c r="AD160" s="193">
        <v>390342.55999999866</v>
      </c>
      <c r="AE160" s="193">
        <v>-65096.560000000027</v>
      </c>
      <c r="AF160" s="193">
        <v>271684.84999999963</v>
      </c>
      <c r="AG160" s="193">
        <v>-359432.48</v>
      </c>
      <c r="AH160" s="193">
        <v>3596665.650000006</v>
      </c>
      <c r="AI160" s="194">
        <v>12.457064051126517</v>
      </c>
      <c r="AJ160" s="194">
        <v>-4.3563883664353868</v>
      </c>
      <c r="AK160" s="194">
        <v>11.479052318151016</v>
      </c>
      <c r="AL160" s="194">
        <v>2.2956805864452492</v>
      </c>
      <c r="AM160" s="194">
        <v>-25.042870389295651</v>
      </c>
      <c r="AN160" s="194">
        <v>3.4901332221525769</v>
      </c>
      <c r="AO160" s="194">
        <v>-19.037402621084219</v>
      </c>
      <c r="AP160" s="194">
        <v>6.3283848080325669</v>
      </c>
    </row>
    <row r="161" spans="1:42" ht="12" customHeight="1">
      <c r="A161" s="189" t="s">
        <v>490</v>
      </c>
      <c r="B161" s="189"/>
      <c r="C161" s="189" t="s">
        <v>119</v>
      </c>
      <c r="D161" s="189" t="s">
        <v>755</v>
      </c>
      <c r="E161" s="189" t="s">
        <v>876</v>
      </c>
      <c r="F161" s="190" t="s">
        <v>718</v>
      </c>
      <c r="G161" s="189" t="s">
        <v>688</v>
      </c>
      <c r="H161" s="197"/>
      <c r="I161" s="195"/>
      <c r="J161" s="195"/>
      <c r="K161" s="192">
        <v>9202052.0199999996</v>
      </c>
      <c r="L161" s="192">
        <v>5029674.84</v>
      </c>
      <c r="M161" s="192">
        <v>31727207.039999995</v>
      </c>
      <c r="N161" s="192">
        <v>23241771.149999995</v>
      </c>
      <c r="O161" s="192">
        <v>389323.24000000005</v>
      </c>
      <c r="P161" s="192">
        <v>10546999.909999998</v>
      </c>
      <c r="Q161" s="192">
        <v>2044964.9500000002</v>
      </c>
      <c r="R161" s="192">
        <v>80137028.199999973</v>
      </c>
      <c r="S161" s="192">
        <v>8536270.8599999994</v>
      </c>
      <c r="T161" s="192">
        <v>4386712.4399999995</v>
      </c>
      <c r="U161" s="192">
        <v>27816994.929999996</v>
      </c>
      <c r="V161" s="192">
        <v>21219253.640000004</v>
      </c>
      <c r="W161" s="192">
        <v>488994.3</v>
      </c>
      <c r="X161" s="192">
        <v>9808342.6399999969</v>
      </c>
      <c r="Y161" s="192">
        <v>2144352.1999999997</v>
      </c>
      <c r="Z161" s="192">
        <v>72256568.810000002</v>
      </c>
      <c r="AA161" s="193">
        <v>665781.16000000015</v>
      </c>
      <c r="AB161" s="193">
        <v>642962.40000000037</v>
      </c>
      <c r="AC161" s="193">
        <v>3910212.1099999994</v>
      </c>
      <c r="AD161" s="193">
        <v>2022517.5099999905</v>
      </c>
      <c r="AE161" s="193">
        <v>-99671.059999999939</v>
      </c>
      <c r="AF161" s="193">
        <v>738657.27000000142</v>
      </c>
      <c r="AG161" s="193">
        <v>-99387.249999999534</v>
      </c>
      <c r="AH161" s="193">
        <v>7880459.3899999708</v>
      </c>
      <c r="AI161" s="194">
        <v>7.7994380792176523</v>
      </c>
      <c r="AJ161" s="194">
        <v>14.657044627251667</v>
      </c>
      <c r="AK161" s="194">
        <v>14.056917793743869</v>
      </c>
      <c r="AL161" s="194">
        <v>9.531520496966877</v>
      </c>
      <c r="AM161" s="194">
        <v>-20.38286744855716</v>
      </c>
      <c r="AN161" s="194">
        <v>7.5309080964161916</v>
      </c>
      <c r="AO161" s="194">
        <v>-4.6348379711131198</v>
      </c>
      <c r="AP161" s="194">
        <v>10.906218659125354</v>
      </c>
    </row>
    <row r="162" spans="1:42" ht="12" customHeight="1">
      <c r="A162" s="189" t="s">
        <v>491</v>
      </c>
      <c r="B162" s="189"/>
      <c r="C162" s="189" t="s">
        <v>120</v>
      </c>
      <c r="D162" s="189" t="s">
        <v>756</v>
      </c>
      <c r="E162" s="189" t="s">
        <v>879</v>
      </c>
      <c r="F162" s="190" t="s">
        <v>718</v>
      </c>
      <c r="G162" s="189" t="s">
        <v>688</v>
      </c>
      <c r="H162" s="197"/>
      <c r="I162" s="195"/>
      <c r="J162" s="195"/>
      <c r="K162" s="192">
        <v>8513021</v>
      </c>
      <c r="L162" s="192">
        <v>3772874</v>
      </c>
      <c r="M162" s="192">
        <v>25639224</v>
      </c>
      <c r="N162" s="192">
        <v>18441543</v>
      </c>
      <c r="O162" s="192">
        <v>181727</v>
      </c>
      <c r="P162" s="192">
        <v>8273587</v>
      </c>
      <c r="Q162" s="192">
        <v>944322</v>
      </c>
      <c r="R162" s="192">
        <v>64821976</v>
      </c>
      <c r="S162" s="192">
        <v>8332689</v>
      </c>
      <c r="T162" s="192">
        <v>3546779</v>
      </c>
      <c r="U162" s="192">
        <v>22280948</v>
      </c>
      <c r="V162" s="192">
        <v>17579017</v>
      </c>
      <c r="W162" s="192">
        <v>225728</v>
      </c>
      <c r="X162" s="192">
        <v>7733494</v>
      </c>
      <c r="Y162" s="192">
        <v>906388</v>
      </c>
      <c r="Z162" s="192">
        <v>59698655</v>
      </c>
      <c r="AA162" s="193">
        <v>180332</v>
      </c>
      <c r="AB162" s="193">
        <v>226095</v>
      </c>
      <c r="AC162" s="193">
        <v>3358276</v>
      </c>
      <c r="AD162" s="193">
        <v>862526</v>
      </c>
      <c r="AE162" s="193">
        <v>-44001</v>
      </c>
      <c r="AF162" s="193">
        <v>540093</v>
      </c>
      <c r="AG162" s="193">
        <v>37934</v>
      </c>
      <c r="AH162" s="193">
        <v>5123321</v>
      </c>
      <c r="AI162" s="194">
        <v>2.164151332181004</v>
      </c>
      <c r="AJ162" s="194">
        <v>6.3746571184728458</v>
      </c>
      <c r="AK162" s="194">
        <v>15.072410743025836</v>
      </c>
      <c r="AL162" s="194">
        <v>4.9065655946518509</v>
      </c>
      <c r="AM162" s="194">
        <v>-19.492929543521406</v>
      </c>
      <c r="AN162" s="194">
        <v>6.9838161120962914</v>
      </c>
      <c r="AO162" s="194">
        <v>4.1851833872469628</v>
      </c>
      <c r="AP162" s="194">
        <v>8.5819705653335081</v>
      </c>
    </row>
    <row r="163" spans="1:42" ht="12" customHeight="1">
      <c r="A163" s="189" t="s">
        <v>492</v>
      </c>
      <c r="B163" s="189"/>
      <c r="C163" s="189" t="s">
        <v>121</v>
      </c>
      <c r="D163" s="189" t="s">
        <v>755</v>
      </c>
      <c r="E163" s="189" t="s">
        <v>878</v>
      </c>
      <c r="F163" s="190" t="s">
        <v>718</v>
      </c>
      <c r="G163" s="189" t="s">
        <v>688</v>
      </c>
      <c r="H163" s="197"/>
      <c r="I163" s="195"/>
      <c r="J163" s="195"/>
      <c r="K163" s="192">
        <v>11792990.32</v>
      </c>
      <c r="L163" s="192">
        <v>7493436.5700000012</v>
      </c>
      <c r="M163" s="192">
        <v>42533520.600000001</v>
      </c>
      <c r="N163" s="192">
        <v>30081959.650000002</v>
      </c>
      <c r="O163" s="192">
        <v>405307.63</v>
      </c>
      <c r="P163" s="192">
        <v>13875645.779999999</v>
      </c>
      <c r="Q163" s="192">
        <v>508972.34</v>
      </c>
      <c r="R163" s="192">
        <v>106182860.55</v>
      </c>
      <c r="S163" s="192">
        <v>11256913.49</v>
      </c>
      <c r="T163" s="192">
        <v>6361082.5799999991</v>
      </c>
      <c r="U163" s="192">
        <v>37545890.230000012</v>
      </c>
      <c r="V163" s="192">
        <v>29778916.940000005</v>
      </c>
      <c r="W163" s="192">
        <v>510013.13</v>
      </c>
      <c r="X163" s="192">
        <v>13325166.499999998</v>
      </c>
      <c r="Y163" s="192">
        <v>4528481.9000000004</v>
      </c>
      <c r="Z163" s="192">
        <v>98777982.870000005</v>
      </c>
      <c r="AA163" s="193">
        <v>536076.83000000007</v>
      </c>
      <c r="AB163" s="193">
        <v>1132353.9900000021</v>
      </c>
      <c r="AC163" s="193">
        <v>4987630.3699999899</v>
      </c>
      <c r="AD163" s="193">
        <v>303042.70999999717</v>
      </c>
      <c r="AE163" s="193">
        <v>-104705.5</v>
      </c>
      <c r="AF163" s="193">
        <v>550479.28000000119</v>
      </c>
      <c r="AG163" s="193">
        <v>-4019509.5600000005</v>
      </c>
      <c r="AH163" s="193">
        <v>7404877.6799999923</v>
      </c>
      <c r="AI163" s="194">
        <v>4.7622008508479707</v>
      </c>
      <c r="AJ163" s="194">
        <v>17.801277939076876</v>
      </c>
      <c r="AK163" s="194">
        <v>13.284091386424926</v>
      </c>
      <c r="AL163" s="194">
        <v>1.0176418121941178</v>
      </c>
      <c r="AM163" s="194">
        <v>-20.529961650203006</v>
      </c>
      <c r="AN163" s="194">
        <v>4.1311249656805504</v>
      </c>
      <c r="AO163" s="194">
        <v>-88.760640955636816</v>
      </c>
      <c r="AP163" s="194">
        <v>7.4964860233534267</v>
      </c>
    </row>
    <row r="164" spans="1:42" ht="12" customHeight="1">
      <c r="A164" s="189" t="s">
        <v>790</v>
      </c>
      <c r="B164" s="189"/>
      <c r="C164" s="189" t="s">
        <v>104</v>
      </c>
      <c r="D164" s="189" t="s">
        <v>755</v>
      </c>
      <c r="E164" s="189" t="s">
        <v>878</v>
      </c>
      <c r="F164" s="190" t="s">
        <v>718</v>
      </c>
      <c r="G164" s="189" t="s">
        <v>688</v>
      </c>
      <c r="H164" s="197"/>
      <c r="I164" s="195"/>
      <c r="J164" s="195"/>
      <c r="K164" s="192">
        <v>10123676.640000001</v>
      </c>
      <c r="L164" s="192">
        <v>4817152.17</v>
      </c>
      <c r="M164" s="192">
        <v>35582983.079999991</v>
      </c>
      <c r="N164" s="192">
        <v>25090476.869999994</v>
      </c>
      <c r="O164" s="192">
        <v>471570.9</v>
      </c>
      <c r="P164" s="192">
        <v>11673439.449999999</v>
      </c>
      <c r="Q164" s="192">
        <v>1357018.84</v>
      </c>
      <c r="R164" s="192">
        <v>87759299.109999999</v>
      </c>
      <c r="S164" s="192">
        <v>9524491.9100000001</v>
      </c>
      <c r="T164" s="192">
        <v>4125561.3500000006</v>
      </c>
      <c r="U164" s="192">
        <v>30375235.82</v>
      </c>
      <c r="V164" s="192">
        <v>24075140.589999996</v>
      </c>
      <c r="W164" s="192">
        <v>602469.47</v>
      </c>
      <c r="X164" s="192">
        <v>10845785.469999997</v>
      </c>
      <c r="Y164" s="192">
        <v>1279674.0599999998</v>
      </c>
      <c r="Z164" s="192">
        <v>79548684.609999985</v>
      </c>
      <c r="AA164" s="193">
        <v>599184.73000000045</v>
      </c>
      <c r="AB164" s="193">
        <v>691590.81999999937</v>
      </c>
      <c r="AC164" s="193">
        <v>5207747.2599999905</v>
      </c>
      <c r="AD164" s="193">
        <v>1015336.2799999975</v>
      </c>
      <c r="AE164" s="193">
        <v>-130898.56999999995</v>
      </c>
      <c r="AF164" s="193">
        <v>827653.98000000231</v>
      </c>
      <c r="AG164" s="193">
        <v>77344.780000000261</v>
      </c>
      <c r="AH164" s="193">
        <v>8210614.5000000149</v>
      </c>
      <c r="AI164" s="194">
        <v>6.2909889121844031</v>
      </c>
      <c r="AJ164" s="194">
        <v>16.763556794519594</v>
      </c>
      <c r="AK164" s="194">
        <v>17.144713841434765</v>
      </c>
      <c r="AL164" s="194">
        <v>4.2173638662851012</v>
      </c>
      <c r="AM164" s="194">
        <v>-21.727004689548828</v>
      </c>
      <c r="AN164" s="194">
        <v>7.631111479102513</v>
      </c>
      <c r="AO164" s="194">
        <v>6.0441000109043603</v>
      </c>
      <c r="AP164" s="194">
        <v>10.321496251325653</v>
      </c>
    </row>
    <row r="165" spans="1:42" ht="12" customHeight="1">
      <c r="A165" s="189" t="s">
        <v>493</v>
      </c>
      <c r="B165" s="189"/>
      <c r="C165" s="189" t="s">
        <v>124</v>
      </c>
      <c r="D165" s="189" t="s">
        <v>755</v>
      </c>
      <c r="E165" s="189" t="s">
        <v>879</v>
      </c>
      <c r="F165" s="190" t="s">
        <v>720</v>
      </c>
      <c r="G165" s="189" t="s">
        <v>689</v>
      </c>
      <c r="H165" s="197"/>
      <c r="I165" s="195"/>
      <c r="J165" s="195"/>
      <c r="K165" s="192">
        <v>18840537.690000001</v>
      </c>
      <c r="L165" s="192">
        <v>8645537.7299999986</v>
      </c>
      <c r="M165" s="192">
        <v>61764188.25999999</v>
      </c>
      <c r="N165" s="192">
        <v>41082120.460000001</v>
      </c>
      <c r="O165" s="192">
        <v>511666.32</v>
      </c>
      <c r="P165" s="192">
        <v>20217260.190000009</v>
      </c>
      <c r="Q165" s="192">
        <v>1904239.3800000001</v>
      </c>
      <c r="R165" s="192">
        <v>151061310.64999998</v>
      </c>
      <c r="S165" s="192">
        <v>17964891.370000001</v>
      </c>
      <c r="T165" s="192">
        <v>8225380.2499999991</v>
      </c>
      <c r="U165" s="192">
        <v>51551432.280000009</v>
      </c>
      <c r="V165" s="192">
        <v>37820899.759999998</v>
      </c>
      <c r="W165" s="192">
        <v>469749.61</v>
      </c>
      <c r="X165" s="192">
        <v>18202669.600000001</v>
      </c>
      <c r="Y165" s="192">
        <v>1643762.26</v>
      </c>
      <c r="Z165" s="192">
        <v>134235022.87</v>
      </c>
      <c r="AA165" s="193">
        <v>875646.3200000003</v>
      </c>
      <c r="AB165" s="193">
        <v>420157.47999999952</v>
      </c>
      <c r="AC165" s="193">
        <v>10212755.979999982</v>
      </c>
      <c r="AD165" s="193">
        <v>3261220.700000003</v>
      </c>
      <c r="AE165" s="193">
        <v>41916.710000000021</v>
      </c>
      <c r="AF165" s="193">
        <v>2014590.5900000073</v>
      </c>
      <c r="AG165" s="193">
        <v>260477.12000000011</v>
      </c>
      <c r="AH165" s="193">
        <v>16826287.779999971</v>
      </c>
      <c r="AI165" s="194">
        <v>4.874208821892811</v>
      </c>
      <c r="AJ165" s="194">
        <v>5.1080614783735934</v>
      </c>
      <c r="AK165" s="194">
        <v>19.810809376798133</v>
      </c>
      <c r="AL165" s="194">
        <v>8.6228004111343832</v>
      </c>
      <c r="AM165" s="194">
        <v>8.9232027249580952</v>
      </c>
      <c r="AN165" s="194">
        <v>11.067555662274984</v>
      </c>
      <c r="AO165" s="194">
        <v>15.846398614845928</v>
      </c>
      <c r="AP165" s="194">
        <v>12.534946111861881</v>
      </c>
    </row>
    <row r="166" spans="1:42" ht="12" customHeight="1">
      <c r="A166" s="189" t="s">
        <v>494</v>
      </c>
      <c r="B166" s="189"/>
      <c r="C166" s="189" t="s">
        <v>125</v>
      </c>
      <c r="D166" s="189" t="s">
        <v>755</v>
      </c>
      <c r="E166" s="189" t="s">
        <v>882</v>
      </c>
      <c r="F166" s="190" t="s">
        <v>720</v>
      </c>
      <c r="G166" s="189" t="s">
        <v>689</v>
      </c>
      <c r="H166" s="197"/>
      <c r="I166" s="195"/>
      <c r="J166" s="195"/>
      <c r="K166" s="192">
        <v>57482573.82</v>
      </c>
      <c r="L166" s="192">
        <v>34008681.039999999</v>
      </c>
      <c r="M166" s="192">
        <v>192003111.98000002</v>
      </c>
      <c r="N166" s="192">
        <v>143947247.31000003</v>
      </c>
      <c r="O166" s="192">
        <v>1201098.9100000001</v>
      </c>
      <c r="P166" s="192">
        <v>62187700.140000008</v>
      </c>
      <c r="Q166" s="192">
        <v>5788397.4500000011</v>
      </c>
      <c r="R166" s="192">
        <v>490830413.20000011</v>
      </c>
      <c r="S166" s="192">
        <v>55100096.830000006</v>
      </c>
      <c r="T166" s="192">
        <v>35900089.449999996</v>
      </c>
      <c r="U166" s="192">
        <v>169120881.19000006</v>
      </c>
      <c r="V166" s="192">
        <v>137579028.45000002</v>
      </c>
      <c r="W166" s="192">
        <v>1329878.8499999999</v>
      </c>
      <c r="X166" s="192">
        <v>58976470.889999993</v>
      </c>
      <c r="Y166" s="192">
        <v>5479148.3899999997</v>
      </c>
      <c r="Z166" s="192">
        <v>458006445.66000009</v>
      </c>
      <c r="AA166" s="193">
        <v>2382476.9899999946</v>
      </c>
      <c r="AB166" s="193">
        <v>-1891408.4099999964</v>
      </c>
      <c r="AC166" s="193">
        <v>22882230.789999962</v>
      </c>
      <c r="AD166" s="193">
        <v>6368218.8600000143</v>
      </c>
      <c r="AE166" s="193">
        <v>-128779.93999999971</v>
      </c>
      <c r="AF166" s="193">
        <v>3211229.2500000149</v>
      </c>
      <c r="AG166" s="193">
        <v>309249.06000000145</v>
      </c>
      <c r="AH166" s="193">
        <v>32823967.540000021</v>
      </c>
      <c r="AI166" s="194">
        <v>4.3239070837763434</v>
      </c>
      <c r="AJ166" s="194">
        <v>-5.2685339757558642</v>
      </c>
      <c r="AK166" s="194">
        <v>13.530103810358437</v>
      </c>
      <c r="AL166" s="194">
        <v>4.6287715008209984</v>
      </c>
      <c r="AM166" s="194">
        <v>-9.6835843355204663</v>
      </c>
      <c r="AN166" s="194">
        <v>5.444932871601357</v>
      </c>
      <c r="AO166" s="194">
        <v>5.6441081348410327</v>
      </c>
      <c r="AP166" s="194">
        <v>7.166704279172265</v>
      </c>
    </row>
    <row r="167" spans="1:42" ht="12" customHeight="1">
      <c r="A167" s="189" t="s">
        <v>792</v>
      </c>
      <c r="B167" s="189"/>
      <c r="C167" s="189" t="s">
        <v>142</v>
      </c>
      <c r="D167" s="189" t="s">
        <v>756</v>
      </c>
      <c r="E167" s="189" t="s">
        <v>879</v>
      </c>
      <c r="F167" s="190" t="s">
        <v>720</v>
      </c>
      <c r="G167" s="189" t="s">
        <v>689</v>
      </c>
      <c r="H167" s="197"/>
      <c r="I167" s="195"/>
      <c r="J167" s="195"/>
      <c r="K167" s="192">
        <v>22861815</v>
      </c>
      <c r="L167" s="192">
        <v>16778159</v>
      </c>
      <c r="M167" s="192">
        <v>90908687</v>
      </c>
      <c r="N167" s="192">
        <v>59178857</v>
      </c>
      <c r="O167" s="192">
        <v>984188</v>
      </c>
      <c r="P167" s="192">
        <v>27745720</v>
      </c>
      <c r="Q167" s="192">
        <v>4850828</v>
      </c>
      <c r="R167" s="192">
        <v>218457426</v>
      </c>
      <c r="S167" s="192">
        <v>21808708</v>
      </c>
      <c r="T167" s="192">
        <v>17349570</v>
      </c>
      <c r="U167" s="192">
        <v>78646850</v>
      </c>
      <c r="V167" s="192">
        <v>56645818</v>
      </c>
      <c r="W167" s="192">
        <v>985036</v>
      </c>
      <c r="X167" s="192">
        <v>25950236</v>
      </c>
      <c r="Y167" s="192">
        <v>4344725</v>
      </c>
      <c r="Z167" s="192">
        <v>201386218</v>
      </c>
      <c r="AA167" s="193">
        <v>1053107</v>
      </c>
      <c r="AB167" s="193">
        <v>-571411</v>
      </c>
      <c r="AC167" s="193">
        <v>12261837</v>
      </c>
      <c r="AD167" s="193">
        <v>2533039</v>
      </c>
      <c r="AE167" s="193">
        <v>-848</v>
      </c>
      <c r="AF167" s="193">
        <v>1795484</v>
      </c>
      <c r="AG167" s="193">
        <v>506103</v>
      </c>
      <c r="AH167" s="193">
        <v>17071208</v>
      </c>
      <c r="AI167" s="194">
        <v>4.8288371782500823</v>
      </c>
      <c r="AJ167" s="194">
        <v>-3.293516784565842</v>
      </c>
      <c r="AK167" s="194">
        <v>15.591008412924356</v>
      </c>
      <c r="AL167" s="194">
        <v>4.4717140460395504</v>
      </c>
      <c r="AM167" s="194">
        <v>-8.6088224186730233E-2</v>
      </c>
      <c r="AN167" s="194">
        <v>6.9189505636865878</v>
      </c>
      <c r="AO167" s="194">
        <v>11.648677419169221</v>
      </c>
      <c r="AP167" s="194">
        <v>8.4768501884274929</v>
      </c>
    </row>
    <row r="168" spans="1:42" ht="12" customHeight="1">
      <c r="A168" s="189" t="s">
        <v>495</v>
      </c>
      <c r="B168" s="189"/>
      <c r="C168" s="189" t="s">
        <v>127</v>
      </c>
      <c r="D168" s="189" t="s">
        <v>755</v>
      </c>
      <c r="E168" s="189" t="s">
        <v>880</v>
      </c>
      <c r="F168" s="190" t="s">
        <v>720</v>
      </c>
      <c r="G168" s="189" t="s">
        <v>689</v>
      </c>
      <c r="H168" s="197"/>
      <c r="I168" s="195"/>
      <c r="J168" s="195"/>
      <c r="K168" s="192">
        <v>17849220.530000001</v>
      </c>
      <c r="L168" s="192">
        <v>11768087.460000001</v>
      </c>
      <c r="M168" s="192">
        <v>61755034.979999997</v>
      </c>
      <c r="N168" s="192">
        <v>51683796.499999993</v>
      </c>
      <c r="O168" s="192">
        <v>633685.31999999995</v>
      </c>
      <c r="P168" s="192">
        <v>20786893.210000001</v>
      </c>
      <c r="Q168" s="192">
        <v>2148726.35</v>
      </c>
      <c r="R168" s="192">
        <v>164476718</v>
      </c>
      <c r="S168" s="192">
        <v>16701148.120000005</v>
      </c>
      <c r="T168" s="192">
        <v>12522332.169999998</v>
      </c>
      <c r="U168" s="192">
        <v>53676097.499999993</v>
      </c>
      <c r="V168" s="192">
        <v>49458986.910000004</v>
      </c>
      <c r="W168" s="192">
        <v>701198.59000000008</v>
      </c>
      <c r="X168" s="192">
        <v>19487341.32</v>
      </c>
      <c r="Y168" s="192">
        <v>2109436.46</v>
      </c>
      <c r="Z168" s="192">
        <v>152547104.60999998</v>
      </c>
      <c r="AA168" s="193">
        <v>1148072.4099999964</v>
      </c>
      <c r="AB168" s="193">
        <v>-754244.70999999717</v>
      </c>
      <c r="AC168" s="193">
        <v>8078937.4800000042</v>
      </c>
      <c r="AD168" s="193">
        <v>2224809.5899999887</v>
      </c>
      <c r="AE168" s="193">
        <v>-67513.270000000135</v>
      </c>
      <c r="AF168" s="193">
        <v>1299551.8900000006</v>
      </c>
      <c r="AG168" s="193">
        <v>39289.89000000013</v>
      </c>
      <c r="AH168" s="193">
        <v>11929613.390000015</v>
      </c>
      <c r="AI168" s="194">
        <v>6.8742124897698114</v>
      </c>
      <c r="AJ168" s="194">
        <v>-6.0231967956173236</v>
      </c>
      <c r="AK168" s="194">
        <v>15.051275812292436</v>
      </c>
      <c r="AL168" s="194">
        <v>4.4982918757483876</v>
      </c>
      <c r="AM168" s="194">
        <v>-9.6282666512492749</v>
      </c>
      <c r="AN168" s="194">
        <v>6.6686977390099944</v>
      </c>
      <c r="AO168" s="194">
        <v>1.8625775530588928</v>
      </c>
      <c r="AP168" s="194">
        <v>7.8202817552644577</v>
      </c>
    </row>
    <row r="169" spans="1:42" ht="12" customHeight="1">
      <c r="A169" s="189" t="s">
        <v>496</v>
      </c>
      <c r="B169" s="189"/>
      <c r="C169" s="189" t="s">
        <v>128</v>
      </c>
      <c r="D169" s="189" t="s">
        <v>755</v>
      </c>
      <c r="E169" s="189" t="s">
        <v>879</v>
      </c>
      <c r="F169" s="190" t="s">
        <v>720</v>
      </c>
      <c r="G169" s="189" t="s">
        <v>689</v>
      </c>
      <c r="H169" s="197"/>
      <c r="I169" s="195"/>
      <c r="J169" s="195"/>
      <c r="K169" s="192">
        <v>18596639.779999997</v>
      </c>
      <c r="L169" s="192">
        <v>8338065.4699999997</v>
      </c>
      <c r="M169" s="192">
        <v>61875492.789999992</v>
      </c>
      <c r="N169" s="192">
        <v>40429088.230000004</v>
      </c>
      <c r="O169" s="192">
        <v>615464.78999999992</v>
      </c>
      <c r="P169" s="192">
        <v>19594526.110000003</v>
      </c>
      <c r="Q169" s="192">
        <v>2048662.22</v>
      </c>
      <c r="R169" s="192">
        <v>149449277.17000002</v>
      </c>
      <c r="S169" s="192">
        <v>17099016.979999997</v>
      </c>
      <c r="T169" s="192">
        <v>6975410.04</v>
      </c>
      <c r="U169" s="192">
        <v>52538324.110000014</v>
      </c>
      <c r="V169" s="192">
        <v>38229090.919999987</v>
      </c>
      <c r="W169" s="192">
        <v>639910.05000000005</v>
      </c>
      <c r="X169" s="192">
        <v>17793487.309999995</v>
      </c>
      <c r="Y169" s="192">
        <v>1844762.8099999998</v>
      </c>
      <c r="Z169" s="192">
        <v>133275239.41</v>
      </c>
      <c r="AA169" s="193">
        <v>1497622.8000000007</v>
      </c>
      <c r="AB169" s="193">
        <v>1362655.4299999997</v>
      </c>
      <c r="AC169" s="193">
        <v>9337168.6799999774</v>
      </c>
      <c r="AD169" s="193">
        <v>2199997.3100000173</v>
      </c>
      <c r="AE169" s="193">
        <v>-24445.260000000126</v>
      </c>
      <c r="AF169" s="193">
        <v>1801038.8000000082</v>
      </c>
      <c r="AG169" s="193">
        <v>203899.41000000015</v>
      </c>
      <c r="AH169" s="193">
        <v>16174037.76000002</v>
      </c>
      <c r="AI169" s="194">
        <v>8.7585315679357905</v>
      </c>
      <c r="AJ169" s="194">
        <v>19.535130152721454</v>
      </c>
      <c r="AK169" s="194">
        <v>17.772109861080938</v>
      </c>
      <c r="AL169" s="194">
        <v>5.7547727582741537</v>
      </c>
      <c r="AM169" s="194">
        <v>-3.8201087793511177</v>
      </c>
      <c r="AN169" s="194">
        <v>10.121898920779957</v>
      </c>
      <c r="AO169" s="194">
        <v>11.052879475600452</v>
      </c>
      <c r="AP169" s="194">
        <v>12.135815948709853</v>
      </c>
    </row>
    <row r="170" spans="1:42" ht="12" customHeight="1">
      <c r="A170" s="189" t="s">
        <v>497</v>
      </c>
      <c r="B170" s="189"/>
      <c r="C170" s="189" t="s">
        <v>129</v>
      </c>
      <c r="D170" s="189" t="s">
        <v>755</v>
      </c>
      <c r="E170" s="189" t="s">
        <v>879</v>
      </c>
      <c r="F170" s="190" t="s">
        <v>720</v>
      </c>
      <c r="G170" s="189" t="s">
        <v>689</v>
      </c>
      <c r="H170" s="197"/>
      <c r="I170" s="195"/>
      <c r="J170" s="195"/>
      <c r="K170" s="192">
        <v>21618436.240000002</v>
      </c>
      <c r="L170" s="192">
        <v>11164002.800000001</v>
      </c>
      <c r="M170" s="192">
        <v>70636717.88000001</v>
      </c>
      <c r="N170" s="192">
        <v>60290632.629999995</v>
      </c>
      <c r="O170" s="192">
        <v>532412</v>
      </c>
      <c r="P170" s="192">
        <v>23567218.960000001</v>
      </c>
      <c r="Q170" s="192">
        <v>2700266.5700000003</v>
      </c>
      <c r="R170" s="192">
        <v>187809420.51000002</v>
      </c>
      <c r="S170" s="192">
        <v>20461262.010000002</v>
      </c>
      <c r="T170" s="192">
        <v>9275396.5000000019</v>
      </c>
      <c r="U170" s="192">
        <v>60270226.110000022</v>
      </c>
      <c r="V170" s="192">
        <v>57474780.720000006</v>
      </c>
      <c r="W170" s="192">
        <v>637725.74000000011</v>
      </c>
      <c r="X170" s="192">
        <v>21843680.279999997</v>
      </c>
      <c r="Y170" s="192">
        <v>2640950.8200000003</v>
      </c>
      <c r="Z170" s="192">
        <v>169963071.36000004</v>
      </c>
      <c r="AA170" s="193">
        <v>1157174.2300000004</v>
      </c>
      <c r="AB170" s="193">
        <v>1888606.2999999989</v>
      </c>
      <c r="AC170" s="193">
        <v>10366491.769999988</v>
      </c>
      <c r="AD170" s="193">
        <v>2815851.909999989</v>
      </c>
      <c r="AE170" s="193">
        <v>-105313.74000000011</v>
      </c>
      <c r="AF170" s="193">
        <v>1723538.6800000034</v>
      </c>
      <c r="AG170" s="193">
        <v>59315.75</v>
      </c>
      <c r="AH170" s="193">
        <v>17846349.149999976</v>
      </c>
      <c r="AI170" s="194">
        <v>5.6554391876437364</v>
      </c>
      <c r="AJ170" s="194">
        <v>20.361461636707372</v>
      </c>
      <c r="AK170" s="194">
        <v>17.200021368892763</v>
      </c>
      <c r="AL170" s="194">
        <v>4.8992825631088177</v>
      </c>
      <c r="AM170" s="194">
        <v>-16.51395472919128</v>
      </c>
      <c r="AN170" s="194">
        <v>7.8903310152276394</v>
      </c>
      <c r="AO170" s="194">
        <v>2.2459997948769068</v>
      </c>
      <c r="AP170" s="194">
        <v>10.500133356733411</v>
      </c>
    </row>
    <row r="171" spans="1:42" ht="12" customHeight="1">
      <c r="A171" s="189" t="s">
        <v>498</v>
      </c>
      <c r="B171" s="189"/>
      <c r="C171" s="189" t="s">
        <v>130</v>
      </c>
      <c r="D171" s="189" t="s">
        <v>755</v>
      </c>
      <c r="E171" s="189" t="s">
        <v>882</v>
      </c>
      <c r="F171" s="190" t="s">
        <v>720</v>
      </c>
      <c r="G171" s="189" t="s">
        <v>689</v>
      </c>
      <c r="H171" s="197"/>
      <c r="I171" s="195"/>
      <c r="J171" s="195"/>
      <c r="K171" s="192">
        <v>38888327.349999994</v>
      </c>
      <c r="L171" s="192">
        <v>25648536.220000003</v>
      </c>
      <c r="M171" s="192">
        <v>134420300.43000001</v>
      </c>
      <c r="N171" s="192">
        <v>107439181.63</v>
      </c>
      <c r="O171" s="192">
        <v>2200352.98</v>
      </c>
      <c r="P171" s="192">
        <v>44218536.559999987</v>
      </c>
      <c r="Q171" s="192">
        <v>9244211.6699999999</v>
      </c>
      <c r="R171" s="192">
        <v>352815235.17000002</v>
      </c>
      <c r="S171" s="192">
        <v>36630916.340000004</v>
      </c>
      <c r="T171" s="192">
        <v>28831348.139999997</v>
      </c>
      <c r="U171" s="192">
        <v>117788575.70999999</v>
      </c>
      <c r="V171" s="192">
        <v>103834283.65000001</v>
      </c>
      <c r="W171" s="192">
        <v>2156875.14</v>
      </c>
      <c r="X171" s="192">
        <v>41799293.680000007</v>
      </c>
      <c r="Y171" s="192">
        <v>8538277.9199999999</v>
      </c>
      <c r="Z171" s="192">
        <v>331041292.66000003</v>
      </c>
      <c r="AA171" s="193">
        <v>2257411.0099999905</v>
      </c>
      <c r="AB171" s="193">
        <v>-3182811.9199999943</v>
      </c>
      <c r="AC171" s="193">
        <v>16631724.720000014</v>
      </c>
      <c r="AD171" s="193">
        <v>3604897.9799999893</v>
      </c>
      <c r="AE171" s="193">
        <v>43477.839999999851</v>
      </c>
      <c r="AF171" s="193">
        <v>2419242.8799999803</v>
      </c>
      <c r="AG171" s="193">
        <v>705933.75</v>
      </c>
      <c r="AH171" s="193">
        <v>21773942.50999999</v>
      </c>
      <c r="AI171" s="194">
        <v>6.1625840561759482</v>
      </c>
      <c r="AJ171" s="194">
        <v>-11.039414128485477</v>
      </c>
      <c r="AK171" s="194">
        <v>14.119981177926762</v>
      </c>
      <c r="AL171" s="194">
        <v>3.4717800838798287</v>
      </c>
      <c r="AM171" s="194">
        <v>2.0157791795031699</v>
      </c>
      <c r="AN171" s="194">
        <v>5.787760191645372</v>
      </c>
      <c r="AO171" s="194">
        <v>8.26787036700253</v>
      </c>
      <c r="AP171" s="194">
        <v>6.5774098255359288</v>
      </c>
    </row>
    <row r="172" spans="1:42" ht="12" customHeight="1">
      <c r="A172" s="189" t="s">
        <v>793</v>
      </c>
      <c r="B172" s="189"/>
      <c r="C172" s="189" t="s">
        <v>131</v>
      </c>
      <c r="D172" s="189" t="s">
        <v>756</v>
      </c>
      <c r="E172" s="189" t="s">
        <v>879</v>
      </c>
      <c r="F172" s="190" t="s">
        <v>720</v>
      </c>
      <c r="G172" s="189" t="s">
        <v>689</v>
      </c>
      <c r="H172" s="197"/>
      <c r="I172" s="195"/>
      <c r="J172" s="195"/>
      <c r="K172" s="192">
        <v>19302919</v>
      </c>
      <c r="L172" s="192">
        <v>10898525</v>
      </c>
      <c r="M172" s="192">
        <v>76930909</v>
      </c>
      <c r="N172" s="192">
        <v>55760035</v>
      </c>
      <c r="O172" s="192">
        <v>671580</v>
      </c>
      <c r="P172" s="192">
        <v>24864479</v>
      </c>
      <c r="Q172" s="192">
        <v>4289369</v>
      </c>
      <c r="R172" s="192">
        <v>188428447</v>
      </c>
      <c r="S172" s="192">
        <v>18959696</v>
      </c>
      <c r="T172" s="192">
        <v>9994889</v>
      </c>
      <c r="U172" s="192">
        <v>61786333</v>
      </c>
      <c r="V172" s="192">
        <v>51821320</v>
      </c>
      <c r="W172" s="192">
        <v>697466</v>
      </c>
      <c r="X172" s="192">
        <v>22264111</v>
      </c>
      <c r="Y172" s="192">
        <v>3996108</v>
      </c>
      <c r="Z172" s="192">
        <v>165523815</v>
      </c>
      <c r="AA172" s="193">
        <v>343223</v>
      </c>
      <c r="AB172" s="193">
        <v>903636</v>
      </c>
      <c r="AC172" s="193">
        <v>15144576</v>
      </c>
      <c r="AD172" s="193">
        <v>3938715</v>
      </c>
      <c r="AE172" s="193">
        <v>-25886</v>
      </c>
      <c r="AF172" s="193">
        <v>2600368</v>
      </c>
      <c r="AG172" s="193">
        <v>293261</v>
      </c>
      <c r="AH172" s="193">
        <v>22904632</v>
      </c>
      <c r="AI172" s="194">
        <v>1.8102769158324057</v>
      </c>
      <c r="AJ172" s="194">
        <v>9.0409808453100382</v>
      </c>
      <c r="AK172" s="194">
        <v>24.511207033438932</v>
      </c>
      <c r="AL172" s="194">
        <v>7.6005686462637385</v>
      </c>
      <c r="AM172" s="194">
        <v>-3.7114353961340054</v>
      </c>
      <c r="AN172" s="194">
        <v>11.679639937116734</v>
      </c>
      <c r="AO172" s="194">
        <v>7.3386655215524703</v>
      </c>
      <c r="AP172" s="194">
        <v>13.837665595129014</v>
      </c>
    </row>
    <row r="173" spans="1:42" ht="12" customHeight="1">
      <c r="A173" s="189" t="s">
        <v>499</v>
      </c>
      <c r="B173" s="189"/>
      <c r="C173" s="189" t="s">
        <v>132</v>
      </c>
      <c r="D173" s="189" t="s">
        <v>755</v>
      </c>
      <c r="E173" s="189" t="s">
        <v>883</v>
      </c>
      <c r="F173" s="190" t="s">
        <v>720</v>
      </c>
      <c r="G173" s="189" t="s">
        <v>689</v>
      </c>
      <c r="H173" s="197"/>
      <c r="I173" s="195"/>
      <c r="J173" s="195"/>
      <c r="K173" s="192">
        <v>44889084.18</v>
      </c>
      <c r="L173" s="192">
        <v>33193155.870000001</v>
      </c>
      <c r="M173" s="192">
        <v>163713450.22999999</v>
      </c>
      <c r="N173" s="192">
        <v>125121189.42999998</v>
      </c>
      <c r="O173" s="192">
        <v>1723130.55</v>
      </c>
      <c r="P173" s="192">
        <v>52823501.420000002</v>
      </c>
      <c r="Q173" s="192">
        <v>9290040.8399999999</v>
      </c>
      <c r="R173" s="192">
        <v>421463511.67999995</v>
      </c>
      <c r="S173" s="192">
        <v>47082303.950000003</v>
      </c>
      <c r="T173" s="192">
        <v>32544866.100000005</v>
      </c>
      <c r="U173" s="192">
        <v>145487519.32999998</v>
      </c>
      <c r="V173" s="192">
        <v>122048532.3</v>
      </c>
      <c r="W173" s="192">
        <v>1906565.1600000001</v>
      </c>
      <c r="X173" s="192">
        <v>49960462.75</v>
      </c>
      <c r="Y173" s="192">
        <v>8218691.3800000008</v>
      </c>
      <c r="Z173" s="192">
        <v>399030249.59000003</v>
      </c>
      <c r="AA173" s="193">
        <v>-2193219.7700000033</v>
      </c>
      <c r="AB173" s="193">
        <v>648289.76999999583</v>
      </c>
      <c r="AC173" s="193">
        <v>18225930.900000006</v>
      </c>
      <c r="AD173" s="193">
        <v>3072657.1299999803</v>
      </c>
      <c r="AE173" s="193">
        <v>-183434.6100000001</v>
      </c>
      <c r="AF173" s="193">
        <v>2863038.6700000018</v>
      </c>
      <c r="AG173" s="193">
        <v>1071349.459999999</v>
      </c>
      <c r="AH173" s="193">
        <v>22433262.089999914</v>
      </c>
      <c r="AI173" s="194">
        <v>-4.6582677269343851</v>
      </c>
      <c r="AJ173" s="194">
        <v>1.9919878238491069</v>
      </c>
      <c r="AK173" s="194">
        <v>12.527487570022622</v>
      </c>
      <c r="AL173" s="194">
        <v>2.5175699142757986</v>
      </c>
      <c r="AM173" s="194">
        <v>-9.6212085402840408</v>
      </c>
      <c r="AN173" s="194">
        <v>5.7306087902478478</v>
      </c>
      <c r="AO173" s="194">
        <v>13.035523667516019</v>
      </c>
      <c r="AP173" s="194">
        <v>5.6219452317336565</v>
      </c>
    </row>
    <row r="174" spans="1:42" ht="12" customHeight="1">
      <c r="A174" s="189" t="s">
        <v>500</v>
      </c>
      <c r="B174" s="189"/>
      <c r="C174" s="189" t="s">
        <v>133</v>
      </c>
      <c r="D174" s="189" t="s">
        <v>755</v>
      </c>
      <c r="E174" s="189" t="s">
        <v>883</v>
      </c>
      <c r="F174" s="190" t="s">
        <v>720</v>
      </c>
      <c r="G174" s="189" t="s">
        <v>689</v>
      </c>
      <c r="H174" s="197"/>
      <c r="I174" s="195"/>
      <c r="J174" s="195"/>
      <c r="K174" s="192">
        <v>25454833.930000003</v>
      </c>
      <c r="L174" s="192">
        <v>17697313.709999997</v>
      </c>
      <c r="M174" s="192">
        <v>90966487.659999967</v>
      </c>
      <c r="N174" s="192">
        <v>67558141.139999986</v>
      </c>
      <c r="O174" s="192">
        <v>901887.04</v>
      </c>
      <c r="P174" s="192">
        <v>29367326.030000001</v>
      </c>
      <c r="Q174" s="192">
        <v>3518527.4700000007</v>
      </c>
      <c r="R174" s="192">
        <v>231945989.50999993</v>
      </c>
      <c r="S174" s="192">
        <v>24578536.609999999</v>
      </c>
      <c r="T174" s="192">
        <v>19546070.93</v>
      </c>
      <c r="U174" s="192">
        <v>78628756.810000002</v>
      </c>
      <c r="V174" s="192">
        <v>64614985.269999996</v>
      </c>
      <c r="W174" s="192">
        <v>1107199.71</v>
      </c>
      <c r="X174" s="192">
        <v>27235346.120000012</v>
      </c>
      <c r="Y174" s="192">
        <v>3161727.290000001</v>
      </c>
      <c r="Z174" s="192">
        <v>215710895.45000002</v>
      </c>
      <c r="AA174" s="193">
        <v>876297.32000000402</v>
      </c>
      <c r="AB174" s="193">
        <v>-1848757.2200000025</v>
      </c>
      <c r="AC174" s="193">
        <v>12337730.849999964</v>
      </c>
      <c r="AD174" s="193">
        <v>2943155.8699999899</v>
      </c>
      <c r="AE174" s="193">
        <v>-205312.66999999993</v>
      </c>
      <c r="AF174" s="193">
        <v>2131979.909999989</v>
      </c>
      <c r="AG174" s="193">
        <v>356800.1799999997</v>
      </c>
      <c r="AH174" s="193">
        <v>16235094.059999913</v>
      </c>
      <c r="AI174" s="194">
        <v>3.5652949315276752</v>
      </c>
      <c r="AJ174" s="194">
        <v>-9.4584595882258089</v>
      </c>
      <c r="AK174" s="194">
        <v>15.691117792709209</v>
      </c>
      <c r="AL174" s="194">
        <v>4.554912235453938</v>
      </c>
      <c r="AM174" s="194">
        <v>-18.543417971090324</v>
      </c>
      <c r="AN174" s="194">
        <v>7.8279890426448091</v>
      </c>
      <c r="AO174" s="194">
        <v>11.284976447162197</v>
      </c>
      <c r="AP174" s="194">
        <v>7.5263208314681878</v>
      </c>
    </row>
    <row r="175" spans="1:42" ht="12" customHeight="1">
      <c r="A175" s="189" t="s">
        <v>501</v>
      </c>
      <c r="B175" s="189"/>
      <c r="C175" s="189" t="s">
        <v>134</v>
      </c>
      <c r="D175" s="189" t="s">
        <v>755</v>
      </c>
      <c r="E175" s="189" t="s">
        <v>880</v>
      </c>
      <c r="F175" s="190" t="s">
        <v>720</v>
      </c>
      <c r="G175" s="189" t="s">
        <v>689</v>
      </c>
      <c r="H175" s="197"/>
      <c r="I175" s="195"/>
      <c r="J175" s="195"/>
      <c r="K175" s="192">
        <v>32087900.98</v>
      </c>
      <c r="L175" s="192">
        <v>20447312.32</v>
      </c>
      <c r="M175" s="192">
        <v>108170236.13</v>
      </c>
      <c r="N175" s="192">
        <v>90122917.169999972</v>
      </c>
      <c r="O175" s="192">
        <v>735298.51</v>
      </c>
      <c r="P175" s="192">
        <v>36436542.219999999</v>
      </c>
      <c r="Q175" s="192">
        <v>1257426.02</v>
      </c>
      <c r="R175" s="192">
        <v>288000207.32999992</v>
      </c>
      <c r="S175" s="192">
        <v>32954947.810000002</v>
      </c>
      <c r="T175" s="192">
        <v>21370274.280000005</v>
      </c>
      <c r="U175" s="192">
        <v>95739528.510000005</v>
      </c>
      <c r="V175" s="192">
        <v>89398811.689999998</v>
      </c>
      <c r="W175" s="192">
        <v>910993.82</v>
      </c>
      <c r="X175" s="192">
        <v>34658472.810000002</v>
      </c>
      <c r="Y175" s="192">
        <v>1204193.53</v>
      </c>
      <c r="Z175" s="192">
        <v>275033028.92000002</v>
      </c>
      <c r="AA175" s="193">
        <v>-867046.83000000194</v>
      </c>
      <c r="AB175" s="193">
        <v>-922961.96000000462</v>
      </c>
      <c r="AC175" s="193">
        <v>12430707.61999999</v>
      </c>
      <c r="AD175" s="193">
        <v>724105.47999997437</v>
      </c>
      <c r="AE175" s="193">
        <v>-175695.30999999994</v>
      </c>
      <c r="AF175" s="193">
        <v>1778069.4099999964</v>
      </c>
      <c r="AG175" s="193">
        <v>53232.489999999991</v>
      </c>
      <c r="AH175" s="193">
        <v>12967178.409999907</v>
      </c>
      <c r="AI175" s="194">
        <v>-2.6310065335224144</v>
      </c>
      <c r="AJ175" s="194">
        <v>-4.3189055409727963</v>
      </c>
      <c r="AK175" s="194">
        <v>12.983882220290651</v>
      </c>
      <c r="AL175" s="194">
        <v>0.80997215322155292</v>
      </c>
      <c r="AM175" s="194">
        <v>-19.286114366835104</v>
      </c>
      <c r="AN175" s="194">
        <v>5.130258969422826</v>
      </c>
      <c r="AO175" s="194">
        <v>4.4205925936174051</v>
      </c>
      <c r="AP175" s="194">
        <v>4.7147713352536007</v>
      </c>
    </row>
    <row r="176" spans="1:42" ht="12" customHeight="1">
      <c r="A176" s="189" t="s">
        <v>502</v>
      </c>
      <c r="B176" s="189"/>
      <c r="C176" s="189" t="s">
        <v>135</v>
      </c>
      <c r="D176" s="189" t="s">
        <v>755</v>
      </c>
      <c r="E176" s="189" t="s">
        <v>879</v>
      </c>
      <c r="F176" s="190" t="s">
        <v>720</v>
      </c>
      <c r="G176" s="189" t="s">
        <v>689</v>
      </c>
      <c r="H176" s="197"/>
      <c r="I176" s="195"/>
      <c r="J176" s="195"/>
      <c r="K176" s="192">
        <v>41496049.839999996</v>
      </c>
      <c r="L176" s="192">
        <v>21145902.780000001</v>
      </c>
      <c r="M176" s="192">
        <v>137939301.16000003</v>
      </c>
      <c r="N176" s="192">
        <v>111720618.57999998</v>
      </c>
      <c r="O176" s="192">
        <v>1512083.21</v>
      </c>
      <c r="P176" s="192">
        <v>45652675.789999984</v>
      </c>
      <c r="Q176" s="192">
        <v>5597439.6499999994</v>
      </c>
      <c r="R176" s="192">
        <v>359466631.35999995</v>
      </c>
      <c r="S176" s="192">
        <v>40576623.629999995</v>
      </c>
      <c r="T176" s="192">
        <v>21313027.530000001</v>
      </c>
      <c r="U176" s="192">
        <v>117750762.65000001</v>
      </c>
      <c r="V176" s="192">
        <v>104925487.47000001</v>
      </c>
      <c r="W176" s="192">
        <v>1853054.67</v>
      </c>
      <c r="X176" s="192">
        <v>42235973.020000011</v>
      </c>
      <c r="Y176" s="192">
        <v>5375265.7300000004</v>
      </c>
      <c r="Z176" s="192">
        <v>328654928.97000003</v>
      </c>
      <c r="AA176" s="193">
        <v>919426.21000000089</v>
      </c>
      <c r="AB176" s="193">
        <v>-167124.75</v>
      </c>
      <c r="AC176" s="193">
        <v>20188538.51000002</v>
      </c>
      <c r="AD176" s="193">
        <v>6795131.1099999696</v>
      </c>
      <c r="AE176" s="193">
        <v>-340971.45999999996</v>
      </c>
      <c r="AF176" s="193">
        <v>3416702.7699999735</v>
      </c>
      <c r="AG176" s="193">
        <v>222173.91999999899</v>
      </c>
      <c r="AH176" s="193">
        <v>30811702.389999926</v>
      </c>
      <c r="AI176" s="194">
        <v>2.265901220327831</v>
      </c>
      <c r="AJ176" s="194">
        <v>-0.78414364061960184</v>
      </c>
      <c r="AK176" s="194">
        <v>17.145144588156956</v>
      </c>
      <c r="AL176" s="194">
        <v>6.4761491929621133</v>
      </c>
      <c r="AM176" s="194">
        <v>-18.400507309371502</v>
      </c>
      <c r="AN176" s="194">
        <v>8.0895561903642221</v>
      </c>
      <c r="AO176" s="194">
        <v>4.1332639381904377</v>
      </c>
      <c r="AP176" s="194">
        <v>9.3750921328225232</v>
      </c>
    </row>
    <row r="177" spans="1:42" ht="12" customHeight="1">
      <c r="A177" s="189" t="s">
        <v>503</v>
      </c>
      <c r="B177" s="189"/>
      <c r="C177" s="189" t="s">
        <v>136</v>
      </c>
      <c r="D177" s="189" t="s">
        <v>755</v>
      </c>
      <c r="E177" s="189" t="s">
        <v>879</v>
      </c>
      <c r="F177" s="190" t="s">
        <v>720</v>
      </c>
      <c r="G177" s="189" t="s">
        <v>689</v>
      </c>
      <c r="H177" s="197"/>
      <c r="I177" s="195"/>
      <c r="J177" s="195"/>
      <c r="K177" s="192">
        <v>36905909.560000002</v>
      </c>
      <c r="L177" s="192">
        <v>20622545.449999999</v>
      </c>
      <c r="M177" s="192">
        <v>127400319.61999997</v>
      </c>
      <c r="N177" s="192">
        <v>100205695.90000002</v>
      </c>
      <c r="O177" s="192">
        <v>869341.01</v>
      </c>
      <c r="P177" s="192">
        <v>41672300.340000004</v>
      </c>
      <c r="Q177" s="192">
        <v>4795440.1499999994</v>
      </c>
      <c r="R177" s="192">
        <v>327676111.88</v>
      </c>
      <c r="S177" s="192">
        <v>35174772.189999998</v>
      </c>
      <c r="T177" s="192">
        <v>20990602.429999996</v>
      </c>
      <c r="U177" s="192">
        <v>110737923.59000002</v>
      </c>
      <c r="V177" s="192">
        <v>94849949.180000022</v>
      </c>
      <c r="W177" s="192">
        <v>968566.1100000001</v>
      </c>
      <c r="X177" s="192">
        <v>39306209.199999996</v>
      </c>
      <c r="Y177" s="192">
        <v>4527401.5799999991</v>
      </c>
      <c r="Z177" s="192">
        <v>302028022.70000005</v>
      </c>
      <c r="AA177" s="193">
        <v>1731137.3700000048</v>
      </c>
      <c r="AB177" s="193">
        <v>-368056.97999999672</v>
      </c>
      <c r="AC177" s="193">
        <v>16662396.029999956</v>
      </c>
      <c r="AD177" s="193">
        <v>5355746.7199999988</v>
      </c>
      <c r="AE177" s="193">
        <v>-99225.100000000093</v>
      </c>
      <c r="AF177" s="193">
        <v>2366091.140000008</v>
      </c>
      <c r="AG177" s="193">
        <v>268038.5700000003</v>
      </c>
      <c r="AH177" s="193">
        <v>25648089.179999948</v>
      </c>
      <c r="AI177" s="194">
        <v>4.9215311492256317</v>
      </c>
      <c r="AJ177" s="194">
        <v>-1.7534369545962423</v>
      </c>
      <c r="AK177" s="194">
        <v>15.046693571473668</v>
      </c>
      <c r="AL177" s="194">
        <v>5.6465467470480277</v>
      </c>
      <c r="AM177" s="194">
        <v>-10.24453560531868</v>
      </c>
      <c r="AN177" s="194">
        <v>6.0196370704708109</v>
      </c>
      <c r="AO177" s="194">
        <v>5.9203621605839603</v>
      </c>
      <c r="AP177" s="194">
        <v>8.4919567895445951</v>
      </c>
    </row>
    <row r="178" spans="1:42" ht="12" customHeight="1">
      <c r="A178" s="189" t="s">
        <v>504</v>
      </c>
      <c r="B178" s="189"/>
      <c r="C178" s="189" t="s">
        <v>137</v>
      </c>
      <c r="D178" s="189" t="s">
        <v>755</v>
      </c>
      <c r="E178" s="189" t="s">
        <v>879</v>
      </c>
      <c r="F178" s="190" t="s">
        <v>720</v>
      </c>
      <c r="G178" s="189" t="s">
        <v>689</v>
      </c>
      <c r="H178" s="197"/>
      <c r="I178" s="195"/>
      <c r="J178" s="195"/>
      <c r="K178" s="192">
        <v>13395411.270000001</v>
      </c>
      <c r="L178" s="192">
        <v>4976852.4400000004</v>
      </c>
      <c r="M178" s="192">
        <v>42904515.230000012</v>
      </c>
      <c r="N178" s="192">
        <v>29636284.27</v>
      </c>
      <c r="O178" s="192">
        <v>524937.95000000007</v>
      </c>
      <c r="P178" s="192">
        <v>13830509.829999998</v>
      </c>
      <c r="Q178" s="192">
        <v>1264791.4200000002</v>
      </c>
      <c r="R178" s="192">
        <v>105268510.99000001</v>
      </c>
      <c r="S178" s="192">
        <v>12844780.68</v>
      </c>
      <c r="T178" s="192">
        <v>5583851.0200000014</v>
      </c>
      <c r="U178" s="192">
        <v>36313077.969999999</v>
      </c>
      <c r="V178" s="192">
        <v>27810383.210000001</v>
      </c>
      <c r="W178" s="192">
        <v>574576.58000000007</v>
      </c>
      <c r="X178" s="192">
        <v>12668198.960000003</v>
      </c>
      <c r="Y178" s="192">
        <v>1232582.3900000001</v>
      </c>
      <c r="Z178" s="192">
        <v>95794868.420000002</v>
      </c>
      <c r="AA178" s="193">
        <v>550630.59000000171</v>
      </c>
      <c r="AB178" s="193">
        <v>-606998.58000000101</v>
      </c>
      <c r="AC178" s="193">
        <v>6591437.2600000128</v>
      </c>
      <c r="AD178" s="193">
        <v>1825901.0599999987</v>
      </c>
      <c r="AE178" s="193">
        <v>-49638.630000000005</v>
      </c>
      <c r="AF178" s="193">
        <v>1162310.8699999955</v>
      </c>
      <c r="AG178" s="193">
        <v>32209.030000000028</v>
      </c>
      <c r="AH178" s="193">
        <v>9473642.5700000077</v>
      </c>
      <c r="AI178" s="194">
        <v>4.2868041402790356</v>
      </c>
      <c r="AJ178" s="194">
        <v>-10.870608435394841</v>
      </c>
      <c r="AK178" s="194">
        <v>18.151689772608975</v>
      </c>
      <c r="AL178" s="194">
        <v>6.5655372175650024</v>
      </c>
      <c r="AM178" s="194">
        <v>-8.6391669496866719</v>
      </c>
      <c r="AN178" s="194">
        <v>9.175028539337017</v>
      </c>
      <c r="AO178" s="194">
        <v>2.6131340396644824</v>
      </c>
      <c r="AP178" s="194">
        <v>9.8895094552080476</v>
      </c>
    </row>
    <row r="179" spans="1:42" ht="12" customHeight="1">
      <c r="A179" s="189" t="s">
        <v>505</v>
      </c>
      <c r="B179" s="189"/>
      <c r="C179" s="189" t="s">
        <v>138</v>
      </c>
      <c r="D179" s="189" t="s">
        <v>756</v>
      </c>
      <c r="E179" s="189" t="s">
        <v>879</v>
      </c>
      <c r="F179" s="190" t="s">
        <v>720</v>
      </c>
      <c r="G179" s="189" t="s">
        <v>689</v>
      </c>
      <c r="H179" s="197"/>
      <c r="I179" s="195"/>
      <c r="J179" s="195"/>
      <c r="K179" s="192">
        <v>17378465</v>
      </c>
      <c r="L179" s="192">
        <v>7694133</v>
      </c>
      <c r="M179" s="192">
        <v>66330598</v>
      </c>
      <c r="N179" s="192">
        <v>45100327</v>
      </c>
      <c r="O179" s="192">
        <v>905676</v>
      </c>
      <c r="P179" s="192">
        <v>21991094</v>
      </c>
      <c r="Q179" s="192">
        <v>2654588</v>
      </c>
      <c r="R179" s="192">
        <v>159400293</v>
      </c>
      <c r="S179" s="192">
        <v>16253389</v>
      </c>
      <c r="T179" s="192">
        <v>7797283</v>
      </c>
      <c r="U179" s="192">
        <v>53664826</v>
      </c>
      <c r="V179" s="192" t="s">
        <v>987</v>
      </c>
      <c r="W179" s="192">
        <v>957496</v>
      </c>
      <c r="X179" s="192">
        <v>19595534</v>
      </c>
      <c r="Y179" s="192">
        <v>2381167</v>
      </c>
      <c r="Z179" s="192" t="s">
        <v>987</v>
      </c>
      <c r="AA179" s="193">
        <v>1125076</v>
      </c>
      <c r="AB179" s="193">
        <v>-103150</v>
      </c>
      <c r="AC179" s="193">
        <v>12665772</v>
      </c>
      <c r="AD179" s="193" t="s">
        <v>985</v>
      </c>
      <c r="AE179" s="193">
        <v>-51820</v>
      </c>
      <c r="AF179" s="193">
        <v>2395560</v>
      </c>
      <c r="AG179" s="193">
        <v>273421</v>
      </c>
      <c r="AH179" s="193" t="s">
        <v>985</v>
      </c>
      <c r="AI179" s="194">
        <v>6.922100984600811</v>
      </c>
      <c r="AJ179" s="194">
        <v>-1.3228967064553125</v>
      </c>
      <c r="AK179" s="194">
        <v>23.601626883128251</v>
      </c>
      <c r="AL179" s="194" t="s">
        <v>985</v>
      </c>
      <c r="AM179" s="194">
        <v>-5.412033052879595</v>
      </c>
      <c r="AN179" s="194">
        <v>12.225030458470792</v>
      </c>
      <c r="AO179" s="194">
        <v>11.482646954203549</v>
      </c>
      <c r="AP179" s="194" t="s">
        <v>985</v>
      </c>
    </row>
    <row r="180" spans="1:42" ht="12" customHeight="1">
      <c r="A180" s="189" t="s">
        <v>506</v>
      </c>
      <c r="B180" s="189"/>
      <c r="C180" s="189" t="s">
        <v>139</v>
      </c>
      <c r="D180" s="189" t="s">
        <v>756</v>
      </c>
      <c r="E180" s="189" t="s">
        <v>878</v>
      </c>
      <c r="F180" s="190" t="s">
        <v>720</v>
      </c>
      <c r="G180" s="189" t="s">
        <v>689</v>
      </c>
      <c r="H180" s="197"/>
      <c r="I180" s="195"/>
      <c r="J180" s="195"/>
      <c r="K180" s="192">
        <v>10617099</v>
      </c>
      <c r="L180" s="192">
        <v>4344513</v>
      </c>
      <c r="M180" s="192">
        <v>40596340</v>
      </c>
      <c r="N180" s="192">
        <v>27330434</v>
      </c>
      <c r="O180" s="192">
        <v>585736</v>
      </c>
      <c r="P180" s="192">
        <v>13443127</v>
      </c>
      <c r="Q180" s="192">
        <v>3408143</v>
      </c>
      <c r="R180" s="192">
        <v>96917249</v>
      </c>
      <c r="S180" s="192" t="s">
        <v>987</v>
      </c>
      <c r="T180" s="192">
        <v>5347120</v>
      </c>
      <c r="U180" s="192">
        <v>31836379</v>
      </c>
      <c r="V180" s="192">
        <v>23749400</v>
      </c>
      <c r="W180" s="192">
        <v>702297</v>
      </c>
      <c r="X180" s="192">
        <v>11108532</v>
      </c>
      <c r="Y180" s="192">
        <v>2732129</v>
      </c>
      <c r="Z180" s="192" t="s">
        <v>987</v>
      </c>
      <c r="AA180" s="193" t="s">
        <v>985</v>
      </c>
      <c r="AB180" s="193">
        <v>-1002607</v>
      </c>
      <c r="AC180" s="193">
        <v>8759961</v>
      </c>
      <c r="AD180" s="193">
        <v>3581034</v>
      </c>
      <c r="AE180" s="193">
        <v>-116561</v>
      </c>
      <c r="AF180" s="193">
        <v>2334595</v>
      </c>
      <c r="AG180" s="193">
        <v>676014</v>
      </c>
      <c r="AH180" s="193" t="s">
        <v>985</v>
      </c>
      <c r="AI180" s="194" t="s">
        <v>985</v>
      </c>
      <c r="AJ180" s="194">
        <v>-18.750411436436814</v>
      </c>
      <c r="AK180" s="194">
        <v>27.515569531321386</v>
      </c>
      <c r="AL180" s="194">
        <v>15.078418823212376</v>
      </c>
      <c r="AM180" s="194">
        <v>-16.597109200238648</v>
      </c>
      <c r="AN180" s="194">
        <v>21.016233288070826</v>
      </c>
      <c r="AO180" s="194">
        <v>24.743121572956476</v>
      </c>
      <c r="AP180" s="194" t="s">
        <v>985</v>
      </c>
    </row>
    <row r="181" spans="1:42" ht="12" customHeight="1">
      <c r="A181" s="189" t="s">
        <v>794</v>
      </c>
      <c r="B181" s="189"/>
      <c r="C181" s="189" t="s">
        <v>140</v>
      </c>
      <c r="D181" s="189" t="s">
        <v>756</v>
      </c>
      <c r="E181" s="189" t="s">
        <v>879</v>
      </c>
      <c r="F181" s="190" t="s">
        <v>720</v>
      </c>
      <c r="G181" s="189" t="s">
        <v>689</v>
      </c>
      <c r="H181" s="197"/>
      <c r="I181" s="195"/>
      <c r="J181" s="195"/>
      <c r="K181" s="192">
        <v>27240850</v>
      </c>
      <c r="L181" s="192">
        <v>16987550</v>
      </c>
      <c r="M181" s="192">
        <v>94074706</v>
      </c>
      <c r="N181" s="192">
        <v>65859655</v>
      </c>
      <c r="O181" s="192">
        <v>1230885</v>
      </c>
      <c r="P181" s="192">
        <v>31837714</v>
      </c>
      <c r="Q181" s="192">
        <v>4249726</v>
      </c>
      <c r="R181" s="192">
        <v>237231360</v>
      </c>
      <c r="S181" s="192">
        <v>25928868</v>
      </c>
      <c r="T181" s="192">
        <v>17145765</v>
      </c>
      <c r="U181" s="192">
        <v>81056253</v>
      </c>
      <c r="V181" s="192">
        <v>62255889</v>
      </c>
      <c r="W181" s="192">
        <v>1308849</v>
      </c>
      <c r="X181" s="192">
        <v>28741544</v>
      </c>
      <c r="Y181" s="192">
        <v>3968839</v>
      </c>
      <c r="Z181" s="192">
        <v>216437168</v>
      </c>
      <c r="AA181" s="193">
        <v>1311982</v>
      </c>
      <c r="AB181" s="193">
        <v>-158215</v>
      </c>
      <c r="AC181" s="193">
        <v>13018453</v>
      </c>
      <c r="AD181" s="193">
        <v>3603766</v>
      </c>
      <c r="AE181" s="193">
        <v>-77964</v>
      </c>
      <c r="AF181" s="193">
        <v>3096170</v>
      </c>
      <c r="AG181" s="193">
        <v>280887</v>
      </c>
      <c r="AH181" s="193">
        <v>20794192</v>
      </c>
      <c r="AI181" s="194">
        <v>5.0599277993933249</v>
      </c>
      <c r="AJ181" s="194">
        <v>-0.92276430943734511</v>
      </c>
      <c r="AK181" s="194">
        <v>16.061010123426257</v>
      </c>
      <c r="AL181" s="194">
        <v>5.7886347105251357</v>
      </c>
      <c r="AM181" s="194">
        <v>-5.9566840789120823</v>
      </c>
      <c r="AN181" s="194">
        <v>10.772455369829819</v>
      </c>
      <c r="AO181" s="194">
        <v>7.0773090064877922</v>
      </c>
      <c r="AP181" s="194">
        <v>9.6074958807444748</v>
      </c>
    </row>
    <row r="182" spans="1:42" ht="12" customHeight="1">
      <c r="A182" s="189" t="s">
        <v>507</v>
      </c>
      <c r="B182" s="189"/>
      <c r="C182" s="189" t="s">
        <v>141</v>
      </c>
      <c r="D182" s="189" t="s">
        <v>755</v>
      </c>
      <c r="E182" s="189" t="s">
        <v>883</v>
      </c>
      <c r="F182" s="190" t="s">
        <v>720</v>
      </c>
      <c r="G182" s="189" t="s">
        <v>689</v>
      </c>
      <c r="H182" s="197"/>
      <c r="I182" s="195"/>
      <c r="J182" s="195"/>
      <c r="K182" s="192">
        <v>87774642.830000013</v>
      </c>
      <c r="L182" s="192">
        <v>77982402.250000015</v>
      </c>
      <c r="M182" s="192">
        <v>360158795.88999999</v>
      </c>
      <c r="N182" s="192">
        <v>303714526.65999997</v>
      </c>
      <c r="O182" s="192">
        <v>5678288.8099999996</v>
      </c>
      <c r="P182" s="192">
        <v>116209861.29999998</v>
      </c>
      <c r="Q182" s="192">
        <v>3493176.4000000004</v>
      </c>
      <c r="R182" s="192">
        <v>951518517.73999989</v>
      </c>
      <c r="S182" s="192">
        <v>84002268.319999993</v>
      </c>
      <c r="T182" s="192">
        <v>73317648.029999986</v>
      </c>
      <c r="U182" s="192">
        <v>308337208.76999992</v>
      </c>
      <c r="V182" s="192">
        <v>285094946.26999992</v>
      </c>
      <c r="W182" s="192">
        <v>5649239.1699999999</v>
      </c>
      <c r="X182" s="192">
        <v>106236605.65000001</v>
      </c>
      <c r="Y182" s="192">
        <v>3095945.5899999994</v>
      </c>
      <c r="Z182" s="192">
        <v>862637916.2099998</v>
      </c>
      <c r="AA182" s="193">
        <v>3772374.5100000203</v>
      </c>
      <c r="AB182" s="193">
        <v>4664754.2200000286</v>
      </c>
      <c r="AC182" s="193">
        <v>51821587.120000064</v>
      </c>
      <c r="AD182" s="193">
        <v>18619580.390000045</v>
      </c>
      <c r="AE182" s="193">
        <v>29049.639999999665</v>
      </c>
      <c r="AF182" s="193">
        <v>9973255.6499999762</v>
      </c>
      <c r="AG182" s="193">
        <v>397230.81000000099</v>
      </c>
      <c r="AH182" s="193">
        <v>88880601.530000091</v>
      </c>
      <c r="AI182" s="194">
        <v>4.4908007669857888</v>
      </c>
      <c r="AJ182" s="194">
        <v>6.3623893364545907</v>
      </c>
      <c r="AK182" s="194">
        <v>16.806789983837369</v>
      </c>
      <c r="AL182" s="194">
        <v>6.5310103295785265</v>
      </c>
      <c r="AM182" s="194">
        <v>0.51422216560180911</v>
      </c>
      <c r="AN182" s="194">
        <v>9.3877770180809375</v>
      </c>
      <c r="AO182" s="194">
        <v>12.830678009428489</v>
      </c>
      <c r="AP182" s="194">
        <v>10.30334974382961</v>
      </c>
    </row>
    <row r="183" spans="1:42" ht="12" customHeight="1">
      <c r="A183" s="189" t="s">
        <v>508</v>
      </c>
      <c r="B183" s="189"/>
      <c r="C183" s="189" t="s">
        <v>143</v>
      </c>
      <c r="D183" s="189" t="s">
        <v>755</v>
      </c>
      <c r="E183" s="189" t="s">
        <v>882</v>
      </c>
      <c r="F183" s="190" t="s">
        <v>720</v>
      </c>
      <c r="G183" s="189" t="s">
        <v>689</v>
      </c>
      <c r="H183" s="197"/>
      <c r="I183" s="195"/>
      <c r="J183" s="195"/>
      <c r="K183" s="192">
        <v>64745892.970000006</v>
      </c>
      <c r="L183" s="192">
        <v>40179136.920000002</v>
      </c>
      <c r="M183" s="192">
        <v>214181207.28999999</v>
      </c>
      <c r="N183" s="192">
        <v>176703793.99999997</v>
      </c>
      <c r="O183" s="192">
        <v>2188469.5499999998</v>
      </c>
      <c r="P183" s="192">
        <v>69326055.75999999</v>
      </c>
      <c r="Q183" s="192">
        <v>13946269.939999999</v>
      </c>
      <c r="R183" s="192">
        <v>567324556.49000001</v>
      </c>
      <c r="S183" s="192">
        <v>60901946.060000002</v>
      </c>
      <c r="T183" s="192">
        <v>47495347.419999994</v>
      </c>
      <c r="U183" s="192">
        <v>193880872.69</v>
      </c>
      <c r="V183" s="192">
        <v>173784014.67000002</v>
      </c>
      <c r="W183" s="192">
        <v>3074313.09</v>
      </c>
      <c r="X183" s="192">
        <v>67405106.289999992</v>
      </c>
      <c r="Y183" s="192">
        <v>13431827.08</v>
      </c>
      <c r="Z183" s="192">
        <v>546541600.21999991</v>
      </c>
      <c r="AA183" s="193">
        <v>3843946.9100000039</v>
      </c>
      <c r="AB183" s="193">
        <v>-7316210.4999999925</v>
      </c>
      <c r="AC183" s="193">
        <v>20300334.599999994</v>
      </c>
      <c r="AD183" s="193">
        <v>2919779.3299999535</v>
      </c>
      <c r="AE183" s="193">
        <v>-885843.54</v>
      </c>
      <c r="AF183" s="193">
        <v>1920949.4699999988</v>
      </c>
      <c r="AG183" s="193">
        <v>514442.8599999994</v>
      </c>
      <c r="AH183" s="193">
        <v>20782956.2700001</v>
      </c>
      <c r="AI183" s="194">
        <v>6.3116979976518079</v>
      </c>
      <c r="AJ183" s="194">
        <v>-15.404057233865357</v>
      </c>
      <c r="AK183" s="194">
        <v>10.47051950939926</v>
      </c>
      <c r="AL183" s="194">
        <v>1.6801196217870487</v>
      </c>
      <c r="AM183" s="194">
        <v>-28.814356705614525</v>
      </c>
      <c r="AN183" s="194">
        <v>2.8498574896320354</v>
      </c>
      <c r="AO183" s="194">
        <v>3.8300289077277143</v>
      </c>
      <c r="AP183" s="194">
        <v>3.8026302593680548</v>
      </c>
    </row>
    <row r="184" spans="1:42" ht="12" customHeight="1">
      <c r="A184" s="189" t="s">
        <v>509</v>
      </c>
      <c r="B184" s="189"/>
      <c r="C184" s="189" t="s">
        <v>145</v>
      </c>
      <c r="D184" s="189" t="s">
        <v>755</v>
      </c>
      <c r="E184" s="189" t="s">
        <v>883</v>
      </c>
      <c r="F184" s="190" t="s">
        <v>720</v>
      </c>
      <c r="G184" s="189" t="s">
        <v>689</v>
      </c>
      <c r="H184" s="197"/>
      <c r="I184" s="195"/>
      <c r="J184" s="195"/>
      <c r="K184" s="192">
        <v>78024483.159999996</v>
      </c>
      <c r="L184" s="192">
        <v>58867303.510000005</v>
      </c>
      <c r="M184" s="192">
        <v>296920987.38999993</v>
      </c>
      <c r="N184" s="192">
        <v>201342846.45999998</v>
      </c>
      <c r="O184" s="192">
        <v>559559.63000000012</v>
      </c>
      <c r="P184" s="192">
        <v>92132602.120000005</v>
      </c>
      <c r="Q184" s="192">
        <v>9957259.9100000001</v>
      </c>
      <c r="R184" s="192">
        <v>727847782.26999998</v>
      </c>
      <c r="S184" s="192">
        <v>75653252.680000007</v>
      </c>
      <c r="T184" s="192">
        <v>61107281.160000019</v>
      </c>
      <c r="U184" s="192">
        <v>263218521.25999999</v>
      </c>
      <c r="V184" s="192">
        <v>195250654.09999996</v>
      </c>
      <c r="W184" s="192">
        <v>603261.17000000004</v>
      </c>
      <c r="X184" s="192">
        <v>87608144.11999996</v>
      </c>
      <c r="Y184" s="192">
        <v>9063739.3300000001</v>
      </c>
      <c r="Z184" s="192">
        <v>683441114.49000001</v>
      </c>
      <c r="AA184" s="193">
        <v>2371230.4799999893</v>
      </c>
      <c r="AB184" s="193">
        <v>-2239977.6500000134</v>
      </c>
      <c r="AC184" s="193">
        <v>33702466.129999936</v>
      </c>
      <c r="AD184" s="193">
        <v>6092192.3600000143</v>
      </c>
      <c r="AE184" s="193">
        <v>-43701.539999999921</v>
      </c>
      <c r="AF184" s="193">
        <v>4524458.0000000447</v>
      </c>
      <c r="AG184" s="193">
        <v>893520.58000000007</v>
      </c>
      <c r="AH184" s="193">
        <v>44406667.779999971</v>
      </c>
      <c r="AI184" s="194">
        <v>3.1343404229159564</v>
      </c>
      <c r="AJ184" s="194">
        <v>-3.6656477059337269</v>
      </c>
      <c r="AK184" s="194">
        <v>12.803987336707804</v>
      </c>
      <c r="AL184" s="194">
        <v>3.1201904997869176</v>
      </c>
      <c r="AM184" s="194">
        <v>-7.2442156354933172</v>
      </c>
      <c r="AN184" s="194">
        <v>5.1644262590504546</v>
      </c>
      <c r="AO184" s="194">
        <v>9.8581892910638249</v>
      </c>
      <c r="AP184" s="194">
        <v>6.4975119053434875</v>
      </c>
    </row>
    <row r="185" spans="1:42" ht="12" customHeight="1">
      <c r="A185" s="189" t="s">
        <v>795</v>
      </c>
      <c r="B185" s="189"/>
      <c r="C185" s="189" t="s">
        <v>146</v>
      </c>
      <c r="D185" s="189" t="s">
        <v>756</v>
      </c>
      <c r="E185" s="189" t="s">
        <v>883</v>
      </c>
      <c r="F185" s="190" t="s">
        <v>720</v>
      </c>
      <c r="G185" s="189" t="s">
        <v>689</v>
      </c>
      <c r="H185" s="197"/>
      <c r="I185" s="195"/>
      <c r="J185" s="195"/>
      <c r="K185" s="192">
        <v>98435738</v>
      </c>
      <c r="L185" s="192">
        <v>77210789</v>
      </c>
      <c r="M185" s="192">
        <v>374659607</v>
      </c>
      <c r="N185" s="192">
        <v>301731218</v>
      </c>
      <c r="O185" s="192">
        <v>4869298</v>
      </c>
      <c r="P185" s="192">
        <v>90240851</v>
      </c>
      <c r="Q185" s="192">
        <v>17736878</v>
      </c>
      <c r="R185" s="192">
        <v>947147501</v>
      </c>
      <c r="S185" s="192">
        <v>81199880</v>
      </c>
      <c r="T185" s="192">
        <v>78477027</v>
      </c>
      <c r="U185" s="192">
        <v>319228177</v>
      </c>
      <c r="V185" s="192">
        <v>264554434</v>
      </c>
      <c r="W185" s="192">
        <v>6141640</v>
      </c>
      <c r="X185" s="192">
        <v>91444847</v>
      </c>
      <c r="Y185" s="192">
        <v>17736878</v>
      </c>
      <c r="Z185" s="192">
        <v>841046005</v>
      </c>
      <c r="AA185" s="193">
        <v>17235858</v>
      </c>
      <c r="AB185" s="193">
        <v>-1266238</v>
      </c>
      <c r="AC185" s="193">
        <v>55431430</v>
      </c>
      <c r="AD185" s="193">
        <v>37176784</v>
      </c>
      <c r="AE185" s="193">
        <v>-1272342</v>
      </c>
      <c r="AF185" s="193">
        <v>-1203996</v>
      </c>
      <c r="AG185" s="193">
        <v>0</v>
      </c>
      <c r="AH185" s="193">
        <v>106101496</v>
      </c>
      <c r="AI185" s="194">
        <v>21.226457477523368</v>
      </c>
      <c r="AJ185" s="194">
        <v>-1.6135142326428855</v>
      </c>
      <c r="AK185" s="194">
        <v>17.364203411154396</v>
      </c>
      <c r="AL185" s="194">
        <v>14.052602875671328</v>
      </c>
      <c r="AM185" s="194">
        <v>-20.716648973238421</v>
      </c>
      <c r="AN185" s="194">
        <v>-1.3166362452331513</v>
      </c>
      <c r="AO185" s="194">
        <v>0</v>
      </c>
      <c r="AP185" s="194">
        <v>12.615421198035415</v>
      </c>
    </row>
    <row r="186" spans="1:42" ht="12" customHeight="1">
      <c r="A186" s="189" t="s">
        <v>510</v>
      </c>
      <c r="B186" s="189"/>
      <c r="C186" s="189" t="s">
        <v>147</v>
      </c>
      <c r="D186" s="189" t="s">
        <v>755</v>
      </c>
      <c r="E186" s="189" t="s">
        <v>883</v>
      </c>
      <c r="F186" s="190" t="s">
        <v>720</v>
      </c>
      <c r="G186" s="189" t="s">
        <v>689</v>
      </c>
      <c r="H186" s="197"/>
      <c r="I186" s="195"/>
      <c r="J186" s="195"/>
      <c r="K186" s="192">
        <v>47051259.560000002</v>
      </c>
      <c r="L186" s="192">
        <v>46454404.709999993</v>
      </c>
      <c r="M186" s="192">
        <v>206679860.41000003</v>
      </c>
      <c r="N186" s="192">
        <v>139603666.64999998</v>
      </c>
      <c r="O186" s="192">
        <v>3255194.59</v>
      </c>
      <c r="P186" s="192">
        <v>63910181.899999976</v>
      </c>
      <c r="Q186" s="192">
        <v>1969692.05</v>
      </c>
      <c r="R186" s="192">
        <v>506954567.81999993</v>
      </c>
      <c r="S186" s="192">
        <v>43845711.579999998</v>
      </c>
      <c r="T186" s="192">
        <v>46715496.279999994</v>
      </c>
      <c r="U186" s="192">
        <v>180091891.59000003</v>
      </c>
      <c r="V186" s="192">
        <v>133342137.03000003</v>
      </c>
      <c r="W186" s="192">
        <v>3168547.7700000005</v>
      </c>
      <c r="X186" s="192">
        <v>59788040.36999999</v>
      </c>
      <c r="Y186" s="192">
        <v>8190901.5499999998</v>
      </c>
      <c r="Z186" s="192">
        <v>466951824.62000006</v>
      </c>
      <c r="AA186" s="193">
        <v>3205547.9800000042</v>
      </c>
      <c r="AB186" s="193">
        <v>-261091.5700000003</v>
      </c>
      <c r="AC186" s="193">
        <v>26587968.819999993</v>
      </c>
      <c r="AD186" s="193">
        <v>6261529.6199999452</v>
      </c>
      <c r="AE186" s="193">
        <v>86646.819999999367</v>
      </c>
      <c r="AF186" s="193">
        <v>4122141.5299999863</v>
      </c>
      <c r="AG186" s="193">
        <v>-6221209.5</v>
      </c>
      <c r="AH186" s="193">
        <v>40002743.199999869</v>
      </c>
      <c r="AI186" s="194">
        <v>7.3109726458680591</v>
      </c>
      <c r="AJ186" s="194">
        <v>-0.558897134336513</v>
      </c>
      <c r="AK186" s="194">
        <v>14.763556862699057</v>
      </c>
      <c r="AL186" s="194">
        <v>4.6958371595553414</v>
      </c>
      <c r="AM186" s="194">
        <v>2.7345909321733015</v>
      </c>
      <c r="AN186" s="194">
        <v>6.8945921366380238</v>
      </c>
      <c r="AO186" s="194">
        <v>-75.952683132908618</v>
      </c>
      <c r="AP186" s="194">
        <v>8.5667816444562845</v>
      </c>
    </row>
    <row r="187" spans="1:42" ht="12" customHeight="1">
      <c r="A187" s="189" t="s">
        <v>511</v>
      </c>
      <c r="B187" s="189"/>
      <c r="C187" s="189" t="s">
        <v>148</v>
      </c>
      <c r="D187" s="189" t="s">
        <v>755</v>
      </c>
      <c r="E187" s="189" t="s">
        <v>883</v>
      </c>
      <c r="F187" s="190" t="s">
        <v>720</v>
      </c>
      <c r="G187" s="189" t="s">
        <v>689</v>
      </c>
      <c r="H187" s="197"/>
      <c r="I187" s="195"/>
      <c r="J187" s="195"/>
      <c r="K187" s="192">
        <v>12460423.17</v>
      </c>
      <c r="L187" s="192">
        <v>7358801.540000001</v>
      </c>
      <c r="M187" s="192">
        <v>45066433.349999987</v>
      </c>
      <c r="N187" s="192">
        <v>30449551.359999999</v>
      </c>
      <c r="O187" s="192">
        <v>523432.42</v>
      </c>
      <c r="P187" s="192">
        <v>14056683.729999999</v>
      </c>
      <c r="Q187" s="192">
        <v>724065.01</v>
      </c>
      <c r="R187" s="192">
        <v>109915325.56999999</v>
      </c>
      <c r="S187" s="192">
        <v>11913018.58</v>
      </c>
      <c r="T187" s="192">
        <v>9114565.2699999996</v>
      </c>
      <c r="U187" s="192">
        <v>38367162.409999996</v>
      </c>
      <c r="V187" s="192">
        <v>28888761.93</v>
      </c>
      <c r="W187" s="192">
        <v>589695.5</v>
      </c>
      <c r="X187" s="192">
        <v>12985442.980000002</v>
      </c>
      <c r="Y187" s="192">
        <v>1569096.6500000001</v>
      </c>
      <c r="Z187" s="192">
        <v>101858646.67</v>
      </c>
      <c r="AA187" s="193">
        <v>547404.58999999985</v>
      </c>
      <c r="AB187" s="193">
        <v>-1755763.7299999986</v>
      </c>
      <c r="AC187" s="193">
        <v>6699270.9399999902</v>
      </c>
      <c r="AD187" s="193">
        <v>1560789.4299999997</v>
      </c>
      <c r="AE187" s="193">
        <v>-66263.080000000016</v>
      </c>
      <c r="AF187" s="193">
        <v>1071240.7499999963</v>
      </c>
      <c r="AG187" s="193">
        <v>-845031.64000000013</v>
      </c>
      <c r="AH187" s="193">
        <v>8056678.8999999911</v>
      </c>
      <c r="AI187" s="194">
        <v>4.5950116364210345</v>
      </c>
      <c r="AJ187" s="194">
        <v>-19.263274528067519</v>
      </c>
      <c r="AK187" s="194">
        <v>17.460949726774412</v>
      </c>
      <c r="AL187" s="194">
        <v>5.402756385967419</v>
      </c>
      <c r="AM187" s="194">
        <v>-11.23682985540843</v>
      </c>
      <c r="AN187" s="194">
        <v>8.2495510676832993</v>
      </c>
      <c r="AO187" s="194">
        <v>-53.85465834752754</v>
      </c>
      <c r="AP187" s="194">
        <v>7.9096661534311261</v>
      </c>
    </row>
    <row r="188" spans="1:42" ht="12" customHeight="1">
      <c r="A188" s="189" t="s">
        <v>512</v>
      </c>
      <c r="B188" s="189"/>
      <c r="C188" s="189" t="s">
        <v>149</v>
      </c>
      <c r="D188" s="189" t="s">
        <v>756</v>
      </c>
      <c r="E188" s="189" t="s">
        <v>879</v>
      </c>
      <c r="F188" s="190" t="s">
        <v>720</v>
      </c>
      <c r="G188" s="189" t="s">
        <v>689</v>
      </c>
      <c r="H188" s="197"/>
      <c r="I188" s="195"/>
      <c r="J188" s="195"/>
      <c r="K188" s="192">
        <v>27825105</v>
      </c>
      <c r="L188" s="192">
        <v>18976583</v>
      </c>
      <c r="M188" s="192">
        <v>113836388</v>
      </c>
      <c r="N188" s="192">
        <v>85718730</v>
      </c>
      <c r="O188" s="192">
        <v>1748936</v>
      </c>
      <c r="P188" s="192">
        <v>36402097</v>
      </c>
      <c r="Q188" s="192">
        <v>4711451</v>
      </c>
      <c r="R188" s="192">
        <v>284507839</v>
      </c>
      <c r="S188" s="192">
        <v>25909725</v>
      </c>
      <c r="T188" s="192">
        <v>17899901</v>
      </c>
      <c r="U188" s="192">
        <v>96795692</v>
      </c>
      <c r="V188" s="192">
        <v>80373912</v>
      </c>
      <c r="W188" s="192">
        <v>2133959</v>
      </c>
      <c r="X188" s="192">
        <v>32372104</v>
      </c>
      <c r="Y188" s="192">
        <v>4190795</v>
      </c>
      <c r="Z188" s="192">
        <v>255485293</v>
      </c>
      <c r="AA188" s="193">
        <v>1915380</v>
      </c>
      <c r="AB188" s="193">
        <v>1076682</v>
      </c>
      <c r="AC188" s="193">
        <v>17040696</v>
      </c>
      <c r="AD188" s="193">
        <v>5344818</v>
      </c>
      <c r="AE188" s="193">
        <v>-385023</v>
      </c>
      <c r="AF188" s="193">
        <v>4029993</v>
      </c>
      <c r="AG188" s="193">
        <v>520656</v>
      </c>
      <c r="AH188" s="193">
        <v>29022546</v>
      </c>
      <c r="AI188" s="194">
        <v>7.3925138147934808</v>
      </c>
      <c r="AJ188" s="194">
        <v>6.0150165076331987</v>
      </c>
      <c r="AK188" s="194">
        <v>17.604808280104038</v>
      </c>
      <c r="AL188" s="194">
        <v>6.6499413391748305</v>
      </c>
      <c r="AM188" s="194">
        <v>-18.042661550667095</v>
      </c>
      <c r="AN188" s="194">
        <v>12.448968408108414</v>
      </c>
      <c r="AO188" s="194">
        <v>12.423800257469047</v>
      </c>
      <c r="AP188" s="194">
        <v>11.35977169535156</v>
      </c>
    </row>
    <row r="189" spans="1:42" ht="12" customHeight="1">
      <c r="A189" s="189" t="s">
        <v>513</v>
      </c>
      <c r="B189" s="189"/>
      <c r="C189" s="189" t="s">
        <v>150</v>
      </c>
      <c r="D189" s="189" t="s">
        <v>755</v>
      </c>
      <c r="E189" s="189" t="s">
        <v>883</v>
      </c>
      <c r="F189" s="190" t="s">
        <v>720</v>
      </c>
      <c r="G189" s="189" t="s">
        <v>689</v>
      </c>
      <c r="H189" s="197"/>
      <c r="I189" s="195"/>
      <c r="J189" s="195"/>
      <c r="K189" s="192">
        <v>28577923.300000001</v>
      </c>
      <c r="L189" s="192">
        <v>18911300.75</v>
      </c>
      <c r="M189" s="192">
        <v>105588645.25000001</v>
      </c>
      <c r="N189" s="192">
        <v>69471177.339999989</v>
      </c>
      <c r="O189" s="192">
        <v>975105.90999999992</v>
      </c>
      <c r="P189" s="192">
        <v>32925147.120000001</v>
      </c>
      <c r="Q189" s="192">
        <v>4717328.6999999993</v>
      </c>
      <c r="R189" s="192">
        <v>256449299.66999999</v>
      </c>
      <c r="S189" s="192">
        <v>26370024.859999999</v>
      </c>
      <c r="T189" s="192">
        <v>22354875.410000004</v>
      </c>
      <c r="U189" s="192">
        <v>91051811.739999995</v>
      </c>
      <c r="V189" s="192">
        <v>67427360.140000001</v>
      </c>
      <c r="W189" s="192">
        <v>1086005.8999999999</v>
      </c>
      <c r="X189" s="192">
        <v>30932796.890000001</v>
      </c>
      <c r="Y189" s="192">
        <v>4142909.6</v>
      </c>
      <c r="Z189" s="192">
        <v>239222874.94</v>
      </c>
      <c r="AA189" s="193">
        <v>2207898.4400000013</v>
      </c>
      <c r="AB189" s="193">
        <v>-3443574.6600000039</v>
      </c>
      <c r="AC189" s="193">
        <v>14536833.51000002</v>
      </c>
      <c r="AD189" s="193">
        <v>2043817.1999999881</v>
      </c>
      <c r="AE189" s="193">
        <v>-110899.98999999999</v>
      </c>
      <c r="AF189" s="193">
        <v>1992350.2300000004</v>
      </c>
      <c r="AG189" s="193">
        <v>574419.09999999916</v>
      </c>
      <c r="AH189" s="193">
        <v>17226424.729999989</v>
      </c>
      <c r="AI189" s="194">
        <v>8.3727582803651615</v>
      </c>
      <c r="AJ189" s="194">
        <v>-15.404132641506873</v>
      </c>
      <c r="AK189" s="194">
        <v>15.965452232307245</v>
      </c>
      <c r="AL189" s="194">
        <v>3.0311392819715812</v>
      </c>
      <c r="AM189" s="194">
        <v>-10.211729973106038</v>
      </c>
      <c r="AN189" s="194">
        <v>6.4408990790098599</v>
      </c>
      <c r="AO189" s="194">
        <v>13.865113059671858</v>
      </c>
      <c r="AP189" s="194">
        <v>7.2009939410353567</v>
      </c>
    </row>
    <row r="190" spans="1:42" ht="12" customHeight="1">
      <c r="A190" s="189" t="s">
        <v>514</v>
      </c>
      <c r="B190" s="189"/>
      <c r="C190" s="189" t="s">
        <v>151</v>
      </c>
      <c r="D190" s="189" t="s">
        <v>756</v>
      </c>
      <c r="E190" s="189" t="s">
        <v>883</v>
      </c>
      <c r="F190" s="190" t="s">
        <v>720</v>
      </c>
      <c r="G190" s="189" t="s">
        <v>689</v>
      </c>
      <c r="H190" s="197"/>
      <c r="I190" s="195"/>
      <c r="J190" s="195"/>
      <c r="K190" s="192">
        <v>22596807</v>
      </c>
      <c r="L190" s="192">
        <v>13340682</v>
      </c>
      <c r="M190" s="192">
        <v>69926720</v>
      </c>
      <c r="N190" s="192">
        <v>50418752</v>
      </c>
      <c r="O190" s="192">
        <v>824383</v>
      </c>
      <c r="P190" s="192">
        <v>23447200</v>
      </c>
      <c r="Q190" s="192">
        <v>3711922</v>
      </c>
      <c r="R190" s="192">
        <v>180554544</v>
      </c>
      <c r="S190" s="192">
        <v>21549758</v>
      </c>
      <c r="T190" s="192">
        <v>13641809</v>
      </c>
      <c r="U190" s="192">
        <v>63358273</v>
      </c>
      <c r="V190" s="192">
        <v>49447995</v>
      </c>
      <c r="W190" s="192">
        <v>980748</v>
      </c>
      <c r="X190" s="192">
        <v>22099530</v>
      </c>
      <c r="Y190" s="192">
        <v>3466129</v>
      </c>
      <c r="Z190" s="192">
        <v>171078113</v>
      </c>
      <c r="AA190" s="193">
        <v>1047049</v>
      </c>
      <c r="AB190" s="193">
        <v>-301127</v>
      </c>
      <c r="AC190" s="193">
        <v>6568447</v>
      </c>
      <c r="AD190" s="193">
        <v>970757</v>
      </c>
      <c r="AE190" s="193">
        <v>-156365</v>
      </c>
      <c r="AF190" s="193">
        <v>1347670</v>
      </c>
      <c r="AG190" s="193">
        <v>245793</v>
      </c>
      <c r="AH190" s="193">
        <v>9476431</v>
      </c>
      <c r="AI190" s="194">
        <v>4.8587506179883784</v>
      </c>
      <c r="AJ190" s="194">
        <v>-2.2073831996914777</v>
      </c>
      <c r="AK190" s="194">
        <v>10.367149685408881</v>
      </c>
      <c r="AL190" s="194">
        <v>1.9631877895150247</v>
      </c>
      <c r="AM190" s="194">
        <v>-15.943443167867791</v>
      </c>
      <c r="AN190" s="194">
        <v>6.0981839885282625</v>
      </c>
      <c r="AO190" s="194">
        <v>7.091282522952838</v>
      </c>
      <c r="AP190" s="194">
        <v>5.539242182312357</v>
      </c>
    </row>
    <row r="191" spans="1:42" ht="12" customHeight="1">
      <c r="A191" s="189" t="s">
        <v>515</v>
      </c>
      <c r="B191" s="189"/>
      <c r="C191" s="189" t="s">
        <v>152</v>
      </c>
      <c r="D191" s="189" t="s">
        <v>755</v>
      </c>
      <c r="E191" s="189" t="s">
        <v>883</v>
      </c>
      <c r="F191" s="190" t="s">
        <v>720</v>
      </c>
      <c r="G191" s="189" t="s">
        <v>689</v>
      </c>
      <c r="H191" s="197"/>
      <c r="I191" s="195"/>
      <c r="J191" s="195"/>
      <c r="K191" s="192">
        <v>38199503.43</v>
      </c>
      <c r="L191" s="192">
        <v>23371287.07</v>
      </c>
      <c r="M191" s="192">
        <v>133902959.21000002</v>
      </c>
      <c r="N191" s="192">
        <v>93534622.239999995</v>
      </c>
      <c r="O191" s="192">
        <v>1393163.27</v>
      </c>
      <c r="P191" s="192">
        <v>42832776.289999999</v>
      </c>
      <c r="Q191" s="192">
        <v>1245779.1399999999</v>
      </c>
      <c r="R191" s="192">
        <v>333234311.51000005</v>
      </c>
      <c r="S191" s="192">
        <v>36058443.32</v>
      </c>
      <c r="T191" s="192">
        <v>25689654.040000003</v>
      </c>
      <c r="U191" s="192">
        <v>115881048.12</v>
      </c>
      <c r="V191" s="192">
        <v>89557824.660000041</v>
      </c>
      <c r="W191" s="192">
        <v>1438262.0899999999</v>
      </c>
      <c r="X191" s="192">
        <v>40012754.160000004</v>
      </c>
      <c r="Y191" s="192">
        <v>1206887.3</v>
      </c>
      <c r="Z191" s="192">
        <v>308637986.39000005</v>
      </c>
      <c r="AA191" s="193">
        <v>2141060.1099999994</v>
      </c>
      <c r="AB191" s="193">
        <v>-2318366.9700000025</v>
      </c>
      <c r="AC191" s="193">
        <v>18021911.090000018</v>
      </c>
      <c r="AD191" s="193">
        <v>3976797.5799999535</v>
      </c>
      <c r="AE191" s="193">
        <v>-45098.819999999832</v>
      </c>
      <c r="AF191" s="193">
        <v>2820022.1299999952</v>
      </c>
      <c r="AG191" s="193">
        <v>38891.839999999851</v>
      </c>
      <c r="AH191" s="193">
        <v>24596325.120000005</v>
      </c>
      <c r="AI191" s="194">
        <v>5.9377496998392312</v>
      </c>
      <c r="AJ191" s="194">
        <v>-9.0245161199531765</v>
      </c>
      <c r="AK191" s="194">
        <v>15.552078085570578</v>
      </c>
      <c r="AL191" s="194">
        <v>4.4404803210636086</v>
      </c>
      <c r="AM191" s="194">
        <v>-3.1356468555741355</v>
      </c>
      <c r="AN191" s="194">
        <v>7.0478081031950506</v>
      </c>
      <c r="AO191" s="194">
        <v>3.2224914455558404</v>
      </c>
      <c r="AP191" s="194">
        <v>7.9693123350408595</v>
      </c>
    </row>
    <row r="192" spans="1:42" ht="12" customHeight="1">
      <c r="A192" s="189" t="s">
        <v>516</v>
      </c>
      <c r="B192" s="189"/>
      <c r="C192" s="189" t="s">
        <v>153</v>
      </c>
      <c r="D192" s="189" t="s">
        <v>755</v>
      </c>
      <c r="E192" s="189" t="s">
        <v>879</v>
      </c>
      <c r="F192" s="190" t="s">
        <v>720</v>
      </c>
      <c r="G192" s="189" t="s">
        <v>689</v>
      </c>
      <c r="H192" s="197"/>
      <c r="I192" s="195"/>
      <c r="J192" s="195"/>
      <c r="K192" s="192">
        <v>16740744.230000002</v>
      </c>
      <c r="L192" s="192">
        <v>11488291.279999997</v>
      </c>
      <c r="M192" s="192">
        <v>63965317.449999988</v>
      </c>
      <c r="N192" s="192">
        <v>46639413.750000007</v>
      </c>
      <c r="O192" s="192">
        <v>732145.2</v>
      </c>
      <c r="P192" s="192">
        <v>20992950.860000003</v>
      </c>
      <c r="Q192" s="192">
        <v>3331213.18</v>
      </c>
      <c r="R192" s="192">
        <v>160558862.76999998</v>
      </c>
      <c r="S192" s="192">
        <v>15982693.099999998</v>
      </c>
      <c r="T192" s="192">
        <v>11227659.84</v>
      </c>
      <c r="U192" s="192">
        <v>53700926.159999996</v>
      </c>
      <c r="V192" s="192">
        <v>42354882.879999995</v>
      </c>
      <c r="W192" s="192">
        <v>672607.7300000001</v>
      </c>
      <c r="X192" s="192">
        <v>19250961.960000005</v>
      </c>
      <c r="Y192" s="192">
        <v>3032485.79</v>
      </c>
      <c r="Z192" s="192">
        <v>143189731.66999999</v>
      </c>
      <c r="AA192" s="193">
        <v>758051.13000000454</v>
      </c>
      <c r="AB192" s="193">
        <v>260631.43999999762</v>
      </c>
      <c r="AC192" s="193">
        <v>10264391.289999992</v>
      </c>
      <c r="AD192" s="193">
        <v>4284530.8700000122</v>
      </c>
      <c r="AE192" s="193">
        <v>59537.469999999856</v>
      </c>
      <c r="AF192" s="193">
        <v>1741988.8999999985</v>
      </c>
      <c r="AG192" s="193">
        <v>298727.39000000013</v>
      </c>
      <c r="AH192" s="193">
        <v>17369131.099999994</v>
      </c>
      <c r="AI192" s="194">
        <v>4.7429499225008875</v>
      </c>
      <c r="AJ192" s="194">
        <v>2.3213335967969404</v>
      </c>
      <c r="AK192" s="194">
        <v>19.113993042536368</v>
      </c>
      <c r="AL192" s="194">
        <v>10.115789676810017</v>
      </c>
      <c r="AM192" s="194">
        <v>8.8517374012338301</v>
      </c>
      <c r="AN192" s="194">
        <v>9.0488407988106498</v>
      </c>
      <c r="AO192" s="194">
        <v>9.8509081554509166</v>
      </c>
      <c r="AP192" s="194">
        <v>12.13015130165164</v>
      </c>
    </row>
    <row r="193" spans="1:42" ht="12" customHeight="1">
      <c r="A193" s="189" t="s">
        <v>517</v>
      </c>
      <c r="B193" s="189"/>
      <c r="C193" s="189" t="s">
        <v>154</v>
      </c>
      <c r="D193" s="189" t="s">
        <v>756</v>
      </c>
      <c r="E193" s="189" t="s">
        <v>879</v>
      </c>
      <c r="F193" s="190" t="s">
        <v>720</v>
      </c>
      <c r="G193" s="189" t="s">
        <v>689</v>
      </c>
      <c r="H193" s="197"/>
      <c r="I193" s="195"/>
      <c r="J193" s="195"/>
      <c r="K193" s="192">
        <v>21455051</v>
      </c>
      <c r="L193" s="192">
        <v>18947543</v>
      </c>
      <c r="M193" s="192">
        <v>92293268</v>
      </c>
      <c r="N193" s="192">
        <v>65412394</v>
      </c>
      <c r="O193" s="192">
        <v>729082</v>
      </c>
      <c r="P193" s="192">
        <v>30248467</v>
      </c>
      <c r="Q193" s="192">
        <v>4472542</v>
      </c>
      <c r="R193" s="192">
        <v>229085805</v>
      </c>
      <c r="S193" s="192">
        <v>20664462</v>
      </c>
      <c r="T193" s="192">
        <v>16842930</v>
      </c>
      <c r="U193" s="192">
        <v>77706806</v>
      </c>
      <c r="V193" s="192">
        <v>61604494</v>
      </c>
      <c r="W193" s="192">
        <v>682497</v>
      </c>
      <c r="X193" s="192">
        <v>27778041</v>
      </c>
      <c r="Y193" s="192">
        <v>4247046</v>
      </c>
      <c r="Z193" s="192">
        <v>205279230</v>
      </c>
      <c r="AA193" s="193">
        <v>790589</v>
      </c>
      <c r="AB193" s="193">
        <v>2104613</v>
      </c>
      <c r="AC193" s="193">
        <v>14586462</v>
      </c>
      <c r="AD193" s="193">
        <v>3807900</v>
      </c>
      <c r="AE193" s="193">
        <v>46585</v>
      </c>
      <c r="AF193" s="193">
        <v>2470426</v>
      </c>
      <c r="AG193" s="193">
        <v>225496</v>
      </c>
      <c r="AH193" s="193">
        <v>23806575</v>
      </c>
      <c r="AI193" s="194">
        <v>3.8258387757687569</v>
      </c>
      <c r="AJ193" s="194">
        <v>12.495527797123184</v>
      </c>
      <c r="AK193" s="194">
        <v>18.771151139579718</v>
      </c>
      <c r="AL193" s="194">
        <v>6.1812048971622104</v>
      </c>
      <c r="AM193" s="194">
        <v>6.8256710285906017</v>
      </c>
      <c r="AN193" s="194">
        <v>8.8934493256741902</v>
      </c>
      <c r="AO193" s="194">
        <v>5.3094786352679018</v>
      </c>
      <c r="AP193" s="194">
        <v>11.597166941828455</v>
      </c>
    </row>
    <row r="194" spans="1:42" ht="12" customHeight="1">
      <c r="A194" s="189" t="s">
        <v>518</v>
      </c>
      <c r="B194" s="189"/>
      <c r="C194" s="189" t="s">
        <v>155</v>
      </c>
      <c r="D194" s="189" t="s">
        <v>755</v>
      </c>
      <c r="E194" s="189" t="s">
        <v>879</v>
      </c>
      <c r="F194" s="190" t="s">
        <v>720</v>
      </c>
      <c r="G194" s="189" t="s">
        <v>689</v>
      </c>
      <c r="H194" s="197"/>
      <c r="I194" s="195"/>
      <c r="J194" s="195"/>
      <c r="K194" s="192">
        <v>33418172.370000005</v>
      </c>
      <c r="L194" s="192">
        <v>25120525.329999998</v>
      </c>
      <c r="M194" s="192">
        <v>135494891.40000001</v>
      </c>
      <c r="N194" s="192">
        <v>92395417.370000005</v>
      </c>
      <c r="O194" s="192">
        <v>1462909.9200000002</v>
      </c>
      <c r="P194" s="192">
        <v>42586606.280000009</v>
      </c>
      <c r="Q194" s="192">
        <v>3958876.1599999997</v>
      </c>
      <c r="R194" s="192">
        <v>330478522.67000008</v>
      </c>
      <c r="S194" s="192">
        <v>32563114.990000006</v>
      </c>
      <c r="T194" s="192">
        <v>23162127.600000001</v>
      </c>
      <c r="U194" s="192">
        <v>113733139.91</v>
      </c>
      <c r="V194" s="192">
        <v>86280536.790000021</v>
      </c>
      <c r="W194" s="192">
        <v>1728501.44</v>
      </c>
      <c r="X194" s="192">
        <v>38683049.829999998</v>
      </c>
      <c r="Y194" s="192">
        <v>3768270.9400000009</v>
      </c>
      <c r="Z194" s="192">
        <v>296150470.56</v>
      </c>
      <c r="AA194" s="193">
        <v>855057.37999999896</v>
      </c>
      <c r="AB194" s="193">
        <v>1958397.7299999967</v>
      </c>
      <c r="AC194" s="193">
        <v>21761751.49000001</v>
      </c>
      <c r="AD194" s="193">
        <v>6114880.5799999833</v>
      </c>
      <c r="AE194" s="193">
        <v>-265591.51999999979</v>
      </c>
      <c r="AF194" s="193">
        <v>3903556.4500000104</v>
      </c>
      <c r="AG194" s="193">
        <v>190605.21999999881</v>
      </c>
      <c r="AH194" s="193">
        <v>34328052.110000074</v>
      </c>
      <c r="AI194" s="194">
        <v>2.625846391730593</v>
      </c>
      <c r="AJ194" s="194">
        <v>8.4551720110547901</v>
      </c>
      <c r="AK194" s="194">
        <v>19.13404616035454</v>
      </c>
      <c r="AL194" s="194">
        <v>7.0872073905649398</v>
      </c>
      <c r="AM194" s="194">
        <v>-15.365420812145796</v>
      </c>
      <c r="AN194" s="194">
        <v>10.091128975494254</v>
      </c>
      <c r="AO194" s="194">
        <v>5.058161237206547</v>
      </c>
      <c r="AP194" s="194">
        <v>11.591422443154693</v>
      </c>
    </row>
    <row r="195" spans="1:42" ht="12" customHeight="1">
      <c r="A195" s="189" t="s">
        <v>519</v>
      </c>
      <c r="B195" s="189"/>
      <c r="C195" s="189" t="s">
        <v>156</v>
      </c>
      <c r="D195" s="189" t="s">
        <v>755</v>
      </c>
      <c r="E195" s="189" t="s">
        <v>882</v>
      </c>
      <c r="F195" s="190" t="s">
        <v>720</v>
      </c>
      <c r="G195" s="189" t="s">
        <v>689</v>
      </c>
      <c r="H195" s="197"/>
      <c r="I195" s="195"/>
      <c r="J195" s="195"/>
      <c r="K195" s="192">
        <v>139307010.94999999</v>
      </c>
      <c r="L195" s="192">
        <v>76222034.499999985</v>
      </c>
      <c r="M195" s="192">
        <v>446624705.32999998</v>
      </c>
      <c r="N195" s="192">
        <v>435732887.54999995</v>
      </c>
      <c r="O195" s="192">
        <v>3473580.77</v>
      </c>
      <c r="P195" s="192">
        <v>147749616.38999999</v>
      </c>
      <c r="Q195" s="192">
        <v>35759820.210000001</v>
      </c>
      <c r="R195" s="192">
        <v>1249109835.4899998</v>
      </c>
      <c r="S195" s="192">
        <v>131322912.26000001</v>
      </c>
      <c r="T195" s="192">
        <v>94678972.680000007</v>
      </c>
      <c r="U195" s="192">
        <v>395926099.73000002</v>
      </c>
      <c r="V195" s="192">
        <v>403858875.42000002</v>
      </c>
      <c r="W195" s="192">
        <v>4671497.87</v>
      </c>
      <c r="X195" s="192">
        <v>142493647.34</v>
      </c>
      <c r="Y195" s="192">
        <v>34229760.829999998</v>
      </c>
      <c r="Z195" s="192">
        <v>1172952005.3000002</v>
      </c>
      <c r="AA195" s="193">
        <v>7984098.6899999827</v>
      </c>
      <c r="AB195" s="193">
        <v>-18456938.180000022</v>
      </c>
      <c r="AC195" s="193">
        <v>50698605.599999964</v>
      </c>
      <c r="AD195" s="193">
        <v>31874012.129999936</v>
      </c>
      <c r="AE195" s="193">
        <v>-1197917.1000000001</v>
      </c>
      <c r="AF195" s="193">
        <v>5255969.0499999821</v>
      </c>
      <c r="AG195" s="193">
        <v>1530059.3800000027</v>
      </c>
      <c r="AH195" s="193">
        <v>76157830.18999958</v>
      </c>
      <c r="AI195" s="194">
        <v>6.0797453792318015</v>
      </c>
      <c r="AJ195" s="194">
        <v>-19.494231567532488</v>
      </c>
      <c r="AK195" s="194">
        <v>12.805067823155291</v>
      </c>
      <c r="AL195" s="194">
        <v>7.8923639097573401</v>
      </c>
      <c r="AM195" s="194">
        <v>-25.643104917010273</v>
      </c>
      <c r="AN195" s="194">
        <v>3.6885637697650235</v>
      </c>
      <c r="AO195" s="194">
        <v>4.4699680713486387</v>
      </c>
      <c r="AP195" s="194">
        <v>6.492834305741356</v>
      </c>
    </row>
    <row r="196" spans="1:42" ht="12" customHeight="1">
      <c r="A196" s="189" t="s">
        <v>520</v>
      </c>
      <c r="B196" s="189"/>
      <c r="C196" s="189" t="s">
        <v>157</v>
      </c>
      <c r="D196" s="189" t="s">
        <v>755</v>
      </c>
      <c r="E196" s="189" t="s">
        <v>882</v>
      </c>
      <c r="F196" s="190" t="s">
        <v>720</v>
      </c>
      <c r="G196" s="189" t="s">
        <v>689</v>
      </c>
      <c r="H196" s="197"/>
      <c r="I196" s="195"/>
      <c r="J196" s="195"/>
      <c r="K196" s="192">
        <v>30770041.710000001</v>
      </c>
      <c r="L196" s="192">
        <v>22161266.330000002</v>
      </c>
      <c r="M196" s="192">
        <v>111425357.60999998</v>
      </c>
      <c r="N196" s="192">
        <v>84506925.560000002</v>
      </c>
      <c r="O196" s="192">
        <v>1071141.3</v>
      </c>
      <c r="P196" s="192">
        <v>35233243.259999998</v>
      </c>
      <c r="Q196" s="192">
        <v>3415262.0300000003</v>
      </c>
      <c r="R196" s="192">
        <v>285167975.76999998</v>
      </c>
      <c r="S196" s="192">
        <v>29526318.300000004</v>
      </c>
      <c r="T196" s="192">
        <v>24996286.980000004</v>
      </c>
      <c r="U196" s="192">
        <v>97393586.530000016</v>
      </c>
      <c r="V196" s="192">
        <v>82081042.100000009</v>
      </c>
      <c r="W196" s="192">
        <v>1109209.67</v>
      </c>
      <c r="X196" s="192">
        <v>33151522.480000004</v>
      </c>
      <c r="Y196" s="192">
        <v>3070682.12</v>
      </c>
      <c r="Z196" s="192">
        <v>268257966.06</v>
      </c>
      <c r="AA196" s="193">
        <v>1243723.4099999964</v>
      </c>
      <c r="AB196" s="193">
        <v>-2835020.6500000022</v>
      </c>
      <c r="AC196" s="193">
        <v>14031771.079999968</v>
      </c>
      <c r="AD196" s="193">
        <v>2425883.4599999934</v>
      </c>
      <c r="AE196" s="193">
        <v>-38068.369999999879</v>
      </c>
      <c r="AF196" s="193">
        <v>2081720.7799999937</v>
      </c>
      <c r="AG196" s="193">
        <v>344579.91000000015</v>
      </c>
      <c r="AH196" s="193">
        <v>16910009.709999979</v>
      </c>
      <c r="AI196" s="194">
        <v>4.2122536151078345</v>
      </c>
      <c r="AJ196" s="194">
        <v>-11.341767088321378</v>
      </c>
      <c r="AK196" s="194">
        <v>14.407284483437502</v>
      </c>
      <c r="AL196" s="194">
        <v>2.9554735148763336</v>
      </c>
      <c r="AM196" s="194">
        <v>-3.4320265166819075</v>
      </c>
      <c r="AN196" s="194">
        <v>6.279412299256772</v>
      </c>
      <c r="AO196" s="194">
        <v>11.221607985915524</v>
      </c>
      <c r="AP196" s="194">
        <v>6.3036374868427201</v>
      </c>
    </row>
    <row r="197" spans="1:42" ht="12" customHeight="1">
      <c r="A197" s="189" t="s">
        <v>521</v>
      </c>
      <c r="B197" s="189"/>
      <c r="C197" s="189" t="s">
        <v>158</v>
      </c>
      <c r="D197" s="189" t="s">
        <v>755</v>
      </c>
      <c r="E197" s="189" t="s">
        <v>879</v>
      </c>
      <c r="F197" s="190" t="s">
        <v>720</v>
      </c>
      <c r="G197" s="189" t="s">
        <v>689</v>
      </c>
      <c r="H197" s="197"/>
      <c r="I197" s="195"/>
      <c r="J197" s="195"/>
      <c r="K197" s="192">
        <v>21025413.27</v>
      </c>
      <c r="L197" s="192">
        <v>11604360.030000001</v>
      </c>
      <c r="M197" s="192">
        <v>70770285.220000014</v>
      </c>
      <c r="N197" s="192">
        <v>54125407.710000016</v>
      </c>
      <c r="O197" s="192">
        <v>838102.17</v>
      </c>
      <c r="P197" s="192">
        <v>22720062.470000006</v>
      </c>
      <c r="Q197" s="192">
        <v>1882637.36</v>
      </c>
      <c r="R197" s="192">
        <v>181083630.87</v>
      </c>
      <c r="S197" s="192">
        <v>20666241.060000002</v>
      </c>
      <c r="T197" s="192">
        <v>11174022.299999997</v>
      </c>
      <c r="U197" s="192">
        <v>61538996.280000016</v>
      </c>
      <c r="V197" s="192">
        <v>49647348.45000001</v>
      </c>
      <c r="W197" s="192">
        <v>1075848.21</v>
      </c>
      <c r="X197" s="192">
        <v>21217244.359999999</v>
      </c>
      <c r="Y197" s="192">
        <v>1809287.4600000002</v>
      </c>
      <c r="Z197" s="192">
        <v>165319700.66000003</v>
      </c>
      <c r="AA197" s="193">
        <v>359172.20999999717</v>
      </c>
      <c r="AB197" s="193">
        <v>430337.73000000417</v>
      </c>
      <c r="AC197" s="193">
        <v>9231288.9399999976</v>
      </c>
      <c r="AD197" s="193">
        <v>4478059.2600000054</v>
      </c>
      <c r="AE197" s="193">
        <v>-237746.03999999992</v>
      </c>
      <c r="AF197" s="193">
        <v>1502818.1100000069</v>
      </c>
      <c r="AG197" s="193">
        <v>73349.899999999907</v>
      </c>
      <c r="AH197" s="193">
        <v>15763930.209999979</v>
      </c>
      <c r="AI197" s="194">
        <v>1.7379658398313347</v>
      </c>
      <c r="AJ197" s="194">
        <v>3.8512338569433884</v>
      </c>
      <c r="AK197" s="194">
        <v>15.000714178044106</v>
      </c>
      <c r="AL197" s="194">
        <v>9.0197349904997886</v>
      </c>
      <c r="AM197" s="194">
        <v>-22.098474281980721</v>
      </c>
      <c r="AN197" s="194">
        <v>7.0830032614094236</v>
      </c>
      <c r="AO197" s="194">
        <v>4.0540766252809766</v>
      </c>
      <c r="AP197" s="194">
        <v>9.5354214573739213</v>
      </c>
    </row>
    <row r="198" spans="1:42" ht="12" customHeight="1">
      <c r="A198" s="189" t="s">
        <v>889</v>
      </c>
      <c r="B198" s="196"/>
      <c r="C198" s="189" t="s">
        <v>144</v>
      </c>
      <c r="D198" s="189" t="s">
        <v>755</v>
      </c>
      <c r="E198" s="189" t="s">
        <v>879</v>
      </c>
      <c r="F198" s="190" t="s">
        <v>720</v>
      </c>
      <c r="G198" s="189" t="s">
        <v>689</v>
      </c>
      <c r="H198" s="197"/>
      <c r="I198" s="195"/>
      <c r="J198" s="195"/>
      <c r="K198" s="192">
        <v>41335507.890000001</v>
      </c>
      <c r="L198" s="192">
        <v>27906288.550000001</v>
      </c>
      <c r="M198" s="192">
        <v>157229098.22999993</v>
      </c>
      <c r="N198" s="192">
        <v>131369919.78</v>
      </c>
      <c r="O198" s="192">
        <v>2289789.21</v>
      </c>
      <c r="P198" s="192">
        <v>50913111.890000001</v>
      </c>
      <c r="Q198" s="192">
        <v>6642780.0699999994</v>
      </c>
      <c r="R198" s="192">
        <v>411043715.54999989</v>
      </c>
      <c r="S198" s="192">
        <v>39284256.900000006</v>
      </c>
      <c r="T198" s="192">
        <v>26481938.439999998</v>
      </c>
      <c r="U198" s="192">
        <v>135571084.44</v>
      </c>
      <c r="V198" s="192">
        <v>124062208.28999999</v>
      </c>
      <c r="W198" s="192">
        <v>2259722.27</v>
      </c>
      <c r="X198" s="192">
        <v>46849250.559999995</v>
      </c>
      <c r="Y198" s="192">
        <v>5748171.1399999997</v>
      </c>
      <c r="Z198" s="192">
        <v>374508460.89999998</v>
      </c>
      <c r="AA198" s="193">
        <v>2051250.9899999946</v>
      </c>
      <c r="AB198" s="193">
        <v>1424350.1100000031</v>
      </c>
      <c r="AC198" s="193">
        <v>21658013.789999932</v>
      </c>
      <c r="AD198" s="193">
        <v>7307711.4900000095</v>
      </c>
      <c r="AE198" s="193">
        <v>30066.939999999944</v>
      </c>
      <c r="AF198" s="193">
        <v>4063861.3300000057</v>
      </c>
      <c r="AG198" s="193">
        <v>894608.9299999997</v>
      </c>
      <c r="AH198" s="193">
        <v>36535254.649999917</v>
      </c>
      <c r="AI198" s="194">
        <v>5.2215598610444749</v>
      </c>
      <c r="AJ198" s="194">
        <v>5.3785719396151697</v>
      </c>
      <c r="AK198" s="194">
        <v>15.97539318908758</v>
      </c>
      <c r="AL198" s="194">
        <v>5.8903606430396307</v>
      </c>
      <c r="AM198" s="194">
        <v>1.3305590868031736</v>
      </c>
      <c r="AN198" s="194">
        <v>8.6743358355229283</v>
      </c>
      <c r="AO198" s="194">
        <v>15.563366298798121</v>
      </c>
      <c r="AP198" s="194">
        <v>9.7555218277846709</v>
      </c>
    </row>
    <row r="199" spans="1:42" ht="12" customHeight="1">
      <c r="A199" s="189" t="s">
        <v>522</v>
      </c>
      <c r="B199" s="189"/>
      <c r="C199" s="189" t="s">
        <v>160</v>
      </c>
      <c r="D199" s="189" t="s">
        <v>755</v>
      </c>
      <c r="E199" s="189" t="s">
        <v>883</v>
      </c>
      <c r="F199" s="190" t="s">
        <v>720</v>
      </c>
      <c r="G199" s="189" t="s">
        <v>689</v>
      </c>
      <c r="H199" s="197"/>
      <c r="I199" s="195"/>
      <c r="J199" s="195"/>
      <c r="K199" s="192">
        <v>34985371.339999996</v>
      </c>
      <c r="L199" s="192">
        <v>26925171.469999999</v>
      </c>
      <c r="M199" s="192">
        <v>133587787.68999997</v>
      </c>
      <c r="N199" s="192">
        <v>106389755.51000002</v>
      </c>
      <c r="O199" s="192">
        <v>1165916.6499999999</v>
      </c>
      <c r="P199" s="192">
        <v>42573029.250000007</v>
      </c>
      <c r="Q199" s="192">
        <v>4986664.04</v>
      </c>
      <c r="R199" s="192">
        <v>345627031.90999997</v>
      </c>
      <c r="S199" s="192">
        <v>32241986.52</v>
      </c>
      <c r="T199" s="192">
        <v>32497957.819999997</v>
      </c>
      <c r="U199" s="192">
        <v>118527069.86999997</v>
      </c>
      <c r="V199" s="192">
        <v>102699789.70999999</v>
      </c>
      <c r="W199" s="192">
        <v>1266292.3500000001</v>
      </c>
      <c r="X199" s="192">
        <v>40582331.709999993</v>
      </c>
      <c r="Y199" s="192">
        <v>4619060.3</v>
      </c>
      <c r="Z199" s="192">
        <v>327815427.97999996</v>
      </c>
      <c r="AA199" s="193">
        <v>2743384.8199999966</v>
      </c>
      <c r="AB199" s="193">
        <v>-5572786.3499999978</v>
      </c>
      <c r="AC199" s="193">
        <v>15060717.819999993</v>
      </c>
      <c r="AD199" s="193">
        <v>3689965.8000000268</v>
      </c>
      <c r="AE199" s="193">
        <v>-100375.70000000019</v>
      </c>
      <c r="AF199" s="193">
        <v>1990697.540000014</v>
      </c>
      <c r="AG199" s="193">
        <v>367603.74000000022</v>
      </c>
      <c r="AH199" s="193">
        <v>17811603.930000007</v>
      </c>
      <c r="AI199" s="194">
        <v>8.5087338470855389</v>
      </c>
      <c r="AJ199" s="194">
        <v>-17.148112447146989</v>
      </c>
      <c r="AK199" s="194">
        <v>12.706563856272265</v>
      </c>
      <c r="AL199" s="194">
        <v>3.5929633453190322</v>
      </c>
      <c r="AM199" s="194">
        <v>-7.926739824338366</v>
      </c>
      <c r="AN199" s="194">
        <v>4.9053306109305721</v>
      </c>
      <c r="AO199" s="194">
        <v>7.9584096358300469</v>
      </c>
      <c r="AP199" s="194">
        <v>5.4334245461707473</v>
      </c>
    </row>
    <row r="200" spans="1:42" ht="12" customHeight="1">
      <c r="A200" s="189" t="s">
        <v>523</v>
      </c>
      <c r="B200" s="189"/>
      <c r="C200" s="189" t="s">
        <v>161</v>
      </c>
      <c r="D200" s="189" t="s">
        <v>755</v>
      </c>
      <c r="E200" s="189" t="s">
        <v>879</v>
      </c>
      <c r="F200" s="190" t="s">
        <v>720</v>
      </c>
      <c r="G200" s="189" t="s">
        <v>689</v>
      </c>
      <c r="H200" s="197"/>
      <c r="I200" s="195"/>
      <c r="J200" s="195"/>
      <c r="K200" s="192">
        <v>30084882.079999998</v>
      </c>
      <c r="L200" s="192">
        <v>21959996.520000003</v>
      </c>
      <c r="M200" s="192">
        <v>121777111.49000001</v>
      </c>
      <c r="N200" s="192">
        <v>97685053.549999982</v>
      </c>
      <c r="O200" s="192">
        <v>1661906.1800000002</v>
      </c>
      <c r="P200" s="192">
        <v>39711106.349999994</v>
      </c>
      <c r="Q200" s="192">
        <v>6334430.8499999996</v>
      </c>
      <c r="R200" s="192">
        <v>312880056.16999996</v>
      </c>
      <c r="S200" s="192">
        <v>27961556.620000001</v>
      </c>
      <c r="T200" s="192">
        <v>20747416.829999998</v>
      </c>
      <c r="U200" s="192">
        <v>106062329.18999998</v>
      </c>
      <c r="V200" s="192">
        <v>93227139.140000015</v>
      </c>
      <c r="W200" s="192">
        <v>1876926.45</v>
      </c>
      <c r="X200" s="192">
        <v>37080615.43</v>
      </c>
      <c r="Y200" s="192">
        <v>6606000.2400000002</v>
      </c>
      <c r="Z200" s="192">
        <v>286955983.65999997</v>
      </c>
      <c r="AA200" s="193">
        <v>2123325.4599999972</v>
      </c>
      <c r="AB200" s="193">
        <v>1212579.6900000051</v>
      </c>
      <c r="AC200" s="193">
        <v>15714782.300000027</v>
      </c>
      <c r="AD200" s="193">
        <v>4457914.4099999666</v>
      </c>
      <c r="AE200" s="193">
        <v>-215020.26999999979</v>
      </c>
      <c r="AF200" s="193">
        <v>2630490.9199999943</v>
      </c>
      <c r="AG200" s="193">
        <v>-271569.3900000006</v>
      </c>
      <c r="AH200" s="193">
        <v>25924072.50999999</v>
      </c>
      <c r="AI200" s="194">
        <v>7.5937312391301237</v>
      </c>
      <c r="AJ200" s="194">
        <v>5.8444851228257955</v>
      </c>
      <c r="AK200" s="194">
        <v>14.816554020653813</v>
      </c>
      <c r="AL200" s="194">
        <v>4.7817775501031701</v>
      </c>
      <c r="AM200" s="194">
        <v>-11.455977403909449</v>
      </c>
      <c r="AN200" s="194">
        <v>7.0939785909588782</v>
      </c>
      <c r="AO200" s="194">
        <v>-4.1109503501925486</v>
      </c>
      <c r="AP200" s="194">
        <v>9.0341634209364141</v>
      </c>
    </row>
    <row r="201" spans="1:42" ht="12" customHeight="1">
      <c r="A201" s="189" t="s">
        <v>796</v>
      </c>
      <c r="B201" s="189"/>
      <c r="C201" s="189" t="s">
        <v>126</v>
      </c>
      <c r="D201" s="189" t="s">
        <v>756</v>
      </c>
      <c r="E201" s="189" t="s">
        <v>879</v>
      </c>
      <c r="F201" s="190" t="s">
        <v>720</v>
      </c>
      <c r="G201" s="189" t="s">
        <v>689</v>
      </c>
      <c r="H201" s="197"/>
      <c r="I201" s="195"/>
      <c r="J201" s="195"/>
      <c r="K201" s="192">
        <v>17075664</v>
      </c>
      <c r="L201" s="192">
        <v>10066138</v>
      </c>
      <c r="M201" s="192">
        <v>62350781</v>
      </c>
      <c r="N201" s="192">
        <v>43851798</v>
      </c>
      <c r="O201" s="192">
        <v>653058</v>
      </c>
      <c r="P201" s="192">
        <v>20448074</v>
      </c>
      <c r="Q201" s="192">
        <v>7375447</v>
      </c>
      <c r="R201" s="192">
        <v>154445513</v>
      </c>
      <c r="S201" s="192">
        <v>16603256</v>
      </c>
      <c r="T201" s="192">
        <v>9077782</v>
      </c>
      <c r="U201" s="192">
        <v>53129996</v>
      </c>
      <c r="V201" s="192">
        <v>40367319</v>
      </c>
      <c r="W201" s="192">
        <v>800163</v>
      </c>
      <c r="X201" s="192">
        <v>18362918</v>
      </c>
      <c r="Y201" s="192">
        <v>5837318</v>
      </c>
      <c r="Z201" s="192">
        <v>138341434</v>
      </c>
      <c r="AA201" s="193">
        <v>472408</v>
      </c>
      <c r="AB201" s="193">
        <v>988356</v>
      </c>
      <c r="AC201" s="193">
        <v>9220785</v>
      </c>
      <c r="AD201" s="193">
        <v>3484479</v>
      </c>
      <c r="AE201" s="193">
        <v>-147105</v>
      </c>
      <c r="AF201" s="193">
        <v>2085156</v>
      </c>
      <c r="AG201" s="193">
        <v>1538129</v>
      </c>
      <c r="AH201" s="193">
        <v>16104079</v>
      </c>
      <c r="AI201" s="194">
        <v>2.8452732403812844</v>
      </c>
      <c r="AJ201" s="194">
        <v>10.887637530841785</v>
      </c>
      <c r="AK201" s="194">
        <v>17.3551396465379</v>
      </c>
      <c r="AL201" s="194">
        <v>8.6319306962149263</v>
      </c>
      <c r="AM201" s="194">
        <v>-18.384379182741519</v>
      </c>
      <c r="AN201" s="194">
        <v>11.355254105039297</v>
      </c>
      <c r="AO201" s="194">
        <v>26.349926455951174</v>
      </c>
      <c r="AP201" s="194">
        <v>11.640821216295908</v>
      </c>
    </row>
    <row r="202" spans="1:42" ht="12" customHeight="1">
      <c r="A202" s="189" t="s">
        <v>797</v>
      </c>
      <c r="B202" s="189"/>
      <c r="C202" s="189" t="s">
        <v>162</v>
      </c>
      <c r="D202" s="189" t="s">
        <v>756</v>
      </c>
      <c r="E202" s="189" t="s">
        <v>880</v>
      </c>
      <c r="F202" s="190" t="s">
        <v>720</v>
      </c>
      <c r="G202" s="189" t="s">
        <v>689</v>
      </c>
      <c r="H202" s="197"/>
      <c r="I202" s="195"/>
      <c r="J202" s="195"/>
      <c r="K202" s="192">
        <v>22906944</v>
      </c>
      <c r="L202" s="192">
        <v>14668106</v>
      </c>
      <c r="M202" s="192">
        <v>74786056</v>
      </c>
      <c r="N202" s="192">
        <v>65296563</v>
      </c>
      <c r="O202" s="192">
        <v>759646</v>
      </c>
      <c r="P202" s="192">
        <v>25611059</v>
      </c>
      <c r="Q202" s="192">
        <v>5267762</v>
      </c>
      <c r="R202" s="192">
        <v>204028374</v>
      </c>
      <c r="S202" s="192">
        <v>21832282</v>
      </c>
      <c r="T202" s="192">
        <v>15752328</v>
      </c>
      <c r="U202" s="192">
        <v>65421948</v>
      </c>
      <c r="V202" s="192">
        <v>62026339</v>
      </c>
      <c r="W202" s="192">
        <v>1038218</v>
      </c>
      <c r="X202" s="192">
        <v>23989234</v>
      </c>
      <c r="Y202" s="192">
        <v>5094680</v>
      </c>
      <c r="Z202" s="192">
        <v>190060349</v>
      </c>
      <c r="AA202" s="193">
        <v>1074662</v>
      </c>
      <c r="AB202" s="193">
        <v>-1084222</v>
      </c>
      <c r="AC202" s="193">
        <v>9364108</v>
      </c>
      <c r="AD202" s="193">
        <v>3270224</v>
      </c>
      <c r="AE202" s="193">
        <v>-278572</v>
      </c>
      <c r="AF202" s="193">
        <v>1621825</v>
      </c>
      <c r="AG202" s="193">
        <v>173082</v>
      </c>
      <c r="AH202" s="193">
        <v>13968025</v>
      </c>
      <c r="AI202" s="194">
        <v>4.9223530549852734</v>
      </c>
      <c r="AJ202" s="194">
        <v>-6.8829318434710105</v>
      </c>
      <c r="AK202" s="194">
        <v>14.313404425071537</v>
      </c>
      <c r="AL202" s="194">
        <v>5.272315040228313</v>
      </c>
      <c r="AM202" s="194">
        <v>-26.831744392796118</v>
      </c>
      <c r="AN202" s="194">
        <v>6.7606368756918211</v>
      </c>
      <c r="AO202" s="194">
        <v>3.3973085650129153</v>
      </c>
      <c r="AP202" s="194">
        <v>7.3492577875882992</v>
      </c>
    </row>
    <row r="203" spans="1:42" ht="12" customHeight="1">
      <c r="A203" s="189" t="s">
        <v>524</v>
      </c>
      <c r="B203" s="189"/>
      <c r="C203" s="189" t="s">
        <v>163</v>
      </c>
      <c r="D203" s="189" t="s">
        <v>756</v>
      </c>
      <c r="E203" s="189" t="s">
        <v>883</v>
      </c>
      <c r="F203" s="190" t="s">
        <v>720</v>
      </c>
      <c r="G203" s="189" t="s">
        <v>689</v>
      </c>
      <c r="H203" s="197"/>
      <c r="I203" s="195"/>
      <c r="J203" s="195"/>
      <c r="K203" s="192">
        <v>19215187</v>
      </c>
      <c r="L203" s="192">
        <v>16214280</v>
      </c>
      <c r="M203" s="192">
        <v>77502417</v>
      </c>
      <c r="N203" s="192">
        <v>59177773</v>
      </c>
      <c r="O203" s="192">
        <v>696492</v>
      </c>
      <c r="P203" s="192">
        <v>25186363</v>
      </c>
      <c r="Q203" s="192">
        <v>4879734</v>
      </c>
      <c r="R203" s="192">
        <v>197992512</v>
      </c>
      <c r="S203" s="192">
        <v>18365382</v>
      </c>
      <c r="T203" s="192">
        <v>17707824</v>
      </c>
      <c r="U203" s="192">
        <v>67475203</v>
      </c>
      <c r="V203" s="192">
        <v>57743648</v>
      </c>
      <c r="W203" s="192">
        <v>925750</v>
      </c>
      <c r="X203" s="192">
        <v>23921136</v>
      </c>
      <c r="Y203" s="192">
        <v>4415221</v>
      </c>
      <c r="Z203" s="192">
        <v>186138943</v>
      </c>
      <c r="AA203" s="193">
        <v>849805</v>
      </c>
      <c r="AB203" s="193">
        <v>-1493544</v>
      </c>
      <c r="AC203" s="193">
        <v>10027214</v>
      </c>
      <c r="AD203" s="193">
        <v>1434125</v>
      </c>
      <c r="AE203" s="193">
        <v>-229258</v>
      </c>
      <c r="AF203" s="193">
        <v>1265227</v>
      </c>
      <c r="AG203" s="193">
        <v>464513</v>
      </c>
      <c r="AH203" s="193">
        <v>11853569</v>
      </c>
      <c r="AI203" s="194">
        <v>4.627211130157816</v>
      </c>
      <c r="AJ203" s="194">
        <v>-8.4343734159544397</v>
      </c>
      <c r="AK203" s="194">
        <v>14.860591082623346</v>
      </c>
      <c r="AL203" s="194">
        <v>2.4836065085461869</v>
      </c>
      <c r="AM203" s="194">
        <v>-24.764569268160951</v>
      </c>
      <c r="AN203" s="194">
        <v>5.2891593442719449</v>
      </c>
      <c r="AO203" s="194">
        <v>10.520719121421102</v>
      </c>
      <c r="AP203" s="194">
        <v>6.368129532142019</v>
      </c>
    </row>
    <row r="204" spans="1:42" ht="12" customHeight="1">
      <c r="A204" s="189" t="s">
        <v>525</v>
      </c>
      <c r="B204" s="189"/>
      <c r="C204" s="189" t="s">
        <v>164</v>
      </c>
      <c r="D204" s="189" t="s">
        <v>755</v>
      </c>
      <c r="E204" s="189" t="s">
        <v>883</v>
      </c>
      <c r="F204" s="190" t="s">
        <v>720</v>
      </c>
      <c r="G204" s="189" t="s">
        <v>689</v>
      </c>
      <c r="H204" s="197"/>
      <c r="I204" s="195"/>
      <c r="J204" s="195"/>
      <c r="K204" s="192">
        <v>30106368.880000003</v>
      </c>
      <c r="L204" s="192">
        <v>23403645.549999997</v>
      </c>
      <c r="M204" s="192">
        <v>113294047.08999999</v>
      </c>
      <c r="N204" s="192">
        <v>76479311.929999992</v>
      </c>
      <c r="O204" s="192">
        <v>1011545.5299999999</v>
      </c>
      <c r="P204" s="192">
        <v>34771402.5</v>
      </c>
      <c r="Q204" s="192">
        <v>4107547.72</v>
      </c>
      <c r="R204" s="192">
        <v>279066321.48000002</v>
      </c>
      <c r="S204" s="192">
        <v>28912788.430000003</v>
      </c>
      <c r="T204" s="192">
        <v>19505403.25</v>
      </c>
      <c r="U204" s="192">
        <v>99962127.730000004</v>
      </c>
      <c r="V204" s="192">
        <v>75007477.909999996</v>
      </c>
      <c r="W204" s="192">
        <v>1315057.8799999999</v>
      </c>
      <c r="X204" s="192">
        <v>33088662.689999998</v>
      </c>
      <c r="Y204" s="192">
        <v>4079581.84</v>
      </c>
      <c r="Z204" s="192">
        <v>257791517.89000002</v>
      </c>
      <c r="AA204" s="193">
        <v>1193580.4499999993</v>
      </c>
      <c r="AB204" s="193">
        <v>3898242.299999997</v>
      </c>
      <c r="AC204" s="193">
        <v>13331919.359999985</v>
      </c>
      <c r="AD204" s="193">
        <v>1471834.0199999958</v>
      </c>
      <c r="AE204" s="193">
        <v>-303512.34999999998</v>
      </c>
      <c r="AF204" s="193">
        <v>1682739.8100000024</v>
      </c>
      <c r="AG204" s="193">
        <v>27965.880000000354</v>
      </c>
      <c r="AH204" s="193">
        <v>21274803.590000004</v>
      </c>
      <c r="AI204" s="194">
        <v>4.1282094007976635</v>
      </c>
      <c r="AJ204" s="194">
        <v>19.985448391075931</v>
      </c>
      <c r="AK204" s="194">
        <v>13.336970373429629</v>
      </c>
      <c r="AL204" s="194">
        <v>1.9622497129766456</v>
      </c>
      <c r="AM204" s="194">
        <v>-23.079771211286914</v>
      </c>
      <c r="AN204" s="194">
        <v>5.0855479587229055</v>
      </c>
      <c r="AO204" s="194">
        <v>0.6855084931940072</v>
      </c>
      <c r="AP204" s="194">
        <v>8.252716677465699</v>
      </c>
    </row>
    <row r="205" spans="1:42" ht="12" customHeight="1">
      <c r="A205" s="189" t="s">
        <v>526</v>
      </c>
      <c r="B205" s="189"/>
      <c r="C205" s="189" t="s">
        <v>165</v>
      </c>
      <c r="D205" s="189" t="s">
        <v>755</v>
      </c>
      <c r="E205" s="189" t="s">
        <v>879</v>
      </c>
      <c r="F205" s="190" t="s">
        <v>720</v>
      </c>
      <c r="G205" s="189" t="s">
        <v>689</v>
      </c>
      <c r="H205" s="197"/>
      <c r="I205" s="195"/>
      <c r="J205" s="195"/>
      <c r="K205" s="192">
        <v>22090424.400000002</v>
      </c>
      <c r="L205" s="192">
        <v>13517072.360000003</v>
      </c>
      <c r="M205" s="192">
        <v>77657097.949999943</v>
      </c>
      <c r="N205" s="192">
        <v>53128136.409999996</v>
      </c>
      <c r="O205" s="192">
        <v>1204715.6599999999</v>
      </c>
      <c r="P205" s="192">
        <v>25396208.900000002</v>
      </c>
      <c r="Q205" s="192">
        <v>3721582.4800000004</v>
      </c>
      <c r="R205" s="192">
        <v>192993655.67999995</v>
      </c>
      <c r="S205" s="192">
        <v>20771758.310000002</v>
      </c>
      <c r="T205" s="192">
        <v>14340848.150000004</v>
      </c>
      <c r="U205" s="192">
        <v>65592092.74000001</v>
      </c>
      <c r="V205" s="192">
        <v>49810051.589999996</v>
      </c>
      <c r="W205" s="192">
        <v>1442592.74</v>
      </c>
      <c r="X205" s="192">
        <v>23512193.789999999</v>
      </c>
      <c r="Y205" s="192">
        <v>3305823.68</v>
      </c>
      <c r="Z205" s="192">
        <v>175469537.32000002</v>
      </c>
      <c r="AA205" s="193">
        <v>1318666.0899999999</v>
      </c>
      <c r="AB205" s="193">
        <v>-823775.79000000097</v>
      </c>
      <c r="AC205" s="193">
        <v>12065005.209999934</v>
      </c>
      <c r="AD205" s="193">
        <v>3318084.8200000003</v>
      </c>
      <c r="AE205" s="193">
        <v>-237877.08000000007</v>
      </c>
      <c r="AF205" s="193">
        <v>1884015.1100000031</v>
      </c>
      <c r="AG205" s="193">
        <v>415758.80000000028</v>
      </c>
      <c r="AH205" s="193">
        <v>17524118.359999925</v>
      </c>
      <c r="AI205" s="194">
        <v>6.3483604532658351</v>
      </c>
      <c r="AJ205" s="194">
        <v>-5.7442612974045106</v>
      </c>
      <c r="AK205" s="194">
        <v>18.393993400735535</v>
      </c>
      <c r="AL205" s="194">
        <v>6.6614763769209748</v>
      </c>
      <c r="AM205" s="194">
        <v>-16.489551999270429</v>
      </c>
      <c r="AN205" s="194">
        <v>8.0129277889896269</v>
      </c>
      <c r="AO205" s="194">
        <v>12.576557017100207</v>
      </c>
      <c r="AP205" s="194">
        <v>9.9869861331209684</v>
      </c>
    </row>
    <row r="206" spans="1:42" ht="12" customHeight="1">
      <c r="A206" s="189" t="s">
        <v>527</v>
      </c>
      <c r="B206" s="189"/>
      <c r="C206" s="189" t="s">
        <v>166</v>
      </c>
      <c r="D206" s="189" t="s">
        <v>755</v>
      </c>
      <c r="E206" s="189" t="s">
        <v>876</v>
      </c>
      <c r="F206" s="190" t="s">
        <v>720</v>
      </c>
      <c r="G206" s="189" t="s">
        <v>689</v>
      </c>
      <c r="H206" s="197"/>
      <c r="I206" s="195"/>
      <c r="J206" s="195"/>
      <c r="K206" s="192">
        <v>6746949.5</v>
      </c>
      <c r="L206" s="192">
        <v>4309698.8199999994</v>
      </c>
      <c r="M206" s="192">
        <v>28239265.409999993</v>
      </c>
      <c r="N206" s="192">
        <v>14997392.209999999</v>
      </c>
      <c r="O206" s="192">
        <v>428337.47000000003</v>
      </c>
      <c r="P206" s="192">
        <v>8857685.3599999994</v>
      </c>
      <c r="Q206" s="192">
        <v>1068651.6100000001</v>
      </c>
      <c r="R206" s="192">
        <v>63579328.769999988</v>
      </c>
      <c r="S206" s="192">
        <v>6054586.8100000005</v>
      </c>
      <c r="T206" s="192">
        <v>4192958.96</v>
      </c>
      <c r="U206" s="192">
        <v>23656684.120000005</v>
      </c>
      <c r="V206" s="192">
        <v>14209868.369999997</v>
      </c>
      <c r="W206" s="192">
        <v>576798.06999999995</v>
      </c>
      <c r="X206" s="192">
        <v>8032761.5699999994</v>
      </c>
      <c r="Y206" s="192">
        <v>927481.72999999986</v>
      </c>
      <c r="Z206" s="192">
        <v>56723657.899999999</v>
      </c>
      <c r="AA206" s="193">
        <v>692362.68999999948</v>
      </c>
      <c r="AB206" s="193">
        <v>116739.8599999994</v>
      </c>
      <c r="AC206" s="193">
        <v>4582581.2899999879</v>
      </c>
      <c r="AD206" s="193">
        <v>787523.84000000171</v>
      </c>
      <c r="AE206" s="193">
        <v>-148460.59999999992</v>
      </c>
      <c r="AF206" s="193">
        <v>824923.79</v>
      </c>
      <c r="AG206" s="193">
        <v>141169.88000000024</v>
      </c>
      <c r="AH206" s="193">
        <v>6855670.8699999899</v>
      </c>
      <c r="AI206" s="194">
        <v>11.435341695926555</v>
      </c>
      <c r="AJ206" s="194">
        <v>2.7841879950096007</v>
      </c>
      <c r="AK206" s="194">
        <v>19.371190259609332</v>
      </c>
      <c r="AL206" s="194">
        <v>5.5420910278284437</v>
      </c>
      <c r="AM206" s="194">
        <v>-25.738747704200872</v>
      </c>
      <c r="AN206" s="194">
        <v>10.269491790729202</v>
      </c>
      <c r="AO206" s="194">
        <v>15.220772057687892</v>
      </c>
      <c r="AP206" s="194">
        <v>12.086087399522219</v>
      </c>
    </row>
    <row r="207" spans="1:42" ht="12" customHeight="1">
      <c r="A207" s="189" t="s">
        <v>798</v>
      </c>
      <c r="B207" s="189"/>
      <c r="C207" s="189" t="s">
        <v>167</v>
      </c>
      <c r="D207" s="189" t="s">
        <v>756</v>
      </c>
      <c r="E207" s="189" t="s">
        <v>883</v>
      </c>
      <c r="F207" s="190" t="s">
        <v>720</v>
      </c>
      <c r="G207" s="189" t="s">
        <v>689</v>
      </c>
      <c r="H207" s="197"/>
      <c r="I207" s="195"/>
      <c r="J207" s="195"/>
      <c r="K207" s="192">
        <v>71789029</v>
      </c>
      <c r="L207" s="192">
        <v>58042582</v>
      </c>
      <c r="M207" s="192">
        <v>265878882</v>
      </c>
      <c r="N207" s="192">
        <v>199714135</v>
      </c>
      <c r="O207" s="192">
        <v>4618364</v>
      </c>
      <c r="P207" s="192">
        <v>85666579</v>
      </c>
      <c r="Q207" s="192">
        <v>9594865</v>
      </c>
      <c r="R207" s="192">
        <v>685709571</v>
      </c>
      <c r="S207" s="192">
        <v>68142068</v>
      </c>
      <c r="T207" s="192">
        <v>62757917</v>
      </c>
      <c r="U207" s="192">
        <v>252024738</v>
      </c>
      <c r="V207" s="192">
        <v>195403186</v>
      </c>
      <c r="W207" s="192">
        <v>5120030</v>
      </c>
      <c r="X207" s="192">
        <v>80912198</v>
      </c>
      <c r="Y207" s="192">
        <v>9218428</v>
      </c>
      <c r="Z207" s="192">
        <v>664360137</v>
      </c>
      <c r="AA207" s="193">
        <v>3646961</v>
      </c>
      <c r="AB207" s="193">
        <v>-4715335</v>
      </c>
      <c r="AC207" s="193">
        <v>13854144</v>
      </c>
      <c r="AD207" s="193">
        <v>4310949</v>
      </c>
      <c r="AE207" s="193">
        <v>-501666</v>
      </c>
      <c r="AF207" s="193">
        <v>4754381</v>
      </c>
      <c r="AG207" s="193">
        <v>376437</v>
      </c>
      <c r="AH207" s="193">
        <v>21349434</v>
      </c>
      <c r="AI207" s="194">
        <v>5.3519963614840691</v>
      </c>
      <c r="AJ207" s="194">
        <v>-7.5135301256094911</v>
      </c>
      <c r="AK207" s="194">
        <v>5.497136554904384</v>
      </c>
      <c r="AL207" s="194">
        <v>2.2061815307351234</v>
      </c>
      <c r="AM207" s="194">
        <v>-9.7981066517188378</v>
      </c>
      <c r="AN207" s="194">
        <v>5.8759755852881419</v>
      </c>
      <c r="AO207" s="194">
        <v>4.0835270395342889</v>
      </c>
      <c r="AP207" s="194">
        <v>3.2135332647148274</v>
      </c>
    </row>
    <row r="208" spans="1:42" ht="12" customHeight="1">
      <c r="A208" s="189" t="s">
        <v>528</v>
      </c>
      <c r="B208" s="189"/>
      <c r="C208" s="189" t="s">
        <v>168</v>
      </c>
      <c r="D208" s="189" t="s">
        <v>756</v>
      </c>
      <c r="E208" s="189" t="s">
        <v>879</v>
      </c>
      <c r="F208" s="190" t="s">
        <v>720</v>
      </c>
      <c r="G208" s="189" t="s">
        <v>689</v>
      </c>
      <c r="H208" s="197"/>
      <c r="I208" s="195"/>
      <c r="J208" s="195"/>
      <c r="K208" s="192">
        <v>27081069</v>
      </c>
      <c r="L208" s="192">
        <v>11275806</v>
      </c>
      <c r="M208" s="192">
        <v>91154524</v>
      </c>
      <c r="N208" s="192">
        <v>62462420</v>
      </c>
      <c r="O208" s="192">
        <v>1618074</v>
      </c>
      <c r="P208" s="192">
        <v>30273649</v>
      </c>
      <c r="Q208" s="192">
        <v>5396962</v>
      </c>
      <c r="R208" s="192">
        <v>223865542</v>
      </c>
      <c r="S208" s="192" t="s">
        <v>987</v>
      </c>
      <c r="T208" s="192">
        <v>11379307</v>
      </c>
      <c r="U208" s="192">
        <v>73320861</v>
      </c>
      <c r="V208" s="192">
        <v>56840931</v>
      </c>
      <c r="W208" s="192">
        <v>1645012</v>
      </c>
      <c r="X208" s="192">
        <v>26300940</v>
      </c>
      <c r="Y208" s="192">
        <v>4730733</v>
      </c>
      <c r="Z208" s="192" t="s">
        <v>987</v>
      </c>
      <c r="AA208" s="193" t="s">
        <v>985</v>
      </c>
      <c r="AB208" s="193">
        <v>-103501</v>
      </c>
      <c r="AC208" s="193">
        <v>17833663</v>
      </c>
      <c r="AD208" s="193">
        <v>5621489</v>
      </c>
      <c r="AE208" s="193">
        <v>-26938</v>
      </c>
      <c r="AF208" s="193">
        <v>3972709</v>
      </c>
      <c r="AG208" s="193">
        <v>666229</v>
      </c>
      <c r="AH208" s="193" t="s">
        <v>985</v>
      </c>
      <c r="AI208" s="194" t="s">
        <v>985</v>
      </c>
      <c r="AJ208" s="194">
        <v>-0.90955450977814378</v>
      </c>
      <c r="AK208" s="194">
        <v>24.32276811370232</v>
      </c>
      <c r="AL208" s="194">
        <v>9.8898608821167961</v>
      </c>
      <c r="AM208" s="194">
        <v>-1.637556443357252</v>
      </c>
      <c r="AN208" s="194">
        <v>15.104817546445107</v>
      </c>
      <c r="AO208" s="194">
        <v>14.082997286044256</v>
      </c>
      <c r="AP208" s="194" t="s">
        <v>985</v>
      </c>
    </row>
    <row r="209" spans="1:42" ht="12" customHeight="1">
      <c r="A209" s="189" t="s">
        <v>529</v>
      </c>
      <c r="B209" s="189"/>
      <c r="C209" s="189" t="s">
        <v>169</v>
      </c>
      <c r="D209" s="189" t="s">
        <v>755</v>
      </c>
      <c r="E209" s="189" t="s">
        <v>879</v>
      </c>
      <c r="F209" s="190" t="s">
        <v>720</v>
      </c>
      <c r="G209" s="189" t="s">
        <v>689</v>
      </c>
      <c r="H209" s="197"/>
      <c r="I209" s="195"/>
      <c r="J209" s="195"/>
      <c r="K209" s="192">
        <v>19214565.020000003</v>
      </c>
      <c r="L209" s="192">
        <v>12605416.899999999</v>
      </c>
      <c r="M209" s="192">
        <v>74669742</v>
      </c>
      <c r="N209" s="192">
        <v>53011619.720000006</v>
      </c>
      <c r="O209" s="192">
        <v>1693679.73</v>
      </c>
      <c r="P209" s="192">
        <v>23673649.780000001</v>
      </c>
      <c r="Q209" s="192">
        <v>3595453.71</v>
      </c>
      <c r="R209" s="192">
        <v>184868673.15000001</v>
      </c>
      <c r="S209" s="192">
        <v>16380291.950000001</v>
      </c>
      <c r="T209" s="192">
        <v>11638461.799999999</v>
      </c>
      <c r="U209" s="192">
        <v>62059653.00999999</v>
      </c>
      <c r="V209" s="192">
        <v>49616851.480000004</v>
      </c>
      <c r="W209" s="192">
        <v>1670902.54</v>
      </c>
      <c r="X209" s="192">
        <v>21475676.219999999</v>
      </c>
      <c r="Y209" s="192">
        <v>645474.04</v>
      </c>
      <c r="Z209" s="192">
        <v>162841837</v>
      </c>
      <c r="AA209" s="193">
        <v>2834273.0700000022</v>
      </c>
      <c r="AB209" s="193">
        <v>966955.09999999963</v>
      </c>
      <c r="AC209" s="193">
        <v>12610088.99000001</v>
      </c>
      <c r="AD209" s="193">
        <v>3394768.2400000021</v>
      </c>
      <c r="AE209" s="193">
        <v>22777.189999999944</v>
      </c>
      <c r="AF209" s="193">
        <v>2197973.5600000024</v>
      </c>
      <c r="AG209" s="193">
        <v>2949979.67</v>
      </c>
      <c r="AH209" s="193">
        <v>22026836.150000006</v>
      </c>
      <c r="AI209" s="194">
        <v>17.30294599541617</v>
      </c>
      <c r="AJ209" s="194">
        <v>8.3082723182542875</v>
      </c>
      <c r="AK209" s="194">
        <v>20.319303087253935</v>
      </c>
      <c r="AL209" s="194">
        <v>6.8419662649662385</v>
      </c>
      <c r="AM209" s="194">
        <v>1.3631668786618725</v>
      </c>
      <c r="AN209" s="194">
        <v>10.234711761732839</v>
      </c>
      <c r="AO209" s="194" t="s">
        <v>951</v>
      </c>
      <c r="AP209" s="194">
        <v>13.52652153512614</v>
      </c>
    </row>
    <row r="210" spans="1:42" ht="12" customHeight="1">
      <c r="A210" s="189" t="s">
        <v>530</v>
      </c>
      <c r="B210" s="189"/>
      <c r="C210" s="189" t="s">
        <v>170</v>
      </c>
      <c r="D210" s="189" t="s">
        <v>755</v>
      </c>
      <c r="E210" s="189" t="s">
        <v>874</v>
      </c>
      <c r="F210" s="190" t="s">
        <v>720</v>
      </c>
      <c r="G210" s="189" t="s">
        <v>689</v>
      </c>
      <c r="H210" s="197"/>
      <c r="I210" s="195"/>
      <c r="J210" s="195"/>
      <c r="K210" s="192">
        <v>6113111.8900000006</v>
      </c>
      <c r="L210" s="192">
        <v>2384109.9900000002</v>
      </c>
      <c r="M210" s="192">
        <v>23434434.929999996</v>
      </c>
      <c r="N210" s="192">
        <v>14458119.690000003</v>
      </c>
      <c r="O210" s="192">
        <v>205141.03</v>
      </c>
      <c r="P210" s="192">
        <v>7294171.7899999991</v>
      </c>
      <c r="Q210" s="192">
        <v>687160.97999999986</v>
      </c>
      <c r="R210" s="192">
        <v>53889089.32</v>
      </c>
      <c r="S210" s="192">
        <v>5568618.7599999998</v>
      </c>
      <c r="T210" s="192">
        <v>2776922.4199999995</v>
      </c>
      <c r="U210" s="192">
        <v>19752505.870000001</v>
      </c>
      <c r="V210" s="192">
        <v>13831641.33</v>
      </c>
      <c r="W210" s="192">
        <v>259273.5</v>
      </c>
      <c r="X210" s="192">
        <v>6649970.7999999998</v>
      </c>
      <c r="Y210" s="192">
        <v>654155.80999999994</v>
      </c>
      <c r="Z210" s="192">
        <v>48838932.68</v>
      </c>
      <c r="AA210" s="193">
        <v>544493.13000000082</v>
      </c>
      <c r="AB210" s="193">
        <v>-392812.42999999924</v>
      </c>
      <c r="AC210" s="193">
        <v>3681929.0599999949</v>
      </c>
      <c r="AD210" s="193">
        <v>626478.36000000313</v>
      </c>
      <c r="AE210" s="193">
        <v>-54132.47</v>
      </c>
      <c r="AF210" s="193">
        <v>644200.98999999929</v>
      </c>
      <c r="AG210" s="193">
        <v>33005.169999999925</v>
      </c>
      <c r="AH210" s="193">
        <v>5050156.6400000006</v>
      </c>
      <c r="AI210" s="194">
        <v>9.7778848484143825</v>
      </c>
      <c r="AJ210" s="194">
        <v>-14.145603318655164</v>
      </c>
      <c r="AK210" s="194">
        <v>18.640313711244549</v>
      </c>
      <c r="AL210" s="194">
        <v>4.5293132250415518</v>
      </c>
      <c r="AM210" s="194">
        <v>-20.878520172713372</v>
      </c>
      <c r="AN210" s="194">
        <v>9.6872754689388909</v>
      </c>
      <c r="AO210" s="194">
        <v>5.045460041087142</v>
      </c>
      <c r="AP210" s="194">
        <v>10.340432034191622</v>
      </c>
    </row>
    <row r="211" spans="1:42" ht="12" customHeight="1">
      <c r="A211" s="189" t="s">
        <v>531</v>
      </c>
      <c r="B211" s="189"/>
      <c r="C211" s="189" t="s">
        <v>171</v>
      </c>
      <c r="D211" s="189" t="s">
        <v>755</v>
      </c>
      <c r="E211" s="189" t="s">
        <v>879</v>
      </c>
      <c r="F211" s="190" t="s">
        <v>720</v>
      </c>
      <c r="G211" s="189" t="s">
        <v>689</v>
      </c>
      <c r="H211" s="197"/>
      <c r="I211" s="195"/>
      <c r="J211" s="195"/>
      <c r="K211" s="192">
        <v>21079430.520000003</v>
      </c>
      <c r="L211" s="192">
        <v>10572399.24</v>
      </c>
      <c r="M211" s="192">
        <v>72451244.549999982</v>
      </c>
      <c r="N211" s="192">
        <v>49494444.649999999</v>
      </c>
      <c r="O211" s="192">
        <v>587778.78</v>
      </c>
      <c r="P211" s="192">
        <v>23457965.710000001</v>
      </c>
      <c r="Q211" s="192">
        <v>2383131.44</v>
      </c>
      <c r="R211" s="192">
        <v>177643263.44999999</v>
      </c>
      <c r="S211" s="192">
        <v>19364653.759999998</v>
      </c>
      <c r="T211" s="192">
        <v>10582556.029999999</v>
      </c>
      <c r="U211" s="192">
        <v>61124986.869999982</v>
      </c>
      <c r="V211" s="192">
        <v>45899760.029999994</v>
      </c>
      <c r="W211" s="192">
        <v>715347.5</v>
      </c>
      <c r="X211" s="192">
        <v>21618226.839999996</v>
      </c>
      <c r="Y211" s="192">
        <v>2194353.8800000004</v>
      </c>
      <c r="Z211" s="192">
        <v>159305531.02999997</v>
      </c>
      <c r="AA211" s="193">
        <v>1714776.7600000054</v>
      </c>
      <c r="AB211" s="193">
        <v>-10156.789999999106</v>
      </c>
      <c r="AC211" s="193">
        <v>11326257.68</v>
      </c>
      <c r="AD211" s="193">
        <v>3594684.6200000048</v>
      </c>
      <c r="AE211" s="193">
        <v>-127568.71999999997</v>
      </c>
      <c r="AF211" s="193">
        <v>1839738.8700000048</v>
      </c>
      <c r="AG211" s="193">
        <v>188777.55999999959</v>
      </c>
      <c r="AH211" s="193">
        <v>18337732.420000017</v>
      </c>
      <c r="AI211" s="194">
        <v>8.8551893633238166</v>
      </c>
      <c r="AJ211" s="194">
        <v>-9.5976718395878E-2</v>
      </c>
      <c r="AK211" s="194">
        <v>18.529668896434405</v>
      </c>
      <c r="AL211" s="194">
        <v>7.8315978507306481</v>
      </c>
      <c r="AM211" s="194">
        <v>-17.833111879191577</v>
      </c>
      <c r="AN211" s="194">
        <v>8.5101284375273263</v>
      </c>
      <c r="AO211" s="194">
        <v>8.6028767611539276</v>
      </c>
      <c r="AP211" s="194">
        <v>11.511045662656061</v>
      </c>
    </row>
    <row r="212" spans="1:42" ht="12" customHeight="1">
      <c r="A212" s="189" t="s">
        <v>799</v>
      </c>
      <c r="B212" s="189"/>
      <c r="C212" s="189" t="s">
        <v>159</v>
      </c>
      <c r="D212" s="189" t="s">
        <v>756</v>
      </c>
      <c r="E212" s="189" t="s">
        <v>879</v>
      </c>
      <c r="F212" s="190" t="s">
        <v>720</v>
      </c>
      <c r="G212" s="189" t="s">
        <v>689</v>
      </c>
      <c r="H212" s="197"/>
      <c r="I212" s="195"/>
      <c r="J212" s="195"/>
      <c r="K212" s="192">
        <v>15150828</v>
      </c>
      <c r="L212" s="192">
        <v>8774296</v>
      </c>
      <c r="M212" s="192">
        <v>53135817</v>
      </c>
      <c r="N212" s="192">
        <v>33949359</v>
      </c>
      <c r="O212" s="192">
        <v>549386</v>
      </c>
      <c r="P212" s="192">
        <v>16940002</v>
      </c>
      <c r="Q212" s="192">
        <v>1945270</v>
      </c>
      <c r="R212" s="192">
        <v>128499688</v>
      </c>
      <c r="S212" s="192">
        <v>14485074</v>
      </c>
      <c r="T212" s="192">
        <v>7749349</v>
      </c>
      <c r="U212" s="192">
        <v>45609839</v>
      </c>
      <c r="V212" s="192">
        <v>31946278</v>
      </c>
      <c r="W212" s="192">
        <v>543039</v>
      </c>
      <c r="X212" s="192">
        <v>15107675</v>
      </c>
      <c r="Y212" s="192">
        <v>1598940</v>
      </c>
      <c r="Z212" s="192">
        <v>115441254</v>
      </c>
      <c r="AA212" s="193">
        <v>665754</v>
      </c>
      <c r="AB212" s="193">
        <v>1024947</v>
      </c>
      <c r="AC212" s="193">
        <v>7525978</v>
      </c>
      <c r="AD212" s="193">
        <v>2003081</v>
      </c>
      <c r="AE212" s="193">
        <v>6347</v>
      </c>
      <c r="AF212" s="193">
        <v>1832327</v>
      </c>
      <c r="AG212" s="193">
        <v>346330</v>
      </c>
      <c r="AH212" s="193">
        <v>13058434</v>
      </c>
      <c r="AI212" s="194">
        <v>4.5961380659843361</v>
      </c>
      <c r="AJ212" s="194">
        <v>13.22623358426624</v>
      </c>
      <c r="AK212" s="194">
        <v>16.500777387089656</v>
      </c>
      <c r="AL212" s="194">
        <v>6.2701545388166968</v>
      </c>
      <c r="AM212" s="194">
        <v>1.1687926649835463</v>
      </c>
      <c r="AN212" s="194">
        <v>12.128451267319425</v>
      </c>
      <c r="AO212" s="194">
        <v>21.659974733260785</v>
      </c>
      <c r="AP212" s="194">
        <v>11.311756887186968</v>
      </c>
    </row>
    <row r="213" spans="1:42" ht="12" customHeight="1">
      <c r="A213" s="189" t="s">
        <v>532</v>
      </c>
      <c r="B213" s="189"/>
      <c r="C213" s="189" t="s">
        <v>174</v>
      </c>
      <c r="D213" s="189" t="s">
        <v>755</v>
      </c>
      <c r="E213" s="189" t="s">
        <v>879</v>
      </c>
      <c r="F213" s="190" t="s">
        <v>720</v>
      </c>
      <c r="G213" s="189" t="s">
        <v>689</v>
      </c>
      <c r="H213" s="197"/>
      <c r="I213" s="195"/>
      <c r="J213" s="195"/>
      <c r="K213" s="192">
        <v>37181765.420000002</v>
      </c>
      <c r="L213" s="192">
        <v>22238824.360000003</v>
      </c>
      <c r="M213" s="192">
        <v>132429419.77</v>
      </c>
      <c r="N213" s="192">
        <v>89222658.640000015</v>
      </c>
      <c r="O213" s="192">
        <v>1193298.6499999999</v>
      </c>
      <c r="P213" s="192">
        <v>43180261.680000007</v>
      </c>
      <c r="Q213" s="192">
        <v>8414558.9300000016</v>
      </c>
      <c r="R213" s="192">
        <v>325446228.52000004</v>
      </c>
      <c r="S213" s="192">
        <v>35428019.609999999</v>
      </c>
      <c r="T213" s="192">
        <v>23387154.799999997</v>
      </c>
      <c r="U213" s="192">
        <v>113167909.34999998</v>
      </c>
      <c r="V213" s="192">
        <v>85029712.99000001</v>
      </c>
      <c r="W213" s="192">
        <v>1298160.93</v>
      </c>
      <c r="X213" s="192">
        <v>40101262.520000011</v>
      </c>
      <c r="Y213" s="192">
        <v>7918722.0300000003</v>
      </c>
      <c r="Z213" s="192">
        <v>298412220.20000005</v>
      </c>
      <c r="AA213" s="193">
        <v>1753745.8100000024</v>
      </c>
      <c r="AB213" s="193">
        <v>-1148330.4399999939</v>
      </c>
      <c r="AC213" s="193">
        <v>19261510.420000017</v>
      </c>
      <c r="AD213" s="193">
        <v>4192945.650000006</v>
      </c>
      <c r="AE213" s="193">
        <v>-104862.28000000003</v>
      </c>
      <c r="AF213" s="193">
        <v>3078999.1599999964</v>
      </c>
      <c r="AG213" s="193">
        <v>495836.9000000013</v>
      </c>
      <c r="AH213" s="193">
        <v>27034008.319999993</v>
      </c>
      <c r="AI213" s="194">
        <v>4.9501660812702779</v>
      </c>
      <c r="AJ213" s="194">
        <v>-4.9100903885922627</v>
      </c>
      <c r="AK213" s="194">
        <v>17.020293589085394</v>
      </c>
      <c r="AL213" s="194">
        <v>4.9311534786588318</v>
      </c>
      <c r="AM213" s="194">
        <v>-8.0777565844629162</v>
      </c>
      <c r="AN213" s="194">
        <v>7.6780604063634739</v>
      </c>
      <c r="AO213" s="194">
        <v>6.2615772863541377</v>
      </c>
      <c r="AP213" s="194">
        <v>9.0592832632260905</v>
      </c>
    </row>
    <row r="214" spans="1:42" ht="12" customHeight="1">
      <c r="A214" s="189" t="s">
        <v>533</v>
      </c>
      <c r="B214" s="189"/>
      <c r="C214" s="189" t="s">
        <v>175</v>
      </c>
      <c r="D214" s="189" t="s">
        <v>756</v>
      </c>
      <c r="E214" s="189" t="s">
        <v>878</v>
      </c>
      <c r="F214" s="190" t="s">
        <v>720</v>
      </c>
      <c r="G214" s="189" t="s">
        <v>689</v>
      </c>
      <c r="H214" s="197"/>
      <c r="I214" s="195"/>
      <c r="J214" s="195"/>
      <c r="K214" s="192">
        <v>20801323</v>
      </c>
      <c r="L214" s="192">
        <v>8518106</v>
      </c>
      <c r="M214" s="192">
        <v>71353093</v>
      </c>
      <c r="N214" s="192">
        <v>48584992</v>
      </c>
      <c r="O214" s="192">
        <v>702503</v>
      </c>
      <c r="P214" s="192">
        <v>24021711</v>
      </c>
      <c r="Q214" s="192">
        <v>2174717</v>
      </c>
      <c r="R214" s="192">
        <v>173981728</v>
      </c>
      <c r="S214" s="192">
        <v>19956223</v>
      </c>
      <c r="T214" s="192">
        <v>8448558</v>
      </c>
      <c r="U214" s="192">
        <v>57914330</v>
      </c>
      <c r="V214" s="192">
        <v>43971279</v>
      </c>
      <c r="W214" s="192">
        <v>686091</v>
      </c>
      <c r="X214" s="192">
        <v>20416109</v>
      </c>
      <c r="Y214" s="192">
        <v>1899388</v>
      </c>
      <c r="Z214" s="192">
        <v>151392590</v>
      </c>
      <c r="AA214" s="193">
        <v>845100</v>
      </c>
      <c r="AB214" s="193">
        <v>69548</v>
      </c>
      <c r="AC214" s="193">
        <v>13438763</v>
      </c>
      <c r="AD214" s="193">
        <v>4613713</v>
      </c>
      <c r="AE214" s="193">
        <v>16412</v>
      </c>
      <c r="AF214" s="193">
        <v>3605602</v>
      </c>
      <c r="AG214" s="193">
        <v>275329</v>
      </c>
      <c r="AH214" s="193">
        <v>22589138</v>
      </c>
      <c r="AI214" s="194">
        <v>4.2347692747269861</v>
      </c>
      <c r="AJ214" s="194">
        <v>0.82319373317908218</v>
      </c>
      <c r="AK214" s="194">
        <v>23.204555763659876</v>
      </c>
      <c r="AL214" s="194">
        <v>10.492560382425992</v>
      </c>
      <c r="AM214" s="194">
        <v>2.3921025053527885</v>
      </c>
      <c r="AN214" s="194">
        <v>17.66057381453048</v>
      </c>
      <c r="AO214" s="194">
        <v>14.495669131320193</v>
      </c>
      <c r="AP214" s="194">
        <v>14.920900686090382</v>
      </c>
    </row>
    <row r="215" spans="1:42" ht="12" customHeight="1">
      <c r="A215" s="189" t="s">
        <v>890</v>
      </c>
      <c r="B215" s="196"/>
      <c r="C215" s="189" t="s">
        <v>172</v>
      </c>
      <c r="D215" s="189" t="s">
        <v>755</v>
      </c>
      <c r="E215" s="189" t="s">
        <v>883</v>
      </c>
      <c r="F215" s="190" t="s">
        <v>720</v>
      </c>
      <c r="G215" s="189" t="s">
        <v>689</v>
      </c>
      <c r="H215" s="197"/>
      <c r="I215" s="195"/>
      <c r="J215" s="195"/>
      <c r="K215" s="192">
        <v>12261633.950000001</v>
      </c>
      <c r="L215" s="192">
        <v>7174599.5</v>
      </c>
      <c r="M215" s="192">
        <v>43767960.659999989</v>
      </c>
      <c r="N215" s="192">
        <v>31382285.009999998</v>
      </c>
      <c r="O215" s="192">
        <v>652070.45000000007</v>
      </c>
      <c r="P215" s="192">
        <v>14052852.6</v>
      </c>
      <c r="Q215" s="192">
        <v>1701012.96</v>
      </c>
      <c r="R215" s="192">
        <v>109291402.16999999</v>
      </c>
      <c r="S215" s="192">
        <v>11637861.6</v>
      </c>
      <c r="T215" s="192">
        <v>7803007.879999998</v>
      </c>
      <c r="U215" s="192">
        <v>37340463.589999989</v>
      </c>
      <c r="V215" s="192">
        <v>28602359.769999992</v>
      </c>
      <c r="W215" s="192">
        <v>543358.12</v>
      </c>
      <c r="X215" s="192">
        <v>13195594.66</v>
      </c>
      <c r="Y215" s="192">
        <v>1708168.1799999997</v>
      </c>
      <c r="Z215" s="192">
        <v>99122645.619999975</v>
      </c>
      <c r="AA215" s="193">
        <v>623772.35000000149</v>
      </c>
      <c r="AB215" s="193">
        <v>-628408.37999999803</v>
      </c>
      <c r="AC215" s="193">
        <v>6427497.0700000003</v>
      </c>
      <c r="AD215" s="193">
        <v>2779925.2400000058</v>
      </c>
      <c r="AE215" s="193">
        <v>108712.33000000007</v>
      </c>
      <c r="AF215" s="193">
        <v>857257.93999999948</v>
      </c>
      <c r="AG215" s="193">
        <v>-7155.2199999997392</v>
      </c>
      <c r="AH215" s="193">
        <v>10168756.550000012</v>
      </c>
      <c r="AI215" s="194">
        <v>5.3598536521520543</v>
      </c>
      <c r="AJ215" s="194">
        <v>-8.0534120901079778</v>
      </c>
      <c r="AK215" s="194">
        <v>17.213222472474403</v>
      </c>
      <c r="AL215" s="194">
        <v>9.7192163945709531</v>
      </c>
      <c r="AM215" s="194">
        <v>20.007491560078293</v>
      </c>
      <c r="AN215" s="194">
        <v>6.4965464769740011</v>
      </c>
      <c r="AO215" s="194">
        <v>-0.41888264187193447</v>
      </c>
      <c r="AP215" s="194">
        <v>10.258762249933593</v>
      </c>
    </row>
    <row r="216" spans="1:42" ht="12" customHeight="1">
      <c r="A216" s="189" t="s">
        <v>891</v>
      </c>
      <c r="B216" s="196"/>
      <c r="C216" s="189" t="s">
        <v>173</v>
      </c>
      <c r="D216" s="189" t="s">
        <v>756</v>
      </c>
      <c r="E216" s="189" t="s">
        <v>883</v>
      </c>
      <c r="F216" s="190" t="s">
        <v>720</v>
      </c>
      <c r="G216" s="189" t="s">
        <v>689</v>
      </c>
      <c r="H216" s="197"/>
      <c r="I216" s="195"/>
      <c r="J216" s="195"/>
      <c r="K216" s="192">
        <v>17043030</v>
      </c>
      <c r="L216" s="192">
        <v>10455184</v>
      </c>
      <c r="M216" s="192">
        <v>58959809</v>
      </c>
      <c r="N216" s="192">
        <v>46284094</v>
      </c>
      <c r="O216" s="192">
        <v>503479</v>
      </c>
      <c r="P216" s="192">
        <v>19652625</v>
      </c>
      <c r="Q216" s="192">
        <v>3260795</v>
      </c>
      <c r="R216" s="192">
        <v>152898221</v>
      </c>
      <c r="S216" s="192">
        <v>15840552</v>
      </c>
      <c r="T216" s="192">
        <v>11933245</v>
      </c>
      <c r="U216" s="192">
        <v>50961004</v>
      </c>
      <c r="V216" s="192">
        <v>43612981</v>
      </c>
      <c r="W216" s="192">
        <v>564242</v>
      </c>
      <c r="X216" s="192">
        <v>17980232</v>
      </c>
      <c r="Y216" s="192">
        <v>2849038</v>
      </c>
      <c r="Z216" s="192">
        <v>140892256</v>
      </c>
      <c r="AA216" s="193">
        <v>1202478</v>
      </c>
      <c r="AB216" s="193">
        <v>-1478061</v>
      </c>
      <c r="AC216" s="193">
        <v>7998805</v>
      </c>
      <c r="AD216" s="193">
        <v>2671113</v>
      </c>
      <c r="AE216" s="193">
        <v>-60763</v>
      </c>
      <c r="AF216" s="193">
        <v>1672393</v>
      </c>
      <c r="AG216" s="193">
        <v>411757</v>
      </c>
      <c r="AH216" s="193">
        <v>12005965</v>
      </c>
      <c r="AI216" s="194">
        <v>7.5911369755296398</v>
      </c>
      <c r="AJ216" s="194">
        <v>-12.386077718173054</v>
      </c>
      <c r="AK216" s="194">
        <v>15.695932913723599</v>
      </c>
      <c r="AL216" s="194">
        <v>6.1245824952896477</v>
      </c>
      <c r="AM216" s="194">
        <v>-10.768960835953367</v>
      </c>
      <c r="AN216" s="194">
        <v>9.3012871024133617</v>
      </c>
      <c r="AO216" s="194">
        <v>14.452492385148952</v>
      </c>
      <c r="AP216" s="194">
        <v>8.5213803376106068</v>
      </c>
    </row>
    <row r="217" spans="1:42" ht="12" customHeight="1">
      <c r="A217" s="189" t="s">
        <v>800</v>
      </c>
      <c r="B217" s="189"/>
      <c r="C217" s="189" t="s">
        <v>176</v>
      </c>
      <c r="D217" s="189" t="s">
        <v>756</v>
      </c>
      <c r="E217" s="189" t="s">
        <v>883</v>
      </c>
      <c r="F217" s="190" t="s">
        <v>720</v>
      </c>
      <c r="G217" s="189" t="s">
        <v>689</v>
      </c>
      <c r="H217" s="197"/>
      <c r="I217" s="195"/>
      <c r="J217" s="195"/>
      <c r="K217" s="192">
        <v>47184874</v>
      </c>
      <c r="L217" s="192">
        <v>39171752</v>
      </c>
      <c r="M217" s="192">
        <v>191772215</v>
      </c>
      <c r="N217" s="192">
        <v>153089446</v>
      </c>
      <c r="O217" s="192">
        <v>1846010</v>
      </c>
      <c r="P217" s="192">
        <v>58960816</v>
      </c>
      <c r="Q217" s="192">
        <v>8127765</v>
      </c>
      <c r="R217" s="192">
        <v>492025113</v>
      </c>
      <c r="S217" s="192" t="s">
        <v>987</v>
      </c>
      <c r="T217" s="192">
        <v>45151884</v>
      </c>
      <c r="U217" s="192">
        <v>169527439</v>
      </c>
      <c r="V217" s="192">
        <v>147609341</v>
      </c>
      <c r="W217" s="192">
        <v>2258972</v>
      </c>
      <c r="X217" s="192">
        <v>56686661</v>
      </c>
      <c r="Y217" s="192">
        <v>7711009</v>
      </c>
      <c r="Z217" s="192" t="s">
        <v>987</v>
      </c>
      <c r="AA217" s="193" t="s">
        <v>985</v>
      </c>
      <c r="AB217" s="193">
        <v>-5980132</v>
      </c>
      <c r="AC217" s="193">
        <v>22244776</v>
      </c>
      <c r="AD217" s="193">
        <v>5480105</v>
      </c>
      <c r="AE217" s="193">
        <v>-412962</v>
      </c>
      <c r="AF217" s="193">
        <v>2274155</v>
      </c>
      <c r="AG217" s="193">
        <v>416756</v>
      </c>
      <c r="AH217" s="193" t="s">
        <v>985</v>
      </c>
      <c r="AI217" s="194" t="s">
        <v>985</v>
      </c>
      <c r="AJ217" s="194">
        <v>-13.244479455165148</v>
      </c>
      <c r="AK217" s="194">
        <v>13.121637494919039</v>
      </c>
      <c r="AL217" s="194">
        <v>3.7125733120101119</v>
      </c>
      <c r="AM217" s="194">
        <v>-18.280970282057503</v>
      </c>
      <c r="AN217" s="194">
        <v>4.0117991779406452</v>
      </c>
      <c r="AO217" s="194">
        <v>5.4046882839846253</v>
      </c>
      <c r="AP217" s="194" t="s">
        <v>985</v>
      </c>
    </row>
    <row r="218" spans="1:42" ht="12" customHeight="1">
      <c r="A218" s="189" t="s">
        <v>534</v>
      </c>
      <c r="B218" s="189"/>
      <c r="C218" s="189" t="s">
        <v>177</v>
      </c>
      <c r="D218" s="189" t="s">
        <v>756</v>
      </c>
      <c r="E218" s="189" t="s">
        <v>875</v>
      </c>
      <c r="F218" s="190" t="s">
        <v>721</v>
      </c>
      <c r="G218" s="189" t="s">
        <v>686</v>
      </c>
      <c r="H218" s="197"/>
      <c r="I218" s="195"/>
      <c r="J218" s="195"/>
      <c r="K218" s="192">
        <v>7875801</v>
      </c>
      <c r="L218" s="192">
        <v>1208747</v>
      </c>
      <c r="M218" s="192">
        <v>22122763</v>
      </c>
      <c r="N218" s="192">
        <v>15068785</v>
      </c>
      <c r="O218" s="192">
        <v>181654</v>
      </c>
      <c r="P218" s="192" t="s">
        <v>987</v>
      </c>
      <c r="Q218" s="192">
        <v>583027</v>
      </c>
      <c r="R218" s="192" t="s">
        <v>987</v>
      </c>
      <c r="S218" s="192">
        <v>7196970</v>
      </c>
      <c r="T218" s="192">
        <v>1134528</v>
      </c>
      <c r="U218" s="192">
        <v>18628756</v>
      </c>
      <c r="V218" s="192">
        <v>14106940</v>
      </c>
      <c r="W218" s="192">
        <v>229517</v>
      </c>
      <c r="X218" s="192">
        <v>6500358</v>
      </c>
      <c r="Y218" s="192">
        <v>552999</v>
      </c>
      <c r="Z218" s="192">
        <v>47797069</v>
      </c>
      <c r="AA218" s="193">
        <v>678831</v>
      </c>
      <c r="AB218" s="193">
        <v>74219</v>
      </c>
      <c r="AC218" s="193">
        <v>3494007</v>
      </c>
      <c r="AD218" s="193">
        <v>961845</v>
      </c>
      <c r="AE218" s="193">
        <v>-47863</v>
      </c>
      <c r="AF218" s="193" t="s">
        <v>985</v>
      </c>
      <c r="AG218" s="193">
        <v>30028</v>
      </c>
      <c r="AH218" s="193" t="s">
        <v>985</v>
      </c>
      <c r="AI218" s="194">
        <v>9.4321777081188323</v>
      </c>
      <c r="AJ218" s="194">
        <v>6.5418394257347554</v>
      </c>
      <c r="AK218" s="194">
        <v>18.755986712156194</v>
      </c>
      <c r="AL218" s="194">
        <v>6.8182398167143266</v>
      </c>
      <c r="AM218" s="194">
        <v>-20.853792965226976</v>
      </c>
      <c r="AN218" s="194" t="s">
        <v>985</v>
      </c>
      <c r="AO218" s="194">
        <v>5.4300279024012701</v>
      </c>
      <c r="AP218" s="194" t="s">
        <v>985</v>
      </c>
    </row>
    <row r="219" spans="1:42" ht="12" customHeight="1">
      <c r="A219" s="189" t="s">
        <v>801</v>
      </c>
      <c r="B219" s="189"/>
      <c r="C219" s="189" t="s">
        <v>188</v>
      </c>
      <c r="D219" s="189" t="s">
        <v>756</v>
      </c>
      <c r="E219" s="189" t="s">
        <v>874</v>
      </c>
      <c r="F219" s="190" t="s">
        <v>721</v>
      </c>
      <c r="G219" s="189" t="s">
        <v>686</v>
      </c>
      <c r="H219" s="197"/>
      <c r="I219" s="195"/>
      <c r="J219" s="195"/>
      <c r="K219" s="192">
        <v>12960661</v>
      </c>
      <c r="L219" s="192">
        <v>5010821</v>
      </c>
      <c r="M219" s="192">
        <v>37470577</v>
      </c>
      <c r="N219" s="192">
        <v>28017573</v>
      </c>
      <c r="O219" s="192">
        <v>541741</v>
      </c>
      <c r="P219" s="192">
        <v>12484800</v>
      </c>
      <c r="Q219" s="192">
        <v>1362648</v>
      </c>
      <c r="R219" s="192">
        <v>96486173</v>
      </c>
      <c r="S219" s="192" t="s">
        <v>987</v>
      </c>
      <c r="T219" s="192">
        <v>4921717</v>
      </c>
      <c r="U219" s="192">
        <v>31887039</v>
      </c>
      <c r="V219" s="192">
        <v>25457204</v>
      </c>
      <c r="W219" s="192">
        <v>476923</v>
      </c>
      <c r="X219" s="192">
        <v>11401454</v>
      </c>
      <c r="Y219" s="192">
        <v>1324198</v>
      </c>
      <c r="Z219" s="192" t="s">
        <v>987</v>
      </c>
      <c r="AA219" s="193" t="s">
        <v>985</v>
      </c>
      <c r="AB219" s="193">
        <v>89104</v>
      </c>
      <c r="AC219" s="193">
        <v>5583538</v>
      </c>
      <c r="AD219" s="193">
        <v>2560369</v>
      </c>
      <c r="AE219" s="193">
        <v>64818</v>
      </c>
      <c r="AF219" s="193">
        <v>1083346</v>
      </c>
      <c r="AG219" s="193">
        <v>38450</v>
      </c>
      <c r="AH219" s="193" t="s">
        <v>985</v>
      </c>
      <c r="AI219" s="194" t="s">
        <v>985</v>
      </c>
      <c r="AJ219" s="194">
        <v>1.8104251016464377</v>
      </c>
      <c r="AK219" s="194">
        <v>17.510368397642694</v>
      </c>
      <c r="AL219" s="194">
        <v>10.057542061571255</v>
      </c>
      <c r="AM219" s="194">
        <v>13.590873159818251</v>
      </c>
      <c r="AN219" s="194">
        <v>9.5018231885161306</v>
      </c>
      <c r="AO219" s="194">
        <v>2.9036443190519847</v>
      </c>
      <c r="AP219" s="194" t="s">
        <v>985</v>
      </c>
    </row>
    <row r="220" spans="1:42" ht="12" customHeight="1">
      <c r="A220" s="189" t="s">
        <v>535</v>
      </c>
      <c r="B220" s="189"/>
      <c r="C220" s="189" t="s">
        <v>179</v>
      </c>
      <c r="D220" s="189" t="s">
        <v>756</v>
      </c>
      <c r="E220" s="189" t="s">
        <v>879</v>
      </c>
      <c r="F220" s="190" t="s">
        <v>721</v>
      </c>
      <c r="G220" s="189" t="s">
        <v>686</v>
      </c>
      <c r="H220" s="197"/>
      <c r="I220" s="195"/>
      <c r="J220" s="195"/>
      <c r="K220" s="192">
        <v>14777721</v>
      </c>
      <c r="L220" s="192">
        <v>9967749</v>
      </c>
      <c r="M220" s="192">
        <v>57220583</v>
      </c>
      <c r="N220" s="192">
        <v>50038027</v>
      </c>
      <c r="O220" s="192">
        <v>553964</v>
      </c>
      <c r="P220" s="192">
        <v>18645308</v>
      </c>
      <c r="Q220" s="192">
        <v>2003358</v>
      </c>
      <c r="R220" s="192">
        <v>151203352</v>
      </c>
      <c r="S220" s="192">
        <v>13899707</v>
      </c>
      <c r="T220" s="192">
        <v>10047076</v>
      </c>
      <c r="U220" s="192">
        <v>49034619</v>
      </c>
      <c r="V220" s="192">
        <v>45322810</v>
      </c>
      <c r="W220" s="192">
        <v>661005</v>
      </c>
      <c r="X220" s="192">
        <v>17155045</v>
      </c>
      <c r="Y220" s="192">
        <v>1937992</v>
      </c>
      <c r="Z220" s="192">
        <v>136120262</v>
      </c>
      <c r="AA220" s="193">
        <v>878014</v>
      </c>
      <c r="AB220" s="193">
        <v>-79327</v>
      </c>
      <c r="AC220" s="193">
        <v>8185964</v>
      </c>
      <c r="AD220" s="193">
        <v>4715217</v>
      </c>
      <c r="AE220" s="193">
        <v>-107041</v>
      </c>
      <c r="AF220" s="193">
        <v>1490263</v>
      </c>
      <c r="AG220" s="193">
        <v>65366</v>
      </c>
      <c r="AH220" s="193">
        <v>15083090</v>
      </c>
      <c r="AI220" s="194">
        <v>6.3167806342968227</v>
      </c>
      <c r="AJ220" s="194">
        <v>-0.78955309982725319</v>
      </c>
      <c r="AK220" s="194">
        <v>16.694254318566234</v>
      </c>
      <c r="AL220" s="194">
        <v>10.403628989464687</v>
      </c>
      <c r="AM220" s="194">
        <v>-16.193674783095439</v>
      </c>
      <c r="AN220" s="194">
        <v>8.6870247207162681</v>
      </c>
      <c r="AO220" s="194">
        <v>3.3728725402375246</v>
      </c>
      <c r="AP220" s="194">
        <v>11.080708910184143</v>
      </c>
    </row>
    <row r="221" spans="1:42" ht="12" customHeight="1">
      <c r="A221" s="189" t="s">
        <v>536</v>
      </c>
      <c r="B221" s="189"/>
      <c r="C221" s="189" t="s">
        <v>180</v>
      </c>
      <c r="D221" s="189" t="s">
        <v>756</v>
      </c>
      <c r="E221" s="189" t="s">
        <v>879</v>
      </c>
      <c r="F221" s="190" t="s">
        <v>721</v>
      </c>
      <c r="G221" s="189" t="s">
        <v>686</v>
      </c>
      <c r="H221" s="197"/>
      <c r="I221" s="195"/>
      <c r="J221" s="195"/>
      <c r="K221" s="192">
        <v>19162259</v>
      </c>
      <c r="L221" s="192">
        <v>5888936</v>
      </c>
      <c r="M221" s="192">
        <v>62345686</v>
      </c>
      <c r="N221" s="192">
        <v>55202786</v>
      </c>
      <c r="O221" s="192">
        <v>684942</v>
      </c>
      <c r="P221" s="192">
        <v>19609992</v>
      </c>
      <c r="Q221" s="192">
        <v>2038640</v>
      </c>
      <c r="R221" s="192">
        <v>162894601</v>
      </c>
      <c r="S221" s="192">
        <v>18221860</v>
      </c>
      <c r="T221" s="192">
        <v>5364244</v>
      </c>
      <c r="U221" s="192">
        <v>52259797</v>
      </c>
      <c r="V221" s="192">
        <v>51117223</v>
      </c>
      <c r="W221" s="192">
        <v>706321</v>
      </c>
      <c r="X221" s="192">
        <v>18041996</v>
      </c>
      <c r="Y221" s="192">
        <v>1810143</v>
      </c>
      <c r="Z221" s="192">
        <v>145711441</v>
      </c>
      <c r="AA221" s="193">
        <v>940399</v>
      </c>
      <c r="AB221" s="193">
        <v>524692</v>
      </c>
      <c r="AC221" s="193">
        <v>10085889</v>
      </c>
      <c r="AD221" s="193">
        <v>4085563</v>
      </c>
      <c r="AE221" s="193">
        <v>-21379</v>
      </c>
      <c r="AF221" s="193">
        <v>1567996</v>
      </c>
      <c r="AG221" s="193">
        <v>228497</v>
      </c>
      <c r="AH221" s="193">
        <v>17183160</v>
      </c>
      <c r="AI221" s="194">
        <v>5.1608288067189632</v>
      </c>
      <c r="AJ221" s="194">
        <v>9.7812851167843959</v>
      </c>
      <c r="AK221" s="194">
        <v>19.299518136283613</v>
      </c>
      <c r="AL221" s="194">
        <v>7.9925370750285083</v>
      </c>
      <c r="AM221" s="194">
        <v>-3.0268107560160322</v>
      </c>
      <c r="AN221" s="194">
        <v>8.6908122582445966</v>
      </c>
      <c r="AO221" s="194">
        <v>12.623146348106198</v>
      </c>
      <c r="AP221" s="194">
        <v>11.792594927394891</v>
      </c>
    </row>
    <row r="222" spans="1:42" ht="12" customHeight="1">
      <c r="A222" s="189" t="s">
        <v>537</v>
      </c>
      <c r="B222" s="189"/>
      <c r="C222" s="189" t="s">
        <v>181</v>
      </c>
      <c r="D222" s="189" t="s">
        <v>756</v>
      </c>
      <c r="E222" s="189" t="s">
        <v>876</v>
      </c>
      <c r="F222" s="190" t="s">
        <v>721</v>
      </c>
      <c r="G222" s="189" t="s">
        <v>686</v>
      </c>
      <c r="H222" s="279"/>
      <c r="I222" s="195"/>
      <c r="J222" s="195"/>
      <c r="K222" s="192">
        <v>6340527</v>
      </c>
      <c r="L222" s="192">
        <v>2337374</v>
      </c>
      <c r="M222" s="192">
        <v>18354427</v>
      </c>
      <c r="N222" s="192">
        <v>14887767</v>
      </c>
      <c r="O222" s="192">
        <v>16632</v>
      </c>
      <c r="P222" s="192">
        <v>6276507</v>
      </c>
      <c r="Q222" s="192">
        <v>590389</v>
      </c>
      <c r="R222" s="192">
        <v>48213234</v>
      </c>
      <c r="S222" s="192">
        <v>5964404</v>
      </c>
      <c r="T222" s="192">
        <v>2237625</v>
      </c>
      <c r="U222" s="192">
        <v>16234185</v>
      </c>
      <c r="V222" s="192">
        <v>14527409</v>
      </c>
      <c r="W222" s="192">
        <v>29587</v>
      </c>
      <c r="X222" s="192">
        <v>6028564</v>
      </c>
      <c r="Y222" s="192">
        <v>561126</v>
      </c>
      <c r="Z222" s="192">
        <v>45021774</v>
      </c>
      <c r="AA222" s="193">
        <v>376123</v>
      </c>
      <c r="AB222" s="193">
        <v>99749</v>
      </c>
      <c r="AC222" s="193">
        <v>2120242</v>
      </c>
      <c r="AD222" s="193">
        <v>360358</v>
      </c>
      <c r="AE222" s="193">
        <v>-12955</v>
      </c>
      <c r="AF222" s="193">
        <v>247943</v>
      </c>
      <c r="AG222" s="193">
        <v>29263</v>
      </c>
      <c r="AH222" s="193">
        <v>3191460</v>
      </c>
      <c r="AI222" s="194">
        <v>6.3061288269540423</v>
      </c>
      <c r="AJ222" s="194">
        <v>4.4578068264342772</v>
      </c>
      <c r="AK222" s="194">
        <v>13.060353815112984</v>
      </c>
      <c r="AL222" s="194">
        <v>2.4805386838079659</v>
      </c>
      <c r="AM222" s="194">
        <v>-43.78612228343529</v>
      </c>
      <c r="AN222" s="194">
        <v>4.112803646108758</v>
      </c>
      <c r="AO222" s="194">
        <v>5.215049739274245</v>
      </c>
      <c r="AP222" s="194">
        <v>7.0887033460742792</v>
      </c>
    </row>
    <row r="223" spans="1:42" ht="12" customHeight="1">
      <c r="A223" s="189" t="s">
        <v>538</v>
      </c>
      <c r="B223" s="189"/>
      <c r="C223" s="189" t="s">
        <v>183</v>
      </c>
      <c r="D223" s="189" t="s">
        <v>755</v>
      </c>
      <c r="E223" s="189" t="s">
        <v>880</v>
      </c>
      <c r="F223" s="190" t="s">
        <v>721</v>
      </c>
      <c r="G223" s="189" t="s">
        <v>686</v>
      </c>
      <c r="H223" s="197"/>
      <c r="I223" s="195"/>
      <c r="J223" s="195"/>
      <c r="K223" s="192">
        <v>16628575.600000001</v>
      </c>
      <c r="L223" s="192">
        <v>6875623.0000000009</v>
      </c>
      <c r="M223" s="192">
        <v>53288215.640000015</v>
      </c>
      <c r="N223" s="192">
        <v>52061727.790000007</v>
      </c>
      <c r="O223" s="192">
        <v>1360947.3200000003</v>
      </c>
      <c r="P223" s="192">
        <v>17471569.019999996</v>
      </c>
      <c r="Q223" s="192">
        <v>558476.09999999986</v>
      </c>
      <c r="R223" s="192">
        <v>147686658.37</v>
      </c>
      <c r="S223" s="192">
        <v>14863021.340000002</v>
      </c>
      <c r="T223" s="192">
        <v>8064133.040000001</v>
      </c>
      <c r="U223" s="192">
        <v>45064139.969999999</v>
      </c>
      <c r="V223" s="192">
        <v>48707698.859999992</v>
      </c>
      <c r="W223" s="192">
        <v>1122539.3900000001</v>
      </c>
      <c r="X223" s="192">
        <v>16041284.199999999</v>
      </c>
      <c r="Y223" s="192">
        <v>489436.57</v>
      </c>
      <c r="Z223" s="192">
        <v>133862816.79999998</v>
      </c>
      <c r="AA223" s="193">
        <v>1765554.2599999998</v>
      </c>
      <c r="AB223" s="193">
        <v>-1188510.04</v>
      </c>
      <c r="AC223" s="193">
        <v>8224075.6700000167</v>
      </c>
      <c r="AD223" s="193">
        <v>3354028.9300000146</v>
      </c>
      <c r="AE223" s="193">
        <v>238407.93000000017</v>
      </c>
      <c r="AF223" s="193">
        <v>1430284.8199999966</v>
      </c>
      <c r="AG223" s="193">
        <v>69039.529999999853</v>
      </c>
      <c r="AH223" s="193">
        <v>13823841.570000023</v>
      </c>
      <c r="AI223" s="194">
        <v>11.878838222807797</v>
      </c>
      <c r="AJ223" s="194">
        <v>-14.738224606473008</v>
      </c>
      <c r="AK223" s="194">
        <v>18.249711800724324</v>
      </c>
      <c r="AL223" s="194">
        <v>6.8860344637517432</v>
      </c>
      <c r="AM223" s="194">
        <v>21.238268529712808</v>
      </c>
      <c r="AN223" s="194">
        <v>8.9162737980790627</v>
      </c>
      <c r="AO223" s="194">
        <v>14.105919792630095</v>
      </c>
      <c r="AP223" s="194">
        <v>10.326871868125835</v>
      </c>
    </row>
    <row r="224" spans="1:42" ht="12" customHeight="1">
      <c r="A224" s="189" t="s">
        <v>539</v>
      </c>
      <c r="B224" s="189"/>
      <c r="C224" s="189" t="s">
        <v>187</v>
      </c>
      <c r="D224" s="189" t="s">
        <v>755</v>
      </c>
      <c r="E224" s="189" t="s">
        <v>880</v>
      </c>
      <c r="F224" s="190" t="s">
        <v>721</v>
      </c>
      <c r="G224" s="189" t="s">
        <v>686</v>
      </c>
      <c r="H224" s="197"/>
      <c r="I224" s="195"/>
      <c r="J224" s="195"/>
      <c r="K224" s="192">
        <v>84809634.289999992</v>
      </c>
      <c r="L224" s="192">
        <v>30051455.699999999</v>
      </c>
      <c r="M224" s="192">
        <v>235747423.02000004</v>
      </c>
      <c r="N224" s="192">
        <v>227149817.91000003</v>
      </c>
      <c r="O224" s="192">
        <v>3499247.44</v>
      </c>
      <c r="P224" s="192">
        <v>80025481.159999996</v>
      </c>
      <c r="Q224" s="192">
        <v>6453984.2600000007</v>
      </c>
      <c r="R224" s="192">
        <v>661283059.5200001</v>
      </c>
      <c r="S224" s="192">
        <v>83861038.75</v>
      </c>
      <c r="T224" s="192">
        <v>42258358.709999993</v>
      </c>
      <c r="U224" s="192">
        <v>207562795.07999995</v>
      </c>
      <c r="V224" s="192">
        <v>227505093.40000001</v>
      </c>
      <c r="W224" s="192">
        <v>4199843.26</v>
      </c>
      <c r="X224" s="192">
        <v>77797984.209999979</v>
      </c>
      <c r="Y224" s="192">
        <v>6440012.1600000011</v>
      </c>
      <c r="Z224" s="192">
        <v>643185113.40999985</v>
      </c>
      <c r="AA224" s="193">
        <v>948595.53999999166</v>
      </c>
      <c r="AB224" s="193">
        <v>-12206903.009999994</v>
      </c>
      <c r="AC224" s="193">
        <v>28184627.940000087</v>
      </c>
      <c r="AD224" s="193">
        <v>-355275.48999997973</v>
      </c>
      <c r="AE224" s="193">
        <v>-700595.81999999983</v>
      </c>
      <c r="AF224" s="193">
        <v>2227496.9500000179</v>
      </c>
      <c r="AG224" s="193">
        <v>13972.099999999627</v>
      </c>
      <c r="AH224" s="193">
        <v>18097946.110000253</v>
      </c>
      <c r="AI224" s="194">
        <v>1.1311516696422887</v>
      </c>
      <c r="AJ224" s="194">
        <v>-28.886363272578684</v>
      </c>
      <c r="AK224" s="194">
        <v>13.578843900775675</v>
      </c>
      <c r="AL224" s="194">
        <v>-0.15616155431532844</v>
      </c>
      <c r="AM224" s="194">
        <v>-16.681475393917435</v>
      </c>
      <c r="AN224" s="194">
        <v>2.8631808042575226</v>
      </c>
      <c r="AO224" s="194">
        <v>0.21695766487496237</v>
      </c>
      <c r="AP224" s="194">
        <v>2.813800526888699</v>
      </c>
    </row>
    <row r="225" spans="1:42" ht="12" customHeight="1">
      <c r="A225" s="189" t="s">
        <v>540</v>
      </c>
      <c r="B225" s="189"/>
      <c r="C225" s="189" t="s">
        <v>189</v>
      </c>
      <c r="D225" s="189" t="s">
        <v>755</v>
      </c>
      <c r="E225" s="189" t="s">
        <v>879</v>
      </c>
      <c r="F225" s="190" t="s">
        <v>721</v>
      </c>
      <c r="G225" s="189" t="s">
        <v>686</v>
      </c>
      <c r="H225" s="197"/>
      <c r="I225" s="195"/>
      <c r="J225" s="195"/>
      <c r="K225" s="192">
        <v>22103121.140000001</v>
      </c>
      <c r="L225" s="192">
        <v>13945631.060000001</v>
      </c>
      <c r="M225" s="192">
        <v>87231265.270000011</v>
      </c>
      <c r="N225" s="192">
        <v>74666555.670000002</v>
      </c>
      <c r="O225" s="192">
        <v>1587216.43</v>
      </c>
      <c r="P225" s="192">
        <v>28432038.589999989</v>
      </c>
      <c r="Q225" s="192">
        <v>2979479.4699999997</v>
      </c>
      <c r="R225" s="192">
        <v>227965828.16000003</v>
      </c>
      <c r="S225" s="192">
        <v>20731468.719999999</v>
      </c>
      <c r="T225" s="192">
        <v>15190117.540000003</v>
      </c>
      <c r="U225" s="192">
        <v>72958433.300000012</v>
      </c>
      <c r="V225" s="192">
        <v>67910850.769999996</v>
      </c>
      <c r="W225" s="192">
        <v>1727887.38</v>
      </c>
      <c r="X225" s="192">
        <v>25793841.270000003</v>
      </c>
      <c r="Y225" s="192">
        <v>2769543.5900000003</v>
      </c>
      <c r="Z225" s="192">
        <v>204312598.98000002</v>
      </c>
      <c r="AA225" s="193">
        <v>1371652.4200000018</v>
      </c>
      <c r="AB225" s="193">
        <v>-1244486.4800000023</v>
      </c>
      <c r="AC225" s="193">
        <v>14272831.969999999</v>
      </c>
      <c r="AD225" s="193">
        <v>6755704.900000006</v>
      </c>
      <c r="AE225" s="193">
        <v>-140670.94999999995</v>
      </c>
      <c r="AF225" s="193">
        <v>2638197.3199999854</v>
      </c>
      <c r="AG225" s="193">
        <v>209935.87999999942</v>
      </c>
      <c r="AH225" s="193">
        <v>23653229.180000007</v>
      </c>
      <c r="AI225" s="194">
        <v>6.6162819360537899</v>
      </c>
      <c r="AJ225" s="194">
        <v>-8.1927376580392277</v>
      </c>
      <c r="AK225" s="194">
        <v>19.562963902077097</v>
      </c>
      <c r="AL225" s="194">
        <v>9.9479020265556404</v>
      </c>
      <c r="AM225" s="194">
        <v>-8.1412105689434444</v>
      </c>
      <c r="AN225" s="194">
        <v>10.228012541382849</v>
      </c>
      <c r="AO225" s="194">
        <v>7.5801616106717207</v>
      </c>
      <c r="AP225" s="194">
        <v>11.576980224462515</v>
      </c>
    </row>
    <row r="226" spans="1:42" ht="12" customHeight="1">
      <c r="A226" s="189" t="s">
        <v>541</v>
      </c>
      <c r="B226" s="189"/>
      <c r="C226" s="189" t="s">
        <v>190</v>
      </c>
      <c r="D226" s="189" t="s">
        <v>756</v>
      </c>
      <c r="E226" s="189" t="s">
        <v>876</v>
      </c>
      <c r="F226" s="190" t="s">
        <v>721</v>
      </c>
      <c r="G226" s="189" t="s">
        <v>686</v>
      </c>
      <c r="H226" s="197"/>
      <c r="I226" s="195"/>
      <c r="J226" s="195"/>
      <c r="K226" s="192">
        <v>6389272</v>
      </c>
      <c r="L226" s="192">
        <v>1264354</v>
      </c>
      <c r="M226" s="192">
        <v>19254943</v>
      </c>
      <c r="N226" s="192">
        <v>13597397</v>
      </c>
      <c r="O226" s="192">
        <v>368747</v>
      </c>
      <c r="P226" s="192">
        <v>6070133</v>
      </c>
      <c r="Q226" s="192">
        <v>551882</v>
      </c>
      <c r="R226" s="192">
        <v>46944846</v>
      </c>
      <c r="S226" s="192">
        <v>5665196</v>
      </c>
      <c r="T226" s="192">
        <v>1031281</v>
      </c>
      <c r="U226" s="192">
        <v>16228967</v>
      </c>
      <c r="V226" s="192">
        <v>12524366</v>
      </c>
      <c r="W226" s="192">
        <v>350865</v>
      </c>
      <c r="X226" s="192">
        <v>5507780</v>
      </c>
      <c r="Y226" s="192">
        <v>498491</v>
      </c>
      <c r="Z226" s="192">
        <v>41308455</v>
      </c>
      <c r="AA226" s="193">
        <v>724076</v>
      </c>
      <c r="AB226" s="193">
        <v>233073</v>
      </c>
      <c r="AC226" s="193">
        <v>3025976</v>
      </c>
      <c r="AD226" s="193">
        <v>1073031</v>
      </c>
      <c r="AE226" s="193">
        <v>17882</v>
      </c>
      <c r="AF226" s="193">
        <v>562353</v>
      </c>
      <c r="AG226" s="193">
        <v>53391</v>
      </c>
      <c r="AH226" s="193">
        <v>5636391</v>
      </c>
      <c r="AI226" s="194">
        <v>12.781128843556338</v>
      </c>
      <c r="AJ226" s="194">
        <v>22.600338801936619</v>
      </c>
      <c r="AK226" s="194">
        <v>18.645524388582466</v>
      </c>
      <c r="AL226" s="194">
        <v>8.5675474511045113</v>
      </c>
      <c r="AM226" s="194">
        <v>5.0965471050118989</v>
      </c>
      <c r="AN226" s="194">
        <v>10.210157268445725</v>
      </c>
      <c r="AO226" s="194">
        <v>10.710524362526105</v>
      </c>
      <c r="AP226" s="194">
        <v>13.64464248299773</v>
      </c>
    </row>
    <row r="227" spans="1:42" ht="12" customHeight="1">
      <c r="A227" s="189" t="s">
        <v>542</v>
      </c>
      <c r="B227" s="189"/>
      <c r="C227" s="189" t="s">
        <v>191</v>
      </c>
      <c r="D227" s="189" t="s">
        <v>755</v>
      </c>
      <c r="E227" s="189" t="s">
        <v>879</v>
      </c>
      <c r="F227" s="190" t="s">
        <v>721</v>
      </c>
      <c r="G227" s="189" t="s">
        <v>686</v>
      </c>
      <c r="H227" s="197"/>
      <c r="I227" s="195"/>
      <c r="J227" s="195"/>
      <c r="K227" s="192">
        <v>16466189.740000002</v>
      </c>
      <c r="L227" s="192">
        <v>10321974.640000002</v>
      </c>
      <c r="M227" s="192">
        <v>59944704.859999985</v>
      </c>
      <c r="N227" s="192">
        <v>50323940.57</v>
      </c>
      <c r="O227" s="192">
        <v>670264.29999999993</v>
      </c>
      <c r="P227" s="192">
        <v>20161668.27</v>
      </c>
      <c r="Q227" s="192">
        <v>1646946.9099999997</v>
      </c>
      <c r="R227" s="192">
        <v>157888742.38</v>
      </c>
      <c r="S227" s="192">
        <v>15355760.48</v>
      </c>
      <c r="T227" s="192">
        <v>9101309.4099999983</v>
      </c>
      <c r="U227" s="192">
        <v>51926885.820000008</v>
      </c>
      <c r="V227" s="192">
        <v>43830234.619999997</v>
      </c>
      <c r="W227" s="192">
        <v>567549.49</v>
      </c>
      <c r="X227" s="192">
        <v>18885901.789999999</v>
      </c>
      <c r="Y227" s="192">
        <v>1534773.5999999996</v>
      </c>
      <c r="Z227" s="192">
        <v>139667641.61000001</v>
      </c>
      <c r="AA227" s="193">
        <v>1110429.2600000016</v>
      </c>
      <c r="AB227" s="193">
        <v>1220665.2300000042</v>
      </c>
      <c r="AC227" s="193">
        <v>8017819.0399999768</v>
      </c>
      <c r="AD227" s="193">
        <v>6493705.950000003</v>
      </c>
      <c r="AE227" s="193">
        <v>102714.80999999994</v>
      </c>
      <c r="AF227" s="193">
        <v>1275766.4800000004</v>
      </c>
      <c r="AG227" s="193">
        <v>112173.31000000006</v>
      </c>
      <c r="AH227" s="193">
        <v>18221100.769999981</v>
      </c>
      <c r="AI227" s="194">
        <v>7.2313530902378433</v>
      </c>
      <c r="AJ227" s="194">
        <v>13.411973761256894</v>
      </c>
      <c r="AK227" s="194">
        <v>15.440592890151439</v>
      </c>
      <c r="AL227" s="194">
        <v>14.815585648352625</v>
      </c>
      <c r="AM227" s="194">
        <v>18.097947722585381</v>
      </c>
      <c r="AN227" s="194">
        <v>6.755126094510949</v>
      </c>
      <c r="AO227" s="194">
        <v>7.3087854781969206</v>
      </c>
      <c r="AP227" s="194">
        <v>13.046043134944274</v>
      </c>
    </row>
    <row r="228" spans="1:42" ht="12" customHeight="1">
      <c r="A228" s="189" t="s">
        <v>543</v>
      </c>
      <c r="B228" s="189"/>
      <c r="C228" s="189" t="s">
        <v>192</v>
      </c>
      <c r="D228" s="189" t="s">
        <v>756</v>
      </c>
      <c r="E228" s="189" t="s">
        <v>879</v>
      </c>
      <c r="F228" s="190" t="s">
        <v>721</v>
      </c>
      <c r="G228" s="189" t="s">
        <v>686</v>
      </c>
      <c r="H228" s="197"/>
      <c r="I228" s="195"/>
      <c r="J228" s="195"/>
      <c r="K228" s="192">
        <v>25067652</v>
      </c>
      <c r="L228" s="192">
        <v>19847987</v>
      </c>
      <c r="M228" s="192">
        <v>112937844</v>
      </c>
      <c r="N228" s="192">
        <v>95737653</v>
      </c>
      <c r="O228" s="192">
        <v>1798244</v>
      </c>
      <c r="P228" s="192">
        <v>33563757</v>
      </c>
      <c r="Q228" s="192">
        <v>2630848</v>
      </c>
      <c r="R228" s="192">
        <v>288953137</v>
      </c>
      <c r="S228" s="192">
        <v>23229636</v>
      </c>
      <c r="T228" s="192">
        <v>18767482</v>
      </c>
      <c r="U228" s="192">
        <v>93897272</v>
      </c>
      <c r="V228" s="192" t="s">
        <v>987</v>
      </c>
      <c r="W228" s="192">
        <v>1581696</v>
      </c>
      <c r="X228" s="192">
        <v>30076439</v>
      </c>
      <c r="Y228" s="192">
        <v>2554990</v>
      </c>
      <c r="Z228" s="192" t="s">
        <v>987</v>
      </c>
      <c r="AA228" s="193">
        <v>1838016</v>
      </c>
      <c r="AB228" s="193">
        <v>1080505</v>
      </c>
      <c r="AC228" s="193">
        <v>19040572</v>
      </c>
      <c r="AD228" s="193" t="s">
        <v>985</v>
      </c>
      <c r="AE228" s="193">
        <v>216548</v>
      </c>
      <c r="AF228" s="193">
        <v>3487318</v>
      </c>
      <c r="AG228" s="193">
        <v>75858</v>
      </c>
      <c r="AH228" s="193" t="s">
        <v>985</v>
      </c>
      <c r="AI228" s="194">
        <v>7.9123753811725681</v>
      </c>
      <c r="AJ228" s="194">
        <v>5.7573253566994227</v>
      </c>
      <c r="AK228" s="194">
        <v>20.278088590262772</v>
      </c>
      <c r="AL228" s="194" t="s">
        <v>985</v>
      </c>
      <c r="AM228" s="194">
        <v>13.690873593914379</v>
      </c>
      <c r="AN228" s="194">
        <v>11.594850041921518</v>
      </c>
      <c r="AO228" s="194">
        <v>2.9690135773525532</v>
      </c>
      <c r="AP228" s="194" t="s">
        <v>985</v>
      </c>
    </row>
    <row r="229" spans="1:42" ht="12" customHeight="1">
      <c r="A229" s="189" t="s">
        <v>892</v>
      </c>
      <c r="B229" s="196"/>
      <c r="C229" s="189" t="s">
        <v>184</v>
      </c>
      <c r="D229" s="189" t="s">
        <v>756</v>
      </c>
      <c r="E229" s="189" t="s">
        <v>880</v>
      </c>
      <c r="F229" s="190" t="s">
        <v>721</v>
      </c>
      <c r="G229" s="189" t="s">
        <v>686</v>
      </c>
      <c r="H229" s="197"/>
      <c r="I229" s="195"/>
      <c r="J229" s="195"/>
      <c r="K229" s="192">
        <v>10391686</v>
      </c>
      <c r="L229" s="192">
        <v>5366058</v>
      </c>
      <c r="M229" s="192">
        <v>42032662</v>
      </c>
      <c r="N229" s="192">
        <v>38332805</v>
      </c>
      <c r="O229" s="192">
        <v>439169</v>
      </c>
      <c r="P229" s="192">
        <v>14103192</v>
      </c>
      <c r="Q229" s="192">
        <v>1491531</v>
      </c>
      <c r="R229" s="192">
        <v>110665572</v>
      </c>
      <c r="S229" s="192">
        <v>9641685</v>
      </c>
      <c r="T229" s="192">
        <v>5653265</v>
      </c>
      <c r="U229" s="192">
        <v>39253243</v>
      </c>
      <c r="V229" s="192">
        <v>35826765</v>
      </c>
      <c r="W229" s="192">
        <v>488087</v>
      </c>
      <c r="X229" s="192">
        <v>13494134</v>
      </c>
      <c r="Y229" s="192">
        <v>1528813</v>
      </c>
      <c r="Z229" s="192">
        <v>104357179</v>
      </c>
      <c r="AA229" s="193">
        <v>750001</v>
      </c>
      <c r="AB229" s="193">
        <v>-287207</v>
      </c>
      <c r="AC229" s="193">
        <v>2779419</v>
      </c>
      <c r="AD229" s="193">
        <v>2506040</v>
      </c>
      <c r="AE229" s="193">
        <v>-48918</v>
      </c>
      <c r="AF229" s="193">
        <v>609058</v>
      </c>
      <c r="AG229" s="193">
        <v>-37282</v>
      </c>
      <c r="AH229" s="193">
        <v>6308393</v>
      </c>
      <c r="AI229" s="194">
        <v>7.7787336964441387</v>
      </c>
      <c r="AJ229" s="194">
        <v>-5.0803739078214099</v>
      </c>
      <c r="AK229" s="194">
        <v>7.0807372527156547</v>
      </c>
      <c r="AL229" s="194">
        <v>6.9948821781704265</v>
      </c>
      <c r="AM229" s="194">
        <v>-10.022393548691115</v>
      </c>
      <c r="AN229" s="194">
        <v>4.5135019409174388</v>
      </c>
      <c r="AO229" s="194">
        <v>-2.438623952046457</v>
      </c>
      <c r="AP229" s="194">
        <v>6.0450014655915529</v>
      </c>
    </row>
    <row r="230" spans="1:42" ht="12" customHeight="1">
      <c r="A230" s="189" t="s">
        <v>893</v>
      </c>
      <c r="B230" s="196"/>
      <c r="C230" s="189" t="s">
        <v>185</v>
      </c>
      <c r="D230" s="189" t="s">
        <v>756</v>
      </c>
      <c r="E230" s="189" t="s">
        <v>880</v>
      </c>
      <c r="F230" s="190" t="s">
        <v>721</v>
      </c>
      <c r="G230" s="189" t="s">
        <v>686</v>
      </c>
      <c r="H230" s="197"/>
      <c r="I230" s="195"/>
      <c r="J230" s="195"/>
      <c r="K230" s="192">
        <v>11174493</v>
      </c>
      <c r="L230" s="192">
        <v>5394194</v>
      </c>
      <c r="M230" s="192">
        <v>46780032</v>
      </c>
      <c r="N230" s="192">
        <v>52082556</v>
      </c>
      <c r="O230" s="192">
        <v>494526</v>
      </c>
      <c r="P230" s="192">
        <v>15074862</v>
      </c>
      <c r="Q230" s="192">
        <v>1744389</v>
      </c>
      <c r="R230" s="192">
        <v>131000663</v>
      </c>
      <c r="S230" s="192">
        <v>10561553</v>
      </c>
      <c r="T230" s="192">
        <v>4074718</v>
      </c>
      <c r="U230" s="192">
        <v>39797047</v>
      </c>
      <c r="V230" s="192">
        <v>45426917</v>
      </c>
      <c r="W230" s="192">
        <v>463053</v>
      </c>
      <c r="X230" s="192">
        <v>14026019</v>
      </c>
      <c r="Y230" s="192">
        <v>1271758</v>
      </c>
      <c r="Z230" s="192">
        <v>114349307</v>
      </c>
      <c r="AA230" s="193">
        <v>612940</v>
      </c>
      <c r="AB230" s="193">
        <v>1319476</v>
      </c>
      <c r="AC230" s="193">
        <v>6982985</v>
      </c>
      <c r="AD230" s="193">
        <v>6655639</v>
      </c>
      <c r="AE230" s="193">
        <v>31473</v>
      </c>
      <c r="AF230" s="193">
        <v>1048843</v>
      </c>
      <c r="AG230" s="193">
        <v>472631</v>
      </c>
      <c r="AH230" s="193">
        <v>16651356</v>
      </c>
      <c r="AI230" s="194">
        <v>5.8035025720175808</v>
      </c>
      <c r="AJ230" s="194">
        <v>32.382020056357277</v>
      </c>
      <c r="AK230" s="194">
        <v>17.54649032125424</v>
      </c>
      <c r="AL230" s="194">
        <v>14.651311247910574</v>
      </c>
      <c r="AM230" s="194">
        <v>6.7968461493608716</v>
      </c>
      <c r="AN230" s="194">
        <v>7.4778381520800741</v>
      </c>
      <c r="AO230" s="194">
        <v>37.163595589726981</v>
      </c>
      <c r="AP230" s="194">
        <v>14.561833767825108</v>
      </c>
    </row>
    <row r="231" spans="1:42" ht="12" customHeight="1">
      <c r="A231" s="189" t="s">
        <v>894</v>
      </c>
      <c r="B231" s="196"/>
      <c r="C231" s="189" t="s">
        <v>182</v>
      </c>
      <c r="D231" s="189" t="s">
        <v>756</v>
      </c>
      <c r="E231" s="189" t="s">
        <v>880</v>
      </c>
      <c r="F231" s="190" t="s">
        <v>721</v>
      </c>
      <c r="G231" s="189" t="s">
        <v>686</v>
      </c>
      <c r="H231" s="197"/>
      <c r="I231" s="195"/>
      <c r="J231" s="195"/>
      <c r="K231" s="192">
        <v>25551145</v>
      </c>
      <c r="L231" s="192">
        <v>6679709</v>
      </c>
      <c r="M231" s="192">
        <v>75682625</v>
      </c>
      <c r="N231" s="192">
        <v>78568456</v>
      </c>
      <c r="O231" s="192">
        <v>741102</v>
      </c>
      <c r="P231" s="192">
        <v>25632636</v>
      </c>
      <c r="Q231" s="192">
        <v>1894060</v>
      </c>
      <c r="R231" s="192">
        <v>212855673</v>
      </c>
      <c r="S231" s="192">
        <v>24050332</v>
      </c>
      <c r="T231" s="192">
        <v>8300764</v>
      </c>
      <c r="U231" s="192">
        <v>64551368</v>
      </c>
      <c r="V231" s="192">
        <v>73952812</v>
      </c>
      <c r="W231" s="192">
        <v>907126</v>
      </c>
      <c r="X231" s="192">
        <v>23454190</v>
      </c>
      <c r="Y231" s="192">
        <v>1791104</v>
      </c>
      <c r="Z231" s="192">
        <v>195216592</v>
      </c>
      <c r="AA231" s="193">
        <v>1500813</v>
      </c>
      <c r="AB231" s="193">
        <v>-1621055</v>
      </c>
      <c r="AC231" s="193">
        <v>11131257</v>
      </c>
      <c r="AD231" s="193">
        <v>4615644</v>
      </c>
      <c r="AE231" s="193">
        <v>-166024</v>
      </c>
      <c r="AF231" s="193">
        <v>2178446</v>
      </c>
      <c r="AG231" s="193">
        <v>102956</v>
      </c>
      <c r="AH231" s="193">
        <v>17639081</v>
      </c>
      <c r="AI231" s="194">
        <v>6.2403005496971931</v>
      </c>
      <c r="AJ231" s="194">
        <v>-19.52898552470592</v>
      </c>
      <c r="AK231" s="194">
        <v>17.244029592060699</v>
      </c>
      <c r="AL231" s="194">
        <v>6.2413367053574653</v>
      </c>
      <c r="AM231" s="194">
        <v>-18.302198371560291</v>
      </c>
      <c r="AN231" s="194">
        <v>9.2880888233616261</v>
      </c>
      <c r="AO231" s="194">
        <v>5.7481865932966478</v>
      </c>
      <c r="AP231" s="194">
        <v>9.0356464167758865</v>
      </c>
    </row>
    <row r="232" spans="1:42" ht="12" customHeight="1">
      <c r="A232" s="189" t="s">
        <v>544</v>
      </c>
      <c r="B232" s="189"/>
      <c r="C232" s="189" t="s">
        <v>193</v>
      </c>
      <c r="D232" s="189" t="s">
        <v>755</v>
      </c>
      <c r="E232" s="189" t="s">
        <v>882</v>
      </c>
      <c r="F232" s="190" t="s">
        <v>721</v>
      </c>
      <c r="G232" s="189" t="s">
        <v>686</v>
      </c>
      <c r="H232" s="197"/>
      <c r="I232" s="195"/>
      <c r="J232" s="195"/>
      <c r="K232" s="192">
        <v>27342964.450000003</v>
      </c>
      <c r="L232" s="192">
        <v>17301967.579999998</v>
      </c>
      <c r="M232" s="192">
        <v>92139007.999999985</v>
      </c>
      <c r="N232" s="192">
        <v>71638960.550000012</v>
      </c>
      <c r="O232" s="192">
        <v>1135986.6499999999</v>
      </c>
      <c r="P232" s="192">
        <v>30506452.030000005</v>
      </c>
      <c r="Q232" s="192">
        <v>4388687.1500000004</v>
      </c>
      <c r="R232" s="192">
        <v>240065339.25999999</v>
      </c>
      <c r="S232" s="192">
        <v>26012992.850000005</v>
      </c>
      <c r="T232" s="192">
        <v>15311274.440000001</v>
      </c>
      <c r="U232" s="192">
        <v>79824528.060000017</v>
      </c>
      <c r="V232" s="192">
        <v>69455846.390000001</v>
      </c>
      <c r="W232" s="192">
        <v>1212169.1499999999</v>
      </c>
      <c r="X232" s="192">
        <v>28653271.289999995</v>
      </c>
      <c r="Y232" s="192">
        <v>4151565.48</v>
      </c>
      <c r="Z232" s="192">
        <v>220470082.18000001</v>
      </c>
      <c r="AA232" s="193">
        <v>1329971.5999999978</v>
      </c>
      <c r="AB232" s="193">
        <v>1990693.1399999969</v>
      </c>
      <c r="AC232" s="193">
        <v>12314479.939999968</v>
      </c>
      <c r="AD232" s="193">
        <v>2183114.1600000113</v>
      </c>
      <c r="AE232" s="193">
        <v>-76182.5</v>
      </c>
      <c r="AF232" s="193">
        <v>1853180.7400000095</v>
      </c>
      <c r="AG232" s="193">
        <v>237121.67000000039</v>
      </c>
      <c r="AH232" s="193">
        <v>19595257.079999983</v>
      </c>
      <c r="AI232" s="194">
        <v>5.1127204303982943</v>
      </c>
      <c r="AJ232" s="194">
        <v>13.001485590248468</v>
      </c>
      <c r="AK232" s="194">
        <v>15.42693735783042</v>
      </c>
      <c r="AL232" s="194">
        <v>3.1431683198296292</v>
      </c>
      <c r="AM232" s="194">
        <v>-6.2848076937117234</v>
      </c>
      <c r="AN232" s="194">
        <v>6.467606163512543</v>
      </c>
      <c r="AO232" s="194">
        <v>5.7116206197957018</v>
      </c>
      <c r="AP232" s="194">
        <v>8.8879438362986978</v>
      </c>
    </row>
    <row r="233" spans="1:42" ht="12" customHeight="1">
      <c r="A233" s="189" t="s">
        <v>545</v>
      </c>
      <c r="B233" s="189"/>
      <c r="C233" s="189" t="s">
        <v>194</v>
      </c>
      <c r="D233" s="189" t="s">
        <v>755</v>
      </c>
      <c r="E233" s="189" t="s">
        <v>879</v>
      </c>
      <c r="F233" s="190" t="s">
        <v>721</v>
      </c>
      <c r="G233" s="189" t="s">
        <v>686</v>
      </c>
      <c r="H233" s="197"/>
      <c r="I233" s="195"/>
      <c r="J233" s="195"/>
      <c r="K233" s="192">
        <v>13255260.620000001</v>
      </c>
      <c r="L233" s="192">
        <v>6570997.5399999991</v>
      </c>
      <c r="M233" s="192">
        <v>45578622.499999993</v>
      </c>
      <c r="N233" s="192">
        <v>32226832.210000001</v>
      </c>
      <c r="O233" s="192">
        <v>454690.02999999997</v>
      </c>
      <c r="P233" s="192">
        <v>14382969.540000003</v>
      </c>
      <c r="Q233" s="192">
        <v>1490918.3700000003</v>
      </c>
      <c r="R233" s="192">
        <v>112469372.44000001</v>
      </c>
      <c r="S233" s="192">
        <v>12235948.909999998</v>
      </c>
      <c r="T233" s="192">
        <v>4503882.7799999993</v>
      </c>
      <c r="U233" s="192">
        <v>39610795.929999992</v>
      </c>
      <c r="V233" s="192">
        <v>31218290.52</v>
      </c>
      <c r="W233" s="192">
        <v>706075.07</v>
      </c>
      <c r="X233" s="192">
        <v>13516360.239999998</v>
      </c>
      <c r="Y233" s="192">
        <v>1317175.75</v>
      </c>
      <c r="Z233" s="192">
        <v>101791353.44999997</v>
      </c>
      <c r="AA233" s="193">
        <v>1019311.7100000028</v>
      </c>
      <c r="AB233" s="193">
        <v>2067114.7599999998</v>
      </c>
      <c r="AC233" s="193">
        <v>5967826.5700000003</v>
      </c>
      <c r="AD233" s="193">
        <v>1008541.6900000013</v>
      </c>
      <c r="AE233" s="193">
        <v>-251385.03999999998</v>
      </c>
      <c r="AF233" s="193">
        <v>866609.30000000447</v>
      </c>
      <c r="AG233" s="193">
        <v>173742.62000000034</v>
      </c>
      <c r="AH233" s="193">
        <v>10678018.990000039</v>
      </c>
      <c r="AI233" s="194">
        <v>8.3304671954535223</v>
      </c>
      <c r="AJ233" s="194">
        <v>45.896282407243291</v>
      </c>
      <c r="AK233" s="194">
        <v>15.066161711434212</v>
      </c>
      <c r="AL233" s="194">
        <v>3.2306115203645729</v>
      </c>
      <c r="AM233" s="194">
        <v>-35.6031604401498</v>
      </c>
      <c r="AN233" s="194">
        <v>6.41155817551667</v>
      </c>
      <c r="AO233" s="194">
        <v>13.190541960706485</v>
      </c>
      <c r="AP233" s="194">
        <v>10.490104147446171</v>
      </c>
    </row>
    <row r="234" spans="1:42" ht="12" customHeight="1">
      <c r="A234" s="189" t="s">
        <v>802</v>
      </c>
      <c r="B234" s="189"/>
      <c r="C234" s="189" t="s">
        <v>178</v>
      </c>
      <c r="D234" s="189" t="s">
        <v>755</v>
      </c>
      <c r="E234" s="189" t="s">
        <v>876</v>
      </c>
      <c r="F234" s="190" t="s">
        <v>721</v>
      </c>
      <c r="G234" s="189" t="s">
        <v>686</v>
      </c>
      <c r="H234" s="197"/>
      <c r="I234" s="195"/>
      <c r="J234" s="195"/>
      <c r="K234" s="192">
        <v>6756010.3200000003</v>
      </c>
      <c r="L234" s="192">
        <v>4007637.4699999997</v>
      </c>
      <c r="M234" s="192">
        <v>22360199.469999995</v>
      </c>
      <c r="N234" s="192">
        <v>13915323.629999999</v>
      </c>
      <c r="O234" s="192">
        <v>361826.88999999996</v>
      </c>
      <c r="P234" s="192">
        <v>7290006.3400000017</v>
      </c>
      <c r="Q234" s="192">
        <v>645393.86</v>
      </c>
      <c r="R234" s="192">
        <v>54691004.119999997</v>
      </c>
      <c r="S234" s="192">
        <v>6606272.1699999999</v>
      </c>
      <c r="T234" s="192">
        <v>3951284.4400000004</v>
      </c>
      <c r="U234" s="192">
        <v>20011030.290000003</v>
      </c>
      <c r="V234" s="192">
        <v>13422182.779999999</v>
      </c>
      <c r="W234" s="192">
        <v>334885</v>
      </c>
      <c r="X234" s="192">
        <v>6958602.0800000001</v>
      </c>
      <c r="Y234" s="192">
        <v>654284.64</v>
      </c>
      <c r="Z234" s="192">
        <v>51284256.759999998</v>
      </c>
      <c r="AA234" s="193">
        <v>149738.15000000037</v>
      </c>
      <c r="AB234" s="193">
        <v>56353.029999999329</v>
      </c>
      <c r="AC234" s="193">
        <v>2349169.1799999923</v>
      </c>
      <c r="AD234" s="193">
        <v>493140.84999999963</v>
      </c>
      <c r="AE234" s="193">
        <v>26941.889999999956</v>
      </c>
      <c r="AF234" s="193">
        <v>331404.26000000164</v>
      </c>
      <c r="AG234" s="193">
        <v>-8890.7800000000279</v>
      </c>
      <c r="AH234" s="193">
        <v>3406747.3599999994</v>
      </c>
      <c r="AI234" s="194">
        <v>2.2666058277160017</v>
      </c>
      <c r="AJ234" s="194">
        <v>1.4261952247608711</v>
      </c>
      <c r="AK234" s="194">
        <v>11.739371466415346</v>
      </c>
      <c r="AL234" s="194">
        <v>3.6740734207167431</v>
      </c>
      <c r="AM234" s="194">
        <v>8.0451169804559637</v>
      </c>
      <c r="AN234" s="194">
        <v>4.7625120130450345</v>
      </c>
      <c r="AO234" s="194">
        <v>-1.3588550695611665</v>
      </c>
      <c r="AP234" s="194">
        <v>6.6428716632140965</v>
      </c>
    </row>
    <row r="235" spans="1:42" ht="12" customHeight="1">
      <c r="A235" s="189" t="s">
        <v>546</v>
      </c>
      <c r="B235" s="189"/>
      <c r="C235" s="189" t="s">
        <v>195</v>
      </c>
      <c r="D235" s="189" t="s">
        <v>755</v>
      </c>
      <c r="E235" s="189" t="s">
        <v>875</v>
      </c>
      <c r="F235" s="190" t="s">
        <v>721</v>
      </c>
      <c r="G235" s="189" t="s">
        <v>686</v>
      </c>
      <c r="H235" s="197"/>
      <c r="I235" s="195"/>
      <c r="J235" s="195"/>
      <c r="K235" s="192">
        <v>8635458.5999999996</v>
      </c>
      <c r="L235" s="192">
        <v>4143883.3200000003</v>
      </c>
      <c r="M235" s="192">
        <v>30048444.469999999</v>
      </c>
      <c r="N235" s="192">
        <v>21045032.199999999</v>
      </c>
      <c r="O235" s="192">
        <v>408420.8</v>
      </c>
      <c r="P235" s="192">
        <v>9431900.8699999992</v>
      </c>
      <c r="Q235" s="192">
        <v>801847.2</v>
      </c>
      <c r="R235" s="192">
        <v>73713140.260000005</v>
      </c>
      <c r="S235" s="192">
        <v>8090855.2600000007</v>
      </c>
      <c r="T235" s="192">
        <v>3059264.74</v>
      </c>
      <c r="U235" s="192">
        <v>25080843.500000007</v>
      </c>
      <c r="V235" s="192">
        <v>18418993.349999998</v>
      </c>
      <c r="W235" s="192">
        <v>429919.98000000004</v>
      </c>
      <c r="X235" s="192">
        <v>8614300.9700000007</v>
      </c>
      <c r="Y235" s="192">
        <v>774434.65</v>
      </c>
      <c r="Z235" s="192">
        <v>63694177.800000004</v>
      </c>
      <c r="AA235" s="193">
        <v>544603.33999999892</v>
      </c>
      <c r="AB235" s="193">
        <v>1084618.58</v>
      </c>
      <c r="AC235" s="193">
        <v>4967600.9699999914</v>
      </c>
      <c r="AD235" s="193">
        <v>2626038.8500000015</v>
      </c>
      <c r="AE235" s="193">
        <v>-21499.180000000051</v>
      </c>
      <c r="AF235" s="193">
        <v>817599.89999999851</v>
      </c>
      <c r="AG235" s="193">
        <v>27412.54999999993</v>
      </c>
      <c r="AH235" s="193">
        <v>10018962.460000001</v>
      </c>
      <c r="AI235" s="194">
        <v>6.7310973005837562</v>
      </c>
      <c r="AJ235" s="194">
        <v>35.453570454971477</v>
      </c>
      <c r="AK235" s="194">
        <v>19.806355276687523</v>
      </c>
      <c r="AL235" s="194">
        <v>14.257233281426871</v>
      </c>
      <c r="AM235" s="194">
        <v>-5.000739905133055</v>
      </c>
      <c r="AN235" s="194">
        <v>9.4911926440387475</v>
      </c>
      <c r="AO235" s="194">
        <v>3.5396853691915684</v>
      </c>
      <c r="AP235" s="194">
        <v>15.729793218242941</v>
      </c>
    </row>
    <row r="236" spans="1:42" ht="12" customHeight="1">
      <c r="A236" s="189" t="s">
        <v>803</v>
      </c>
      <c r="B236" s="189"/>
      <c r="C236" s="189" t="s">
        <v>742</v>
      </c>
      <c r="D236" s="189" t="s">
        <v>755</v>
      </c>
      <c r="E236" s="189" t="s">
        <v>876</v>
      </c>
      <c r="F236" s="190" t="s">
        <v>721</v>
      </c>
      <c r="G236" s="189" t="s">
        <v>686</v>
      </c>
      <c r="H236" s="197"/>
      <c r="I236" s="195"/>
      <c r="J236" s="195"/>
      <c r="K236" s="192">
        <v>9885304.8200000003</v>
      </c>
      <c r="L236" s="192">
        <v>4227165.74</v>
      </c>
      <c r="M236" s="192">
        <v>34031131.450000003</v>
      </c>
      <c r="N236" s="192">
        <v>21983259.77</v>
      </c>
      <c r="O236" s="192">
        <v>562260.44000000006</v>
      </c>
      <c r="P236" s="192">
        <v>10818892.800000001</v>
      </c>
      <c r="Q236" s="192">
        <v>520677.29</v>
      </c>
      <c r="R236" s="192">
        <v>81508015.019999996</v>
      </c>
      <c r="S236" s="192">
        <v>9042987.9700000007</v>
      </c>
      <c r="T236" s="192">
        <v>3872308.8</v>
      </c>
      <c r="U236" s="192">
        <v>29488656.600000005</v>
      </c>
      <c r="V236" s="192">
        <v>19883445.879999995</v>
      </c>
      <c r="W236" s="192">
        <v>526009.77</v>
      </c>
      <c r="X236" s="192">
        <v>9930906.5999999996</v>
      </c>
      <c r="Y236" s="192">
        <v>465533.28</v>
      </c>
      <c r="Z236" s="192">
        <v>72744315.620000005</v>
      </c>
      <c r="AA236" s="193">
        <v>842316.84999999963</v>
      </c>
      <c r="AB236" s="193">
        <v>354856.94000000041</v>
      </c>
      <c r="AC236" s="193">
        <v>4542474.8499999978</v>
      </c>
      <c r="AD236" s="193">
        <v>2099813.8900000043</v>
      </c>
      <c r="AE236" s="193">
        <v>36250.670000000042</v>
      </c>
      <c r="AF236" s="193">
        <v>887986.20000000112</v>
      </c>
      <c r="AG236" s="193">
        <v>55144.009999999951</v>
      </c>
      <c r="AH236" s="193">
        <v>8763699.3999999911</v>
      </c>
      <c r="AI236" s="194">
        <v>9.3145855417963102</v>
      </c>
      <c r="AJ236" s="194">
        <v>9.1639628533757538</v>
      </c>
      <c r="AK236" s="194">
        <v>15.404143062929482</v>
      </c>
      <c r="AL236" s="194">
        <v>10.560613601247697</v>
      </c>
      <c r="AM236" s="194">
        <v>6.891634351202268</v>
      </c>
      <c r="AN236" s="194">
        <v>8.9416428506134693</v>
      </c>
      <c r="AO236" s="194">
        <v>11.845342184773546</v>
      </c>
      <c r="AP236" s="194">
        <v>12.04726352197688</v>
      </c>
    </row>
    <row r="237" spans="1:42" ht="12" customHeight="1">
      <c r="A237" s="189" t="s">
        <v>547</v>
      </c>
      <c r="B237" s="189"/>
      <c r="C237" s="189" t="s">
        <v>196</v>
      </c>
      <c r="D237" s="189" t="s">
        <v>755</v>
      </c>
      <c r="E237" s="189" t="s">
        <v>878</v>
      </c>
      <c r="F237" s="190" t="s">
        <v>721</v>
      </c>
      <c r="G237" s="189" t="s">
        <v>686</v>
      </c>
      <c r="H237" s="197"/>
      <c r="I237" s="195"/>
      <c r="J237" s="195"/>
      <c r="K237" s="192">
        <v>11285805.689999999</v>
      </c>
      <c r="L237" s="192">
        <v>4973622.0699999994</v>
      </c>
      <c r="M237" s="192">
        <v>40301523.5</v>
      </c>
      <c r="N237" s="192">
        <v>32124287.839999992</v>
      </c>
      <c r="O237" s="192">
        <v>663872.9</v>
      </c>
      <c r="P237" s="192">
        <v>13330221.440000001</v>
      </c>
      <c r="Q237" s="192">
        <v>1069875.6900000002</v>
      </c>
      <c r="R237" s="192">
        <v>102679333.44</v>
      </c>
      <c r="S237" s="192">
        <v>10654927.729999999</v>
      </c>
      <c r="T237" s="192">
        <v>4103160.8999999994</v>
      </c>
      <c r="U237" s="192">
        <v>33751053.050000004</v>
      </c>
      <c r="V237" s="192">
        <v>28784072.440000005</v>
      </c>
      <c r="W237" s="192">
        <v>754763.55</v>
      </c>
      <c r="X237" s="192">
        <v>12090133.880000003</v>
      </c>
      <c r="Y237" s="192">
        <v>924157.58000000007</v>
      </c>
      <c r="Z237" s="192">
        <v>90138111.550000012</v>
      </c>
      <c r="AA237" s="193">
        <v>630877.96000000089</v>
      </c>
      <c r="AB237" s="193">
        <v>870461.16999999993</v>
      </c>
      <c r="AC237" s="193">
        <v>6550470.4499999955</v>
      </c>
      <c r="AD237" s="193">
        <v>3340215.3999999873</v>
      </c>
      <c r="AE237" s="193">
        <v>-90890.650000000023</v>
      </c>
      <c r="AF237" s="193">
        <v>1240087.5599999987</v>
      </c>
      <c r="AG237" s="193">
        <v>145718.1100000001</v>
      </c>
      <c r="AH237" s="193">
        <v>12541221.889999986</v>
      </c>
      <c r="AI237" s="194">
        <v>5.9209970821641695</v>
      </c>
      <c r="AJ237" s="194">
        <v>21.214404972517652</v>
      </c>
      <c r="AK237" s="194">
        <v>19.408195768872446</v>
      </c>
      <c r="AL237" s="194">
        <v>11.604387832759313</v>
      </c>
      <c r="AM237" s="194">
        <v>-12.042268071901461</v>
      </c>
      <c r="AN237" s="194">
        <v>10.257020909019069</v>
      </c>
      <c r="AO237" s="194">
        <v>15.767669189057573</v>
      </c>
      <c r="AP237" s="194">
        <v>13.913339956144204</v>
      </c>
    </row>
    <row r="238" spans="1:42" ht="12" customHeight="1">
      <c r="A238" s="189" t="s">
        <v>804</v>
      </c>
      <c r="B238" s="189"/>
      <c r="C238" s="189" t="s">
        <v>199</v>
      </c>
      <c r="D238" s="189" t="s">
        <v>756</v>
      </c>
      <c r="E238" s="189" t="s">
        <v>879</v>
      </c>
      <c r="F238" s="190" t="s">
        <v>721</v>
      </c>
      <c r="G238" s="189" t="s">
        <v>686</v>
      </c>
      <c r="H238" s="197"/>
      <c r="I238" s="195"/>
      <c r="J238" s="195"/>
      <c r="K238" s="192">
        <v>20997277</v>
      </c>
      <c r="L238" s="192">
        <v>8023521</v>
      </c>
      <c r="M238" s="192">
        <v>68959648</v>
      </c>
      <c r="N238" s="192">
        <v>54344782</v>
      </c>
      <c r="O238" s="192">
        <v>1280307</v>
      </c>
      <c r="P238" s="192">
        <v>22630643</v>
      </c>
      <c r="Q238" s="192">
        <v>2189139</v>
      </c>
      <c r="R238" s="192">
        <v>176236178</v>
      </c>
      <c r="S238" s="192">
        <v>19223807</v>
      </c>
      <c r="T238" s="192">
        <v>8233166</v>
      </c>
      <c r="U238" s="192">
        <v>57408774</v>
      </c>
      <c r="V238" s="192">
        <v>50004686</v>
      </c>
      <c r="W238" s="192">
        <v>1332618</v>
      </c>
      <c r="X238" s="192">
        <v>20668015</v>
      </c>
      <c r="Y238" s="192">
        <v>2035205</v>
      </c>
      <c r="Z238" s="192">
        <v>156871066</v>
      </c>
      <c r="AA238" s="193">
        <v>1773470</v>
      </c>
      <c r="AB238" s="193">
        <v>-209645</v>
      </c>
      <c r="AC238" s="193">
        <v>11550874</v>
      </c>
      <c r="AD238" s="193">
        <v>4340096</v>
      </c>
      <c r="AE238" s="193">
        <v>-52311</v>
      </c>
      <c r="AF238" s="193">
        <v>1962628</v>
      </c>
      <c r="AG238" s="193">
        <v>153934</v>
      </c>
      <c r="AH238" s="193">
        <v>19365112</v>
      </c>
      <c r="AI238" s="194">
        <v>9.2253839210932576</v>
      </c>
      <c r="AJ238" s="194">
        <v>-2.546347298232539</v>
      </c>
      <c r="AK238" s="194">
        <v>20.120398320995321</v>
      </c>
      <c r="AL238" s="194">
        <v>8.6793785686405478</v>
      </c>
      <c r="AM238" s="194">
        <v>-3.9254309937281349</v>
      </c>
      <c r="AN238" s="194">
        <v>9.4959675614711916</v>
      </c>
      <c r="AO238" s="194">
        <v>7.5635623929776115</v>
      </c>
      <c r="AP238" s="194">
        <v>12.344604071218589</v>
      </c>
    </row>
    <row r="239" spans="1:42" ht="12" customHeight="1">
      <c r="A239" s="189" t="s">
        <v>548</v>
      </c>
      <c r="B239" s="189"/>
      <c r="C239" s="189" t="s">
        <v>197</v>
      </c>
      <c r="D239" s="189" t="s">
        <v>756</v>
      </c>
      <c r="E239" s="189" t="s">
        <v>879</v>
      </c>
      <c r="F239" s="190" t="s">
        <v>721</v>
      </c>
      <c r="G239" s="189" t="s">
        <v>686</v>
      </c>
      <c r="H239" s="197"/>
      <c r="I239" s="195"/>
      <c r="J239" s="195"/>
      <c r="K239" s="192">
        <v>14219278</v>
      </c>
      <c r="L239" s="192">
        <v>8976625</v>
      </c>
      <c r="M239" s="192">
        <v>54334471</v>
      </c>
      <c r="N239" s="192">
        <v>44992284</v>
      </c>
      <c r="O239" s="192">
        <v>775265</v>
      </c>
      <c r="P239" s="192">
        <v>18219119</v>
      </c>
      <c r="Q239" s="192">
        <v>2050950</v>
      </c>
      <c r="R239" s="192">
        <v>141517042</v>
      </c>
      <c r="S239" s="192">
        <v>13226412</v>
      </c>
      <c r="T239" s="192">
        <v>8158125</v>
      </c>
      <c r="U239" s="192">
        <v>46505646</v>
      </c>
      <c r="V239" s="192">
        <v>40893590</v>
      </c>
      <c r="W239" s="192">
        <v>843723</v>
      </c>
      <c r="X239" s="192">
        <v>16693514</v>
      </c>
      <c r="Y239" s="192">
        <v>1939979</v>
      </c>
      <c r="Z239" s="192">
        <v>126321010</v>
      </c>
      <c r="AA239" s="193">
        <v>992866</v>
      </c>
      <c r="AB239" s="193">
        <v>818500</v>
      </c>
      <c r="AC239" s="193">
        <v>7828825</v>
      </c>
      <c r="AD239" s="193">
        <v>4098694</v>
      </c>
      <c r="AE239" s="193">
        <v>-68458</v>
      </c>
      <c r="AF239" s="193">
        <v>1525605</v>
      </c>
      <c r="AG239" s="193">
        <v>110971</v>
      </c>
      <c r="AH239" s="193">
        <v>15196032</v>
      </c>
      <c r="AI239" s="194">
        <v>7.5066919131205045</v>
      </c>
      <c r="AJ239" s="194">
        <v>10.032942618555122</v>
      </c>
      <c r="AK239" s="194">
        <v>16.834138805425905</v>
      </c>
      <c r="AL239" s="194">
        <v>10.022827538496864</v>
      </c>
      <c r="AM239" s="194">
        <v>-8.1138003823529754</v>
      </c>
      <c r="AN239" s="194">
        <v>9.1389086803413591</v>
      </c>
      <c r="AO239" s="194">
        <v>5.7202165590452267</v>
      </c>
      <c r="AP239" s="194">
        <v>12.029694822737721</v>
      </c>
    </row>
    <row r="240" spans="1:42" ht="12" customHeight="1">
      <c r="A240" s="189" t="s">
        <v>895</v>
      </c>
      <c r="B240" s="196"/>
      <c r="C240" s="189" t="s">
        <v>186</v>
      </c>
      <c r="D240" s="189" t="s">
        <v>756</v>
      </c>
      <c r="E240" s="189" t="s">
        <v>880</v>
      </c>
      <c r="F240" s="190" t="s">
        <v>721</v>
      </c>
      <c r="G240" s="189" t="s">
        <v>686</v>
      </c>
      <c r="H240" s="197"/>
      <c r="I240" s="195"/>
      <c r="J240" s="195"/>
      <c r="K240" s="192">
        <v>29289243</v>
      </c>
      <c r="L240" s="192">
        <v>8458571</v>
      </c>
      <c r="M240" s="192">
        <v>86107046</v>
      </c>
      <c r="N240" s="192">
        <v>86249533</v>
      </c>
      <c r="O240" s="192">
        <v>1196792</v>
      </c>
      <c r="P240" s="192">
        <v>27753819</v>
      </c>
      <c r="Q240" s="192">
        <v>3329797</v>
      </c>
      <c r="R240" s="192">
        <v>239055004</v>
      </c>
      <c r="S240" s="192">
        <v>27066670</v>
      </c>
      <c r="T240" s="192">
        <v>9848714</v>
      </c>
      <c r="U240" s="192">
        <v>72996743</v>
      </c>
      <c r="V240" s="192">
        <v>80289647</v>
      </c>
      <c r="W240" s="192">
        <v>1368112</v>
      </c>
      <c r="X240" s="192">
        <v>25277725</v>
      </c>
      <c r="Y240" s="192">
        <v>4588248</v>
      </c>
      <c r="Z240" s="192">
        <v>216847611</v>
      </c>
      <c r="AA240" s="193">
        <v>2222573</v>
      </c>
      <c r="AB240" s="193">
        <v>-1390143</v>
      </c>
      <c r="AC240" s="193">
        <v>13110303</v>
      </c>
      <c r="AD240" s="193">
        <v>5959886</v>
      </c>
      <c r="AE240" s="193">
        <v>-171320</v>
      </c>
      <c r="AF240" s="193">
        <v>2476094</v>
      </c>
      <c r="AG240" s="193">
        <v>-1258451</v>
      </c>
      <c r="AH240" s="193">
        <v>22207393</v>
      </c>
      <c r="AI240" s="194">
        <v>8.2114755897197558</v>
      </c>
      <c r="AJ240" s="194">
        <v>-14.114969731073518</v>
      </c>
      <c r="AK240" s="194">
        <v>17.960120494691111</v>
      </c>
      <c r="AL240" s="194">
        <v>7.4229819443595257</v>
      </c>
      <c r="AM240" s="194">
        <v>-12.522366589869835</v>
      </c>
      <c r="AN240" s="194">
        <v>9.7955571555588961</v>
      </c>
      <c r="AO240" s="194">
        <v>-27.427702251491198</v>
      </c>
      <c r="AP240" s="194">
        <v>10.241013446073888</v>
      </c>
    </row>
    <row r="241" spans="1:42" ht="12" customHeight="1">
      <c r="A241" s="189" t="s">
        <v>805</v>
      </c>
      <c r="B241" s="189"/>
      <c r="C241" s="189" t="s">
        <v>198</v>
      </c>
      <c r="D241" s="189" t="s">
        <v>756</v>
      </c>
      <c r="E241" s="189" t="s">
        <v>882</v>
      </c>
      <c r="F241" s="190" t="s">
        <v>721</v>
      </c>
      <c r="G241" s="189" t="s">
        <v>686</v>
      </c>
      <c r="H241" s="197"/>
      <c r="I241" s="195"/>
      <c r="J241" s="195"/>
      <c r="K241" s="192">
        <v>17373532</v>
      </c>
      <c r="L241" s="192">
        <v>5947329</v>
      </c>
      <c r="M241" s="192">
        <v>50771981</v>
      </c>
      <c r="N241" s="192">
        <v>49953300</v>
      </c>
      <c r="O241" s="192">
        <v>394092</v>
      </c>
      <c r="P241" s="192">
        <v>17870317</v>
      </c>
      <c r="Q241" s="192">
        <v>2954079</v>
      </c>
      <c r="R241" s="192">
        <v>142310551</v>
      </c>
      <c r="S241" s="192">
        <v>17317499</v>
      </c>
      <c r="T241" s="192">
        <v>8182510</v>
      </c>
      <c r="U241" s="192">
        <v>43881150</v>
      </c>
      <c r="V241" s="192" t="s">
        <v>987</v>
      </c>
      <c r="W241" s="192">
        <v>482626</v>
      </c>
      <c r="X241" s="192">
        <v>16625136</v>
      </c>
      <c r="Y241" s="192">
        <v>2722845</v>
      </c>
      <c r="Z241" s="192" t="s">
        <v>987</v>
      </c>
      <c r="AA241" s="193">
        <v>56033</v>
      </c>
      <c r="AB241" s="193">
        <v>-2235181</v>
      </c>
      <c r="AC241" s="193">
        <v>6890831</v>
      </c>
      <c r="AD241" s="193" t="s">
        <v>985</v>
      </c>
      <c r="AE241" s="193">
        <v>-88534</v>
      </c>
      <c r="AF241" s="193">
        <v>1245181</v>
      </c>
      <c r="AG241" s="193">
        <v>231234</v>
      </c>
      <c r="AH241" s="193" t="s">
        <v>985</v>
      </c>
      <c r="AI241" s="194">
        <v>0.32356288861341931</v>
      </c>
      <c r="AJ241" s="194">
        <v>-27.316569121210971</v>
      </c>
      <c r="AK241" s="194">
        <v>15.703396560937897</v>
      </c>
      <c r="AL241" s="194" t="s">
        <v>985</v>
      </c>
      <c r="AM241" s="194">
        <v>-18.344225134990655</v>
      </c>
      <c r="AN241" s="194">
        <v>7.489749256788035</v>
      </c>
      <c r="AO241" s="194">
        <v>8.4923673584063728</v>
      </c>
      <c r="AP241" s="194" t="s">
        <v>985</v>
      </c>
    </row>
    <row r="242" spans="1:42" ht="12" customHeight="1">
      <c r="A242" s="189" t="s">
        <v>549</v>
      </c>
      <c r="B242" s="189"/>
      <c r="C242" s="189" t="s">
        <v>200</v>
      </c>
      <c r="D242" s="189" t="s">
        <v>756</v>
      </c>
      <c r="E242" s="189" t="s">
        <v>880</v>
      </c>
      <c r="F242" s="190" t="s">
        <v>721</v>
      </c>
      <c r="G242" s="189" t="s">
        <v>686</v>
      </c>
      <c r="H242" s="197"/>
      <c r="I242" s="195"/>
      <c r="J242" s="195"/>
      <c r="K242" s="192">
        <v>33140361</v>
      </c>
      <c r="L242" s="192">
        <v>20292415</v>
      </c>
      <c r="M242" s="192">
        <v>109698503</v>
      </c>
      <c r="N242" s="192">
        <v>109451432</v>
      </c>
      <c r="O242" s="192">
        <v>1742192</v>
      </c>
      <c r="P242" s="192">
        <v>38246956</v>
      </c>
      <c r="Q242" s="192">
        <v>7615721</v>
      </c>
      <c r="R242" s="192">
        <v>312571859</v>
      </c>
      <c r="S242" s="192">
        <v>31433078</v>
      </c>
      <c r="T242" s="192">
        <v>18882784</v>
      </c>
      <c r="U242" s="192">
        <v>93875125</v>
      </c>
      <c r="V242" s="192">
        <v>107812370</v>
      </c>
      <c r="W242" s="192">
        <v>2189327</v>
      </c>
      <c r="X242" s="192">
        <v>35632473</v>
      </c>
      <c r="Y242" s="192">
        <v>5826067</v>
      </c>
      <c r="Z242" s="192">
        <v>289825157</v>
      </c>
      <c r="AA242" s="193">
        <v>1707283</v>
      </c>
      <c r="AB242" s="193">
        <v>1409631</v>
      </c>
      <c r="AC242" s="193">
        <v>15823378</v>
      </c>
      <c r="AD242" s="193">
        <v>1639062</v>
      </c>
      <c r="AE242" s="193">
        <v>-447135</v>
      </c>
      <c r="AF242" s="193">
        <v>2614483</v>
      </c>
      <c r="AG242" s="193">
        <v>1789654</v>
      </c>
      <c r="AH242" s="193">
        <v>22746702</v>
      </c>
      <c r="AI242" s="194">
        <v>5.4314852652991856</v>
      </c>
      <c r="AJ242" s="194">
        <v>7.4651650942996541</v>
      </c>
      <c r="AK242" s="194">
        <v>16.855773028264942</v>
      </c>
      <c r="AL242" s="194">
        <v>1.5202912244670996</v>
      </c>
      <c r="AM242" s="194">
        <v>-20.423399519578393</v>
      </c>
      <c r="AN242" s="194">
        <v>7.3373605025954829</v>
      </c>
      <c r="AO242" s="194">
        <v>30.718047011817752</v>
      </c>
      <c r="AP242" s="194">
        <v>7.8484222127066765</v>
      </c>
    </row>
    <row r="243" spans="1:42" ht="12" customHeight="1">
      <c r="A243" s="189" t="s">
        <v>550</v>
      </c>
      <c r="B243" s="189"/>
      <c r="C243" s="189" t="s">
        <v>201</v>
      </c>
      <c r="D243" s="189" t="s">
        <v>756</v>
      </c>
      <c r="E243" s="189" t="s">
        <v>878</v>
      </c>
      <c r="F243" s="190" t="s">
        <v>721</v>
      </c>
      <c r="G243" s="189" t="s">
        <v>686</v>
      </c>
      <c r="H243" s="197"/>
      <c r="I243" s="195"/>
      <c r="J243" s="195"/>
      <c r="K243" s="192">
        <v>9663005</v>
      </c>
      <c r="L243" s="192">
        <v>4607020</v>
      </c>
      <c r="M243" s="192">
        <v>38215237</v>
      </c>
      <c r="N243" s="192">
        <v>35953174</v>
      </c>
      <c r="O243" s="192">
        <v>484521</v>
      </c>
      <c r="P243" s="192">
        <v>12740503</v>
      </c>
      <c r="Q243" s="192">
        <v>1416958</v>
      </c>
      <c r="R243" s="192">
        <v>101663460</v>
      </c>
      <c r="S243" s="192">
        <v>8462344</v>
      </c>
      <c r="T243" s="192">
        <v>4765640</v>
      </c>
      <c r="U243" s="192">
        <v>32171787</v>
      </c>
      <c r="V243" s="192">
        <v>29860666</v>
      </c>
      <c r="W243" s="192">
        <v>450597</v>
      </c>
      <c r="X243" s="192">
        <v>11434745</v>
      </c>
      <c r="Y243" s="192">
        <v>1320426</v>
      </c>
      <c r="Z243" s="192">
        <v>87145779</v>
      </c>
      <c r="AA243" s="193">
        <v>1200661</v>
      </c>
      <c r="AB243" s="193">
        <v>-158620</v>
      </c>
      <c r="AC243" s="193">
        <v>6043450</v>
      </c>
      <c r="AD243" s="193">
        <v>6092508</v>
      </c>
      <c r="AE243" s="193">
        <v>33924</v>
      </c>
      <c r="AF243" s="193">
        <v>1305758</v>
      </c>
      <c r="AG243" s="193">
        <v>96532</v>
      </c>
      <c r="AH243" s="193">
        <v>14517681</v>
      </c>
      <c r="AI243" s="194">
        <v>14.188279275812942</v>
      </c>
      <c r="AJ243" s="194">
        <v>-3.3284091958267932</v>
      </c>
      <c r="AK243" s="194">
        <v>18.784937249522386</v>
      </c>
      <c r="AL243" s="194">
        <v>20.40312161825192</v>
      </c>
      <c r="AM243" s="194">
        <v>7.5286786196978674</v>
      </c>
      <c r="AN243" s="194">
        <v>11.419213983346371</v>
      </c>
      <c r="AO243" s="194">
        <v>7.31067095013276</v>
      </c>
      <c r="AP243" s="194">
        <v>16.659075363822268</v>
      </c>
    </row>
    <row r="244" spans="1:42" ht="12" customHeight="1">
      <c r="A244" s="189" t="s">
        <v>551</v>
      </c>
      <c r="B244" s="189"/>
      <c r="C244" s="189" t="s">
        <v>202</v>
      </c>
      <c r="D244" s="189" t="s">
        <v>755</v>
      </c>
      <c r="E244" s="189" t="s">
        <v>876</v>
      </c>
      <c r="F244" s="190" t="s">
        <v>722</v>
      </c>
      <c r="G244" s="189" t="s">
        <v>690</v>
      </c>
      <c r="H244" s="197"/>
      <c r="I244" s="195"/>
      <c r="J244" s="195"/>
      <c r="K244" s="192">
        <v>12726286.27</v>
      </c>
      <c r="L244" s="192">
        <v>5233775.5100000007</v>
      </c>
      <c r="M244" s="192">
        <v>40326654.219999999</v>
      </c>
      <c r="N244" s="192">
        <v>27552294.750000004</v>
      </c>
      <c r="O244" s="192">
        <v>339346.33</v>
      </c>
      <c r="P244" s="192">
        <v>13060887.01</v>
      </c>
      <c r="Q244" s="192">
        <v>1323780.33</v>
      </c>
      <c r="R244" s="192">
        <v>99239244.090000004</v>
      </c>
      <c r="S244" s="192">
        <v>11926680.99</v>
      </c>
      <c r="T244" s="192">
        <v>5539591.3200000003</v>
      </c>
      <c r="U244" s="192">
        <v>34936701.709999993</v>
      </c>
      <c r="V244" s="192">
        <v>25288793.369999997</v>
      </c>
      <c r="W244" s="192">
        <v>378832.79000000004</v>
      </c>
      <c r="X244" s="192">
        <v>12077105.049999999</v>
      </c>
      <c r="Y244" s="192">
        <v>1175168.23</v>
      </c>
      <c r="Z244" s="192">
        <v>90147705.229999989</v>
      </c>
      <c r="AA244" s="193">
        <v>799605.27999999933</v>
      </c>
      <c r="AB244" s="193">
        <v>-305815.80999999959</v>
      </c>
      <c r="AC244" s="193">
        <v>5389952.5100000054</v>
      </c>
      <c r="AD244" s="193">
        <v>2263501.3800000064</v>
      </c>
      <c r="AE244" s="193">
        <v>-39486.460000000021</v>
      </c>
      <c r="AF244" s="193">
        <v>983781.96000000089</v>
      </c>
      <c r="AG244" s="193">
        <v>148612.10000000009</v>
      </c>
      <c r="AH244" s="193">
        <v>9091538.8600000143</v>
      </c>
      <c r="AI244" s="194">
        <v>6.7043402994549224</v>
      </c>
      <c r="AJ244" s="194">
        <v>-5.520548219791773</v>
      </c>
      <c r="AK244" s="194">
        <v>15.427765776920005</v>
      </c>
      <c r="AL244" s="194">
        <v>8.9506104418773482</v>
      </c>
      <c r="AM244" s="194">
        <v>-10.423189608270187</v>
      </c>
      <c r="AN244" s="194">
        <v>8.1458425336790548</v>
      </c>
      <c r="AO244" s="194">
        <v>12.64602770958164</v>
      </c>
      <c r="AP244" s="194">
        <v>10.085158392888816</v>
      </c>
    </row>
    <row r="245" spans="1:42" ht="12" customHeight="1">
      <c r="A245" s="189" t="s">
        <v>552</v>
      </c>
      <c r="B245" s="189"/>
      <c r="C245" s="189" t="s">
        <v>203</v>
      </c>
      <c r="D245" s="189" t="s">
        <v>755</v>
      </c>
      <c r="E245" s="189" t="s">
        <v>876</v>
      </c>
      <c r="F245" s="190" t="s">
        <v>722</v>
      </c>
      <c r="G245" s="189" t="s">
        <v>690</v>
      </c>
      <c r="H245" s="197"/>
      <c r="I245" s="195"/>
      <c r="J245" s="195"/>
      <c r="K245" s="192">
        <v>6757102.7700000005</v>
      </c>
      <c r="L245" s="192">
        <v>3113123.44</v>
      </c>
      <c r="M245" s="192">
        <v>23268875.359999999</v>
      </c>
      <c r="N245" s="192">
        <v>14337936.280000001</v>
      </c>
      <c r="O245" s="192">
        <v>265590.16000000003</v>
      </c>
      <c r="P245" s="192">
        <v>7029552.2199999988</v>
      </c>
      <c r="Q245" s="192">
        <v>616401.94999999995</v>
      </c>
      <c r="R245" s="192">
        <v>54772180.229999997</v>
      </c>
      <c r="S245" s="192">
        <v>6237172.8800000008</v>
      </c>
      <c r="T245" s="192">
        <v>3025644.2799999993</v>
      </c>
      <c r="U245" s="192">
        <v>20158332.920000006</v>
      </c>
      <c r="V245" s="192">
        <v>13932343.190000003</v>
      </c>
      <c r="W245" s="192">
        <v>329745.92999999993</v>
      </c>
      <c r="X245" s="192">
        <v>6613659.7199999997</v>
      </c>
      <c r="Y245" s="192">
        <v>499062.71</v>
      </c>
      <c r="Z245" s="192">
        <v>50296898.920000009</v>
      </c>
      <c r="AA245" s="193">
        <v>519929.88999999966</v>
      </c>
      <c r="AB245" s="193">
        <v>87479.160000000615</v>
      </c>
      <c r="AC245" s="193">
        <v>3110542.4399999939</v>
      </c>
      <c r="AD245" s="193">
        <v>405593.08999999799</v>
      </c>
      <c r="AE245" s="193">
        <v>-64155.769999999902</v>
      </c>
      <c r="AF245" s="193">
        <v>415892.49999999907</v>
      </c>
      <c r="AG245" s="193">
        <v>117339.23999999993</v>
      </c>
      <c r="AH245" s="193">
        <v>4475281.3099999875</v>
      </c>
      <c r="AI245" s="194">
        <v>8.3359865118890148</v>
      </c>
      <c r="AJ245" s="194">
        <v>2.8912572630646665</v>
      </c>
      <c r="AK245" s="194">
        <v>15.430553966662005</v>
      </c>
      <c r="AL245" s="194">
        <v>2.9111620670607232</v>
      </c>
      <c r="AM245" s="194">
        <v>-19.456121869343441</v>
      </c>
      <c r="AN245" s="194">
        <v>6.2883867269784339</v>
      </c>
      <c r="AO245" s="194">
        <v>23.511922980580923</v>
      </c>
      <c r="AP245" s="194">
        <v>8.8977281027169681</v>
      </c>
    </row>
    <row r="246" spans="1:42" ht="12" customHeight="1">
      <c r="A246" s="189" t="s">
        <v>553</v>
      </c>
      <c r="B246" s="189"/>
      <c r="C246" s="189" t="s">
        <v>204</v>
      </c>
      <c r="D246" s="189" t="s">
        <v>755</v>
      </c>
      <c r="E246" s="189" t="s">
        <v>875</v>
      </c>
      <c r="F246" s="190" t="s">
        <v>722</v>
      </c>
      <c r="G246" s="189" t="s">
        <v>690</v>
      </c>
      <c r="H246" s="197"/>
      <c r="I246" s="195"/>
      <c r="J246" s="195"/>
      <c r="K246" s="192">
        <v>4904348.9499999993</v>
      </c>
      <c r="L246" s="192">
        <v>1840711.86</v>
      </c>
      <c r="M246" s="192">
        <v>14569568.35</v>
      </c>
      <c r="N246" s="192">
        <v>9617258.3600000013</v>
      </c>
      <c r="O246" s="192">
        <v>164409.91999999998</v>
      </c>
      <c r="P246" s="192">
        <v>4907254.330000001</v>
      </c>
      <c r="Q246" s="192">
        <v>657031.56000000006</v>
      </c>
      <c r="R246" s="192">
        <v>36003551.770000003</v>
      </c>
      <c r="S246" s="192">
        <v>5085022.6599999992</v>
      </c>
      <c r="T246" s="192">
        <v>1357951.2200000002</v>
      </c>
      <c r="U246" s="192">
        <v>13384493.300000001</v>
      </c>
      <c r="V246" s="192">
        <v>10005848.619999999</v>
      </c>
      <c r="W246" s="192">
        <v>204399.27000000002</v>
      </c>
      <c r="X246" s="192">
        <v>4806788.7</v>
      </c>
      <c r="Y246" s="192">
        <v>589780.32999999996</v>
      </c>
      <c r="Z246" s="192">
        <v>34844503.769999996</v>
      </c>
      <c r="AA246" s="193">
        <v>-180673.70999999996</v>
      </c>
      <c r="AB246" s="193">
        <v>482760.6399999999</v>
      </c>
      <c r="AC246" s="193">
        <v>1185075.0499999989</v>
      </c>
      <c r="AD246" s="193">
        <v>-388590.25999999791</v>
      </c>
      <c r="AE246" s="193">
        <v>-39989.350000000035</v>
      </c>
      <c r="AF246" s="193">
        <v>100465.63000000082</v>
      </c>
      <c r="AG246" s="193">
        <v>67251.230000000098</v>
      </c>
      <c r="AH246" s="193">
        <v>1159048.0000000075</v>
      </c>
      <c r="AI246" s="194">
        <v>-3.553056143116577</v>
      </c>
      <c r="AJ246" s="194">
        <v>35.550661385318378</v>
      </c>
      <c r="AK246" s="194">
        <v>8.8540897547462549</v>
      </c>
      <c r="AL246" s="194">
        <v>-3.8836312116822529</v>
      </c>
      <c r="AM246" s="194">
        <v>-19.564331125057361</v>
      </c>
      <c r="AN246" s="194">
        <v>2.0900779349839285</v>
      </c>
      <c r="AO246" s="194">
        <v>11.402759057766492</v>
      </c>
      <c r="AP246" s="194">
        <v>3.3263438264197949</v>
      </c>
    </row>
    <row r="247" spans="1:42" ht="12" customHeight="1">
      <c r="A247" s="189" t="s">
        <v>554</v>
      </c>
      <c r="B247" s="189"/>
      <c r="C247" s="189" t="s">
        <v>205</v>
      </c>
      <c r="D247" s="189" t="s">
        <v>755</v>
      </c>
      <c r="E247" s="189" t="s">
        <v>876</v>
      </c>
      <c r="F247" s="190" t="s">
        <v>722</v>
      </c>
      <c r="G247" s="189" t="s">
        <v>690</v>
      </c>
      <c r="H247" s="197"/>
      <c r="I247" s="195"/>
      <c r="J247" s="195"/>
      <c r="K247" s="192">
        <v>4408630.6999999993</v>
      </c>
      <c r="L247" s="192">
        <v>1193424.24</v>
      </c>
      <c r="M247" s="192">
        <v>15037601.189999999</v>
      </c>
      <c r="N247" s="192">
        <v>10102599.180000002</v>
      </c>
      <c r="O247" s="192">
        <v>164445.16</v>
      </c>
      <c r="P247" s="192">
        <v>4785063.5699999994</v>
      </c>
      <c r="Q247" s="192">
        <v>369758.62</v>
      </c>
      <c r="R247" s="192">
        <v>35691764.039999999</v>
      </c>
      <c r="S247" s="192">
        <v>4014805.61</v>
      </c>
      <c r="T247" s="192">
        <v>1090393.0000000002</v>
      </c>
      <c r="U247" s="192">
        <v>12478492.5</v>
      </c>
      <c r="V247" s="192">
        <v>9226272.0099999979</v>
      </c>
      <c r="W247" s="192">
        <v>166740.94</v>
      </c>
      <c r="X247" s="192">
        <v>4354326.5000000009</v>
      </c>
      <c r="Y247" s="192">
        <v>330144.14</v>
      </c>
      <c r="Z247" s="192">
        <v>31331030.559999999</v>
      </c>
      <c r="AA247" s="193">
        <v>393825.08999999939</v>
      </c>
      <c r="AB247" s="193">
        <v>103031.23999999976</v>
      </c>
      <c r="AC247" s="193">
        <v>2559108.6899999995</v>
      </c>
      <c r="AD247" s="193">
        <v>876327.17000000365</v>
      </c>
      <c r="AE247" s="193">
        <v>-2295.7799999999988</v>
      </c>
      <c r="AF247" s="193">
        <v>430737.06999999844</v>
      </c>
      <c r="AG247" s="193">
        <v>39614.479999999981</v>
      </c>
      <c r="AH247" s="193">
        <v>4360733.4800000004</v>
      </c>
      <c r="AI247" s="194">
        <v>9.8093190120853553</v>
      </c>
      <c r="AJ247" s="194">
        <v>9.4490004979855637</v>
      </c>
      <c r="AK247" s="194">
        <v>20.508155852960599</v>
      </c>
      <c r="AL247" s="194">
        <v>9.4981718406978093</v>
      </c>
      <c r="AM247" s="194">
        <v>-1.3768544185968958</v>
      </c>
      <c r="AN247" s="194">
        <v>9.892162886728828</v>
      </c>
      <c r="AO247" s="194">
        <v>11.999146796911186</v>
      </c>
      <c r="AP247" s="194">
        <v>13.918257401872072</v>
      </c>
    </row>
    <row r="248" spans="1:42" ht="12" customHeight="1">
      <c r="A248" s="189" t="s">
        <v>555</v>
      </c>
      <c r="B248" s="189"/>
      <c r="C248" s="189" t="s">
        <v>206</v>
      </c>
      <c r="D248" s="189" t="s">
        <v>755</v>
      </c>
      <c r="E248" s="189" t="s">
        <v>882</v>
      </c>
      <c r="F248" s="190" t="s">
        <v>722</v>
      </c>
      <c r="G248" s="189" t="s">
        <v>690</v>
      </c>
      <c r="H248" s="197"/>
      <c r="I248" s="195"/>
      <c r="J248" s="195"/>
      <c r="K248" s="192">
        <v>13258379.080000002</v>
      </c>
      <c r="L248" s="192">
        <v>4639026.0100000007</v>
      </c>
      <c r="M248" s="192">
        <v>36173882.63000001</v>
      </c>
      <c r="N248" s="192">
        <v>27122808.370000001</v>
      </c>
      <c r="O248" s="192">
        <v>293722.71000000002</v>
      </c>
      <c r="P248" s="192">
        <v>11973736.810000001</v>
      </c>
      <c r="Q248" s="192">
        <v>1167692.1000000001</v>
      </c>
      <c r="R248" s="192">
        <v>93461555.610000014</v>
      </c>
      <c r="S248" s="192">
        <v>12853362.419999998</v>
      </c>
      <c r="T248" s="192">
        <v>6294570.3699999992</v>
      </c>
      <c r="U248" s="192">
        <v>32250989.749999996</v>
      </c>
      <c r="V248" s="192">
        <v>26743799.640000004</v>
      </c>
      <c r="W248" s="192">
        <v>401781.06</v>
      </c>
      <c r="X248" s="192">
        <v>11339545.75</v>
      </c>
      <c r="Y248" s="192">
        <v>1060512.3199999998</v>
      </c>
      <c r="Z248" s="192">
        <v>89884048.989999995</v>
      </c>
      <c r="AA248" s="193">
        <v>405016.66000000387</v>
      </c>
      <c r="AB248" s="193">
        <v>-1655544.3599999985</v>
      </c>
      <c r="AC248" s="193">
        <v>3922892.8800000139</v>
      </c>
      <c r="AD248" s="193">
        <v>379008.72999999672</v>
      </c>
      <c r="AE248" s="193">
        <v>-108058.34999999998</v>
      </c>
      <c r="AF248" s="193">
        <v>634191.06000000052</v>
      </c>
      <c r="AG248" s="193">
        <v>107179.78000000026</v>
      </c>
      <c r="AH248" s="193">
        <v>3577506.6200000197</v>
      </c>
      <c r="AI248" s="194">
        <v>3.1510560954057651</v>
      </c>
      <c r="AJ248" s="194">
        <v>-26.301149446042317</v>
      </c>
      <c r="AK248" s="194">
        <v>12.16363562919806</v>
      </c>
      <c r="AL248" s="194">
        <v>1.417183553204322</v>
      </c>
      <c r="AM248" s="194">
        <v>-26.894834216426222</v>
      </c>
      <c r="AN248" s="194">
        <v>5.5927377866966186</v>
      </c>
      <c r="AO248" s="194">
        <v>10.106415359700891</v>
      </c>
      <c r="AP248" s="194">
        <v>3.9801351409948538</v>
      </c>
    </row>
    <row r="249" spans="1:42" ht="12" customHeight="1">
      <c r="A249" s="189" t="s">
        <v>556</v>
      </c>
      <c r="B249" s="189"/>
      <c r="C249" s="189" t="s">
        <v>207</v>
      </c>
      <c r="D249" s="189" t="s">
        <v>755</v>
      </c>
      <c r="E249" s="189" t="s">
        <v>878</v>
      </c>
      <c r="F249" s="190" t="s">
        <v>722</v>
      </c>
      <c r="G249" s="189" t="s">
        <v>690</v>
      </c>
      <c r="H249" s="197"/>
      <c r="I249" s="195"/>
      <c r="J249" s="195"/>
      <c r="K249" s="192">
        <v>6600497.209999999</v>
      </c>
      <c r="L249" s="192">
        <v>1380217.93</v>
      </c>
      <c r="M249" s="192">
        <v>18725132.519999992</v>
      </c>
      <c r="N249" s="192">
        <v>12755012.649999999</v>
      </c>
      <c r="O249" s="192">
        <v>140110.44</v>
      </c>
      <c r="P249" s="192">
        <v>6036211.629999999</v>
      </c>
      <c r="Q249" s="192">
        <v>521785.26</v>
      </c>
      <c r="R249" s="192">
        <v>45637182.37999998</v>
      </c>
      <c r="S249" s="192">
        <v>6199328.3499999996</v>
      </c>
      <c r="T249" s="192">
        <v>1625434.6000000003</v>
      </c>
      <c r="U249" s="192">
        <v>16167362.250000002</v>
      </c>
      <c r="V249" s="192">
        <v>12223563.060000002</v>
      </c>
      <c r="W249" s="192">
        <v>152909.11000000002</v>
      </c>
      <c r="X249" s="192">
        <v>5675019.5600000015</v>
      </c>
      <c r="Y249" s="192">
        <v>487598.13</v>
      </c>
      <c r="Z249" s="192">
        <v>42043616.930000007</v>
      </c>
      <c r="AA249" s="193">
        <v>401168.8599999994</v>
      </c>
      <c r="AB249" s="193">
        <v>-245216.67000000039</v>
      </c>
      <c r="AC249" s="193">
        <v>2557770.2699999902</v>
      </c>
      <c r="AD249" s="193">
        <v>531449.58999999613</v>
      </c>
      <c r="AE249" s="193">
        <v>-12798.670000000013</v>
      </c>
      <c r="AF249" s="193">
        <v>361192.0699999975</v>
      </c>
      <c r="AG249" s="193">
        <v>34187.130000000005</v>
      </c>
      <c r="AH249" s="193">
        <v>3593565.4499999732</v>
      </c>
      <c r="AI249" s="194">
        <v>6.4711665095138802</v>
      </c>
      <c r="AJ249" s="194">
        <v>-15.086221863371208</v>
      </c>
      <c r="AK249" s="194">
        <v>15.820578709430414</v>
      </c>
      <c r="AL249" s="194">
        <v>4.3477469489979956</v>
      </c>
      <c r="AM249" s="194">
        <v>-8.3701160774528169</v>
      </c>
      <c r="AN249" s="194">
        <v>6.3645960367403109</v>
      </c>
      <c r="AO249" s="194">
        <v>7.0113332879270889</v>
      </c>
      <c r="AP249" s="194">
        <v>8.5472319281736286</v>
      </c>
    </row>
    <row r="250" spans="1:42" ht="12" customHeight="1">
      <c r="A250" s="189" t="s">
        <v>806</v>
      </c>
      <c r="B250" s="189"/>
      <c r="C250" s="189" t="s">
        <v>228</v>
      </c>
      <c r="D250" s="189" t="s">
        <v>755</v>
      </c>
      <c r="E250" s="189" t="s">
        <v>876</v>
      </c>
      <c r="F250" s="190" t="s">
        <v>722</v>
      </c>
      <c r="G250" s="189" t="s">
        <v>690</v>
      </c>
      <c r="H250" s="197"/>
      <c r="I250" s="195"/>
      <c r="J250" s="195"/>
      <c r="K250" s="192">
        <v>6091842.1999999983</v>
      </c>
      <c r="L250" s="192">
        <v>3171721.1999999997</v>
      </c>
      <c r="M250" s="192">
        <v>20421756.530000001</v>
      </c>
      <c r="N250" s="192">
        <v>12952217.100000001</v>
      </c>
      <c r="O250" s="192">
        <v>309643.12</v>
      </c>
      <c r="P250" s="192">
        <v>6416946.6799999988</v>
      </c>
      <c r="Q250" s="192">
        <v>401979.51999999996</v>
      </c>
      <c r="R250" s="192">
        <v>49364126.829999998</v>
      </c>
      <c r="S250" s="192">
        <v>5790927.4500000002</v>
      </c>
      <c r="T250" s="192">
        <v>3158882.8899999997</v>
      </c>
      <c r="U250" s="192">
        <v>17009149.019999996</v>
      </c>
      <c r="V250" s="192">
        <v>11576593.93</v>
      </c>
      <c r="W250" s="192">
        <v>239566.31</v>
      </c>
      <c r="X250" s="192">
        <v>5853443.5499999989</v>
      </c>
      <c r="Y250" s="192">
        <v>586237.85999999987</v>
      </c>
      <c r="Z250" s="192">
        <v>43628563.149999991</v>
      </c>
      <c r="AA250" s="193">
        <v>300914.74999999814</v>
      </c>
      <c r="AB250" s="193">
        <v>12838.310000000056</v>
      </c>
      <c r="AC250" s="193">
        <v>3412607.5100000054</v>
      </c>
      <c r="AD250" s="193">
        <v>1375623.1700000018</v>
      </c>
      <c r="AE250" s="193">
        <v>70076.81</v>
      </c>
      <c r="AF250" s="193">
        <v>563503.12999999989</v>
      </c>
      <c r="AG250" s="193">
        <v>-184258.33999999991</v>
      </c>
      <c r="AH250" s="193">
        <v>5735563.6800000072</v>
      </c>
      <c r="AI250" s="194">
        <v>5.1963135887671692</v>
      </c>
      <c r="AJ250" s="194">
        <v>0.40641930856765812</v>
      </c>
      <c r="AK250" s="194">
        <v>20.063364169408672</v>
      </c>
      <c r="AL250" s="194">
        <v>11.882797119065934</v>
      </c>
      <c r="AM250" s="194">
        <v>29.251529566072961</v>
      </c>
      <c r="AN250" s="194">
        <v>9.6268653688477102</v>
      </c>
      <c r="AO250" s="194">
        <v>-31.430644892160313</v>
      </c>
      <c r="AP250" s="194">
        <v>13.146350156617542</v>
      </c>
    </row>
    <row r="251" spans="1:42" ht="12" customHeight="1">
      <c r="A251" s="189" t="s">
        <v>807</v>
      </c>
      <c r="B251" s="189"/>
      <c r="C251" s="189" t="s">
        <v>229</v>
      </c>
      <c r="D251" s="189" t="s">
        <v>755</v>
      </c>
      <c r="E251" s="189" t="s">
        <v>876</v>
      </c>
      <c r="F251" s="190" t="s">
        <v>722</v>
      </c>
      <c r="G251" s="189" t="s">
        <v>690</v>
      </c>
      <c r="H251" s="197"/>
      <c r="I251" s="195"/>
      <c r="J251" s="195"/>
      <c r="K251" s="192">
        <v>3176914.53</v>
      </c>
      <c r="L251" s="192">
        <v>1034417.2599999999</v>
      </c>
      <c r="M251" s="192">
        <v>9861229.4800000023</v>
      </c>
      <c r="N251" s="192">
        <v>6728335.0599999996</v>
      </c>
      <c r="O251" s="192">
        <v>194237.79</v>
      </c>
      <c r="P251" s="192">
        <v>3259370.5599999991</v>
      </c>
      <c r="Q251" s="192">
        <v>248423.06</v>
      </c>
      <c r="R251" s="192">
        <v>24254504.68</v>
      </c>
      <c r="S251" s="192">
        <v>3024131.24</v>
      </c>
      <c r="T251" s="192">
        <v>1054130.5699999998</v>
      </c>
      <c r="U251" s="192">
        <v>8387231.9799999995</v>
      </c>
      <c r="V251" s="192">
        <v>5990004.5000000009</v>
      </c>
      <c r="W251" s="192">
        <v>172659.41999999998</v>
      </c>
      <c r="X251" s="192">
        <v>2969593.78</v>
      </c>
      <c r="Y251" s="192">
        <v>253052.78</v>
      </c>
      <c r="Z251" s="192">
        <v>21597751.490000002</v>
      </c>
      <c r="AA251" s="193">
        <v>152783.28999999957</v>
      </c>
      <c r="AB251" s="193">
        <v>-19713.309999999939</v>
      </c>
      <c r="AC251" s="193">
        <v>1473997.5000000028</v>
      </c>
      <c r="AD251" s="193">
        <v>738330.55999999866</v>
      </c>
      <c r="AE251" s="193">
        <v>21578.370000000024</v>
      </c>
      <c r="AF251" s="193">
        <v>289776.77999999933</v>
      </c>
      <c r="AG251" s="193">
        <v>-4629.7200000000012</v>
      </c>
      <c r="AH251" s="193">
        <v>2656753.1899999976</v>
      </c>
      <c r="AI251" s="194">
        <v>5.0521382134195862</v>
      </c>
      <c r="AJ251" s="194">
        <v>-1.8701013480711353</v>
      </c>
      <c r="AK251" s="194">
        <v>17.574302267003741</v>
      </c>
      <c r="AL251" s="194">
        <v>12.326043494625063</v>
      </c>
      <c r="AM251" s="194">
        <v>12.497649997897611</v>
      </c>
      <c r="AN251" s="194">
        <v>9.7581286016836746</v>
      </c>
      <c r="AO251" s="194">
        <v>-1.8295471798412968</v>
      </c>
      <c r="AP251" s="194">
        <v>12.301063799303847</v>
      </c>
    </row>
    <row r="252" spans="1:42" ht="12" customHeight="1">
      <c r="A252" s="189" t="s">
        <v>808</v>
      </c>
      <c r="B252" s="189"/>
      <c r="C252" s="189" t="s">
        <v>230</v>
      </c>
      <c r="D252" s="189" t="s">
        <v>756</v>
      </c>
      <c r="E252" s="189" t="s">
        <v>878</v>
      </c>
      <c r="F252" s="190" t="s">
        <v>722</v>
      </c>
      <c r="G252" s="189" t="s">
        <v>690</v>
      </c>
      <c r="H252" s="197"/>
      <c r="I252" s="195"/>
      <c r="J252" s="195"/>
      <c r="K252" s="192">
        <v>2957828</v>
      </c>
      <c r="L252" s="192">
        <v>598803</v>
      </c>
      <c r="M252" s="192">
        <v>12168935</v>
      </c>
      <c r="N252" s="192">
        <v>6965908</v>
      </c>
      <c r="O252" s="192">
        <v>103719</v>
      </c>
      <c r="P252" s="192">
        <v>3299676</v>
      </c>
      <c r="Q252" s="192">
        <v>256135</v>
      </c>
      <c r="R252" s="192">
        <v>26094869</v>
      </c>
      <c r="S252" s="192">
        <v>2665015</v>
      </c>
      <c r="T252" s="192">
        <v>642512</v>
      </c>
      <c r="U252" s="192">
        <v>9144952</v>
      </c>
      <c r="V252" s="192">
        <v>6101078</v>
      </c>
      <c r="W252" s="192">
        <v>88082</v>
      </c>
      <c r="X252" s="192">
        <v>2964281</v>
      </c>
      <c r="Y252" s="192">
        <v>213393</v>
      </c>
      <c r="Z252" s="192">
        <v>21605920</v>
      </c>
      <c r="AA252" s="193">
        <v>292813</v>
      </c>
      <c r="AB252" s="193">
        <v>-43709</v>
      </c>
      <c r="AC252" s="193">
        <v>3023983</v>
      </c>
      <c r="AD252" s="193">
        <v>864830</v>
      </c>
      <c r="AE252" s="193">
        <v>15637</v>
      </c>
      <c r="AF252" s="193">
        <v>335395</v>
      </c>
      <c r="AG252" s="193">
        <v>42742</v>
      </c>
      <c r="AH252" s="193">
        <v>4488949</v>
      </c>
      <c r="AI252" s="194">
        <v>10.987292754449788</v>
      </c>
      <c r="AJ252" s="194">
        <v>-6.8028301416938515</v>
      </c>
      <c r="AK252" s="194">
        <v>33.067237531700549</v>
      </c>
      <c r="AL252" s="194">
        <v>14.175035952662792</v>
      </c>
      <c r="AM252" s="194">
        <v>17.752775822529006</v>
      </c>
      <c r="AN252" s="194">
        <v>11.314548114703026</v>
      </c>
      <c r="AO252" s="194">
        <v>20.02971044036121</v>
      </c>
      <c r="AP252" s="194">
        <v>20.77647700259929</v>
      </c>
    </row>
    <row r="253" spans="1:42" ht="12" customHeight="1">
      <c r="A253" s="189" t="s">
        <v>809</v>
      </c>
      <c r="B253" s="189"/>
      <c r="C253" s="189" t="s">
        <v>208</v>
      </c>
      <c r="D253" s="189" t="s">
        <v>756</v>
      </c>
      <c r="E253" s="189" t="s">
        <v>876</v>
      </c>
      <c r="F253" s="190" t="s">
        <v>722</v>
      </c>
      <c r="G253" s="189" t="s">
        <v>690</v>
      </c>
      <c r="H253" s="197"/>
      <c r="I253" s="195"/>
      <c r="J253" s="195"/>
      <c r="K253" s="192">
        <v>4085067</v>
      </c>
      <c r="L253" s="192">
        <v>2891123</v>
      </c>
      <c r="M253" s="192">
        <v>15659846</v>
      </c>
      <c r="N253" s="192">
        <v>10004352</v>
      </c>
      <c r="O253" s="192">
        <v>83313</v>
      </c>
      <c r="P253" s="192">
        <v>4728971</v>
      </c>
      <c r="Q253" s="192">
        <v>425389</v>
      </c>
      <c r="R253" s="192">
        <v>37452672</v>
      </c>
      <c r="S253" s="192">
        <v>3904771</v>
      </c>
      <c r="T253" s="192">
        <v>2622435</v>
      </c>
      <c r="U253" s="192">
        <v>13962938</v>
      </c>
      <c r="V253" s="192">
        <v>9785454</v>
      </c>
      <c r="W253" s="192">
        <v>149211</v>
      </c>
      <c r="X253" s="192">
        <v>4124829</v>
      </c>
      <c r="Y253" s="192">
        <v>427666</v>
      </c>
      <c r="Z253" s="192">
        <v>34549638</v>
      </c>
      <c r="AA253" s="193">
        <v>180296</v>
      </c>
      <c r="AB253" s="193">
        <v>268688</v>
      </c>
      <c r="AC253" s="193">
        <v>1696908</v>
      </c>
      <c r="AD253" s="193">
        <v>218898</v>
      </c>
      <c r="AE253" s="193">
        <v>-65898</v>
      </c>
      <c r="AF253" s="193">
        <v>604142</v>
      </c>
      <c r="AG253" s="193">
        <v>-2277</v>
      </c>
      <c r="AH253" s="193">
        <v>2903034</v>
      </c>
      <c r="AI253" s="194">
        <v>4.6173258303751998</v>
      </c>
      <c r="AJ253" s="194">
        <v>10.245744889768478</v>
      </c>
      <c r="AK253" s="194">
        <v>12.152943742928601</v>
      </c>
      <c r="AL253" s="194">
        <v>2.2369733688390951</v>
      </c>
      <c r="AM253" s="194">
        <v>-44.164304240303998</v>
      </c>
      <c r="AN253" s="194">
        <v>14.646473829581783</v>
      </c>
      <c r="AO253" s="194">
        <v>-0.53242483620395353</v>
      </c>
      <c r="AP253" s="194">
        <v>8.402501930700403</v>
      </c>
    </row>
    <row r="254" spans="1:42" ht="12" customHeight="1">
      <c r="A254" s="189" t="s">
        <v>557</v>
      </c>
      <c r="B254" s="189"/>
      <c r="C254" s="189" t="s">
        <v>209</v>
      </c>
      <c r="D254" s="189" t="s">
        <v>755</v>
      </c>
      <c r="E254" s="189" t="s">
        <v>882</v>
      </c>
      <c r="F254" s="190" t="s">
        <v>722</v>
      </c>
      <c r="G254" s="189" t="s">
        <v>690</v>
      </c>
      <c r="H254" s="197"/>
      <c r="I254" s="195"/>
      <c r="J254" s="195"/>
      <c r="K254" s="192">
        <v>11396548.92</v>
      </c>
      <c r="L254" s="192">
        <v>5271108.049999998</v>
      </c>
      <c r="M254" s="192">
        <v>36192739.529999994</v>
      </c>
      <c r="N254" s="192">
        <v>27725713.830000002</v>
      </c>
      <c r="O254" s="192">
        <v>245338.51</v>
      </c>
      <c r="P254" s="192">
        <v>12073143.580000002</v>
      </c>
      <c r="Q254" s="192">
        <v>868943.77</v>
      </c>
      <c r="R254" s="192">
        <v>92904592.420000002</v>
      </c>
      <c r="S254" s="192">
        <v>10918229.68</v>
      </c>
      <c r="T254" s="192">
        <v>6300615.870000001</v>
      </c>
      <c r="U254" s="192">
        <v>30883262.27</v>
      </c>
      <c r="V254" s="192">
        <v>25921812.590000004</v>
      </c>
      <c r="W254" s="192">
        <v>275952.55</v>
      </c>
      <c r="X254" s="192">
        <v>11152121.260000002</v>
      </c>
      <c r="Y254" s="192">
        <v>837005.96</v>
      </c>
      <c r="Z254" s="192">
        <v>85451994.219999999</v>
      </c>
      <c r="AA254" s="193">
        <v>478319.24000000022</v>
      </c>
      <c r="AB254" s="193">
        <v>-1029507.8200000031</v>
      </c>
      <c r="AC254" s="193">
        <v>5309477.2599999942</v>
      </c>
      <c r="AD254" s="193">
        <v>1803901.2399999984</v>
      </c>
      <c r="AE254" s="193">
        <v>-30614.039999999979</v>
      </c>
      <c r="AF254" s="193">
        <v>921022.3200000003</v>
      </c>
      <c r="AG254" s="193">
        <v>31937.810000000056</v>
      </c>
      <c r="AH254" s="193">
        <v>7452598.200000003</v>
      </c>
      <c r="AI254" s="194">
        <v>4.380923043560669</v>
      </c>
      <c r="AJ254" s="194">
        <v>-16.339796636419969</v>
      </c>
      <c r="AK254" s="194">
        <v>17.192086812530878</v>
      </c>
      <c r="AL254" s="194">
        <v>6.9590088800190575</v>
      </c>
      <c r="AM254" s="194">
        <v>-11.093950753490041</v>
      </c>
      <c r="AN254" s="194">
        <v>8.2587186646139479</v>
      </c>
      <c r="AO254" s="194">
        <v>3.8157207387149379</v>
      </c>
      <c r="AP254" s="194">
        <v>8.7213859290550371</v>
      </c>
    </row>
    <row r="255" spans="1:42" ht="12" customHeight="1">
      <c r="A255" s="189" t="s">
        <v>558</v>
      </c>
      <c r="B255" s="189"/>
      <c r="C255" s="189" t="s">
        <v>210</v>
      </c>
      <c r="D255" s="189" t="s">
        <v>755</v>
      </c>
      <c r="E255" s="189" t="s">
        <v>875</v>
      </c>
      <c r="F255" s="190" t="s">
        <v>722</v>
      </c>
      <c r="G255" s="189" t="s">
        <v>690</v>
      </c>
      <c r="H255" s="197"/>
      <c r="I255" s="195"/>
      <c r="J255" s="195"/>
      <c r="K255" s="192">
        <v>3055997.3299999996</v>
      </c>
      <c r="L255" s="192">
        <v>729778.76000000013</v>
      </c>
      <c r="M255" s="192">
        <v>9414062.1500000004</v>
      </c>
      <c r="N255" s="192">
        <v>5777188.9900000002</v>
      </c>
      <c r="O255" s="192">
        <v>79802.19</v>
      </c>
      <c r="P255" s="192">
        <v>3031203.4699999997</v>
      </c>
      <c r="Q255" s="192">
        <v>230504.99</v>
      </c>
      <c r="R255" s="192">
        <v>22088032.890000001</v>
      </c>
      <c r="S255" s="192">
        <v>2840973.86</v>
      </c>
      <c r="T255" s="192">
        <v>770859.65999999992</v>
      </c>
      <c r="U255" s="192">
        <v>8353520.75</v>
      </c>
      <c r="V255" s="192">
        <v>5740389.209999999</v>
      </c>
      <c r="W255" s="192">
        <v>82936.960000000006</v>
      </c>
      <c r="X255" s="192">
        <v>2979537.7299999995</v>
      </c>
      <c r="Y255" s="192">
        <v>305843.23</v>
      </c>
      <c r="Z255" s="192">
        <v>20768218.169999998</v>
      </c>
      <c r="AA255" s="193">
        <v>215023.46999999974</v>
      </c>
      <c r="AB255" s="193">
        <v>-41080.89999999979</v>
      </c>
      <c r="AC255" s="193">
        <v>1060541.4000000004</v>
      </c>
      <c r="AD255" s="193">
        <v>36799.780000001192</v>
      </c>
      <c r="AE255" s="193">
        <v>-3134.7700000000041</v>
      </c>
      <c r="AF255" s="193">
        <v>51665.740000000224</v>
      </c>
      <c r="AG255" s="193">
        <v>-75338.239999999991</v>
      </c>
      <c r="AH255" s="193">
        <v>1319814.7200000025</v>
      </c>
      <c r="AI255" s="194">
        <v>7.5686535883860522</v>
      </c>
      <c r="AJ255" s="194">
        <v>-5.3292320420554624</v>
      </c>
      <c r="AK255" s="194">
        <v>12.695741493190166</v>
      </c>
      <c r="AL255" s="194">
        <v>0.64106768119301794</v>
      </c>
      <c r="AM255" s="194">
        <v>-3.7797020773368155</v>
      </c>
      <c r="AN255" s="194">
        <v>1.7340186526183119</v>
      </c>
      <c r="AO255" s="194">
        <v>-24.632959833703037</v>
      </c>
      <c r="AP255" s="194">
        <v>6.3549733019778012</v>
      </c>
    </row>
    <row r="256" spans="1:42" ht="12" customHeight="1">
      <c r="A256" s="189" t="s">
        <v>810</v>
      </c>
      <c r="B256" s="189"/>
      <c r="C256" s="189" t="s">
        <v>217</v>
      </c>
      <c r="D256" s="189" t="s">
        <v>755</v>
      </c>
      <c r="E256" s="189" t="s">
        <v>878</v>
      </c>
      <c r="F256" s="190" t="s">
        <v>722</v>
      </c>
      <c r="G256" s="189" t="s">
        <v>690</v>
      </c>
      <c r="H256" s="197"/>
      <c r="I256" s="195"/>
      <c r="J256" s="195"/>
      <c r="K256" s="192">
        <v>6188037.2700000005</v>
      </c>
      <c r="L256" s="192">
        <v>2227827.6199999996</v>
      </c>
      <c r="M256" s="192">
        <v>17743829.279999997</v>
      </c>
      <c r="N256" s="192">
        <v>13793532.049999999</v>
      </c>
      <c r="O256" s="192">
        <v>68284.540000000008</v>
      </c>
      <c r="P256" s="192">
        <v>6325147.6899999995</v>
      </c>
      <c r="Q256" s="192">
        <v>517167.08</v>
      </c>
      <c r="R256" s="192">
        <v>46346658.449999996</v>
      </c>
      <c r="S256" s="192">
        <v>6019238.5700000003</v>
      </c>
      <c r="T256" s="192">
        <v>2803714.0900000003</v>
      </c>
      <c r="U256" s="192">
        <v>15223831.389999999</v>
      </c>
      <c r="V256" s="192">
        <v>12440221.659999996</v>
      </c>
      <c r="W256" s="192">
        <v>52950.75</v>
      </c>
      <c r="X256" s="192">
        <v>5803428.8999999994</v>
      </c>
      <c r="Y256" s="192">
        <v>416531.05</v>
      </c>
      <c r="Z256" s="192">
        <v>42343385.359999992</v>
      </c>
      <c r="AA256" s="193">
        <v>168798.70000000019</v>
      </c>
      <c r="AB256" s="193">
        <v>-575886.47000000067</v>
      </c>
      <c r="AC256" s="193">
        <v>2519997.8899999987</v>
      </c>
      <c r="AD256" s="193">
        <v>1353310.3900000025</v>
      </c>
      <c r="AE256" s="193">
        <v>15333.790000000008</v>
      </c>
      <c r="AF256" s="193">
        <v>521718.79000000004</v>
      </c>
      <c r="AG256" s="193">
        <v>100636.03000000003</v>
      </c>
      <c r="AH256" s="193">
        <v>4003273.0900000036</v>
      </c>
      <c r="AI256" s="194">
        <v>2.8043198161524301</v>
      </c>
      <c r="AJ256" s="194">
        <v>-20.540128255374306</v>
      </c>
      <c r="AK256" s="194">
        <v>16.552980819633202</v>
      </c>
      <c r="AL256" s="194">
        <v>10.878507047437955</v>
      </c>
      <c r="AM256" s="194">
        <v>28.958588877400242</v>
      </c>
      <c r="AN256" s="194">
        <v>8.9898368531748556</v>
      </c>
      <c r="AO256" s="194">
        <v>24.16051096310828</v>
      </c>
      <c r="AP256" s="194">
        <v>9.4543056866249682</v>
      </c>
    </row>
    <row r="257" spans="1:42" ht="12" customHeight="1">
      <c r="A257" s="189" t="s">
        <v>811</v>
      </c>
      <c r="B257" s="189"/>
      <c r="C257" s="189" t="s">
        <v>218</v>
      </c>
      <c r="D257" s="189" t="s">
        <v>756</v>
      </c>
      <c r="E257" s="189" t="s">
        <v>876</v>
      </c>
      <c r="F257" s="190" t="s">
        <v>722</v>
      </c>
      <c r="G257" s="189" t="s">
        <v>690</v>
      </c>
      <c r="H257" s="279"/>
      <c r="I257" s="195"/>
      <c r="J257" s="195"/>
      <c r="K257" s="192">
        <v>12230324</v>
      </c>
      <c r="L257" s="192">
        <v>4299778</v>
      </c>
      <c r="M257" s="192">
        <v>39501502</v>
      </c>
      <c r="N257" s="192">
        <v>27959630</v>
      </c>
      <c r="O257" s="192">
        <v>39684</v>
      </c>
      <c r="P257" s="192">
        <v>13545664</v>
      </c>
      <c r="Q257" s="192">
        <v>1596851</v>
      </c>
      <c r="R257" s="192">
        <v>97576582</v>
      </c>
      <c r="S257" s="192">
        <v>11407137</v>
      </c>
      <c r="T257" s="192">
        <v>4068978</v>
      </c>
      <c r="U257" s="192">
        <v>34021628</v>
      </c>
      <c r="V257" s="192">
        <v>26782152</v>
      </c>
      <c r="W257" s="192">
        <v>25958</v>
      </c>
      <c r="X257" s="192">
        <v>11887324</v>
      </c>
      <c r="Y257" s="192">
        <v>1544265</v>
      </c>
      <c r="Z257" s="192">
        <v>88193177</v>
      </c>
      <c r="AA257" s="193">
        <v>823187</v>
      </c>
      <c r="AB257" s="193">
        <v>230800</v>
      </c>
      <c r="AC257" s="193">
        <v>5479874</v>
      </c>
      <c r="AD257" s="193">
        <v>1177478</v>
      </c>
      <c r="AE257" s="193">
        <v>13726</v>
      </c>
      <c r="AF257" s="193">
        <v>1658340</v>
      </c>
      <c r="AG257" s="193">
        <v>52586</v>
      </c>
      <c r="AH257" s="193">
        <v>9383405</v>
      </c>
      <c r="AI257" s="194">
        <v>7.2164207372980611</v>
      </c>
      <c r="AJ257" s="194">
        <v>5.6721859887175601</v>
      </c>
      <c r="AK257" s="194">
        <v>16.107030504242772</v>
      </c>
      <c r="AL257" s="194">
        <v>4.3965025663359691</v>
      </c>
      <c r="AM257" s="194">
        <v>52.877725556668466</v>
      </c>
      <c r="AN257" s="194">
        <v>13.950490455210945</v>
      </c>
      <c r="AO257" s="194">
        <v>3.4052445661852082</v>
      </c>
      <c r="AP257" s="194">
        <v>10.639604240586548</v>
      </c>
    </row>
    <row r="258" spans="1:42" ht="12" customHeight="1">
      <c r="A258" s="189" t="s">
        <v>559</v>
      </c>
      <c r="B258" s="189"/>
      <c r="C258" s="189" t="s">
        <v>211</v>
      </c>
      <c r="D258" s="189" t="s">
        <v>755</v>
      </c>
      <c r="E258" s="189" t="s">
        <v>879</v>
      </c>
      <c r="F258" s="190" t="s">
        <v>722</v>
      </c>
      <c r="G258" s="189" t="s">
        <v>690</v>
      </c>
      <c r="H258" s="197"/>
      <c r="I258" s="195"/>
      <c r="J258" s="195"/>
      <c r="K258" s="192">
        <v>31676846.839999996</v>
      </c>
      <c r="L258" s="192">
        <v>25408426.609999999</v>
      </c>
      <c r="M258" s="192">
        <v>129928888.14000002</v>
      </c>
      <c r="N258" s="192">
        <v>98185578.349999994</v>
      </c>
      <c r="O258" s="192">
        <v>1305072.98</v>
      </c>
      <c r="P258" s="192">
        <v>42973872.729999997</v>
      </c>
      <c r="Q258" s="192">
        <v>2207448.27</v>
      </c>
      <c r="R258" s="192">
        <v>329478685.65000004</v>
      </c>
      <c r="S258" s="192">
        <v>29897274.580000002</v>
      </c>
      <c r="T258" s="192">
        <v>27126894.849999998</v>
      </c>
      <c r="U258" s="192">
        <v>108732420.66000003</v>
      </c>
      <c r="V258" s="192">
        <v>89565639.530000001</v>
      </c>
      <c r="W258" s="192">
        <v>1294280.44</v>
      </c>
      <c r="X258" s="192">
        <v>38957432.030000001</v>
      </c>
      <c r="Y258" s="192">
        <v>2176077.3699999992</v>
      </c>
      <c r="Z258" s="192">
        <v>295573942.09000003</v>
      </c>
      <c r="AA258" s="193">
        <v>1779572.2599999942</v>
      </c>
      <c r="AB258" s="193">
        <v>-1718468.2399999984</v>
      </c>
      <c r="AC258" s="193">
        <v>21196467.479999989</v>
      </c>
      <c r="AD258" s="193">
        <v>8619938.8199999928</v>
      </c>
      <c r="AE258" s="193">
        <v>10792.540000000037</v>
      </c>
      <c r="AF258" s="193">
        <v>4016440.6999999955</v>
      </c>
      <c r="AG258" s="193">
        <v>31370.900000000838</v>
      </c>
      <c r="AH258" s="193">
        <v>33904743.560000002</v>
      </c>
      <c r="AI258" s="194">
        <v>5.9522892470956261</v>
      </c>
      <c r="AJ258" s="194">
        <v>-6.3349242495404825</v>
      </c>
      <c r="AK258" s="194">
        <v>19.494155792116608</v>
      </c>
      <c r="AL258" s="194">
        <v>9.6241581763202237</v>
      </c>
      <c r="AM258" s="194">
        <v>0.83386410444401349</v>
      </c>
      <c r="AN258" s="194">
        <v>10.309818924684382</v>
      </c>
      <c r="AO258" s="194">
        <v>1.4416261311518004</v>
      </c>
      <c r="AP258" s="194">
        <v>11.470816175559976</v>
      </c>
    </row>
    <row r="259" spans="1:42" ht="12" customHeight="1">
      <c r="A259" s="189" t="s">
        <v>560</v>
      </c>
      <c r="B259" s="189"/>
      <c r="C259" s="189" t="s">
        <v>213</v>
      </c>
      <c r="D259" s="189" t="s">
        <v>755</v>
      </c>
      <c r="E259" s="189" t="s">
        <v>878</v>
      </c>
      <c r="F259" s="190" t="s">
        <v>722</v>
      </c>
      <c r="G259" s="189" t="s">
        <v>690</v>
      </c>
      <c r="H259" s="279"/>
      <c r="I259" s="195"/>
      <c r="J259" s="195"/>
      <c r="K259" s="192">
        <v>7168374.3900000006</v>
      </c>
      <c r="L259" s="192">
        <v>2230890.6999999997</v>
      </c>
      <c r="M259" s="192">
        <v>20477130.610000003</v>
      </c>
      <c r="N259" s="192">
        <v>15568419.050000001</v>
      </c>
      <c r="O259" s="192">
        <v>229525.21999999997</v>
      </c>
      <c r="P259" s="192">
        <v>6946109.1300000018</v>
      </c>
      <c r="Q259" s="192">
        <v>707478.18000000017</v>
      </c>
      <c r="R259" s="192">
        <v>52620449.100000001</v>
      </c>
      <c r="S259" s="192">
        <v>6612789.9600000009</v>
      </c>
      <c r="T259" s="192">
        <v>2602525.1100000003</v>
      </c>
      <c r="U259" s="192">
        <v>17506322.649999995</v>
      </c>
      <c r="V259" s="192">
        <v>14773985.640000001</v>
      </c>
      <c r="W259" s="192">
        <v>241550.86000000002</v>
      </c>
      <c r="X259" s="192">
        <v>6553951.8899999987</v>
      </c>
      <c r="Y259" s="192">
        <v>639487.70000000007</v>
      </c>
      <c r="Z259" s="192">
        <v>48291126.109999999</v>
      </c>
      <c r="AA259" s="193">
        <v>555584.4299999997</v>
      </c>
      <c r="AB259" s="193">
        <v>-371634.41000000061</v>
      </c>
      <c r="AC259" s="193">
        <v>2970807.9600000083</v>
      </c>
      <c r="AD259" s="193">
        <v>794433.41000000015</v>
      </c>
      <c r="AE259" s="193">
        <v>-12025.640000000043</v>
      </c>
      <c r="AF259" s="193">
        <v>392157.24000000302</v>
      </c>
      <c r="AG259" s="193">
        <v>67990.480000000098</v>
      </c>
      <c r="AH259" s="193">
        <v>4329322.9900000021</v>
      </c>
      <c r="AI259" s="194">
        <v>8.4016645524909368</v>
      </c>
      <c r="AJ259" s="194">
        <v>-14.279762703230961</v>
      </c>
      <c r="AK259" s="194">
        <v>16.969914352629672</v>
      </c>
      <c r="AL259" s="194">
        <v>5.3772450397481242</v>
      </c>
      <c r="AM259" s="194">
        <v>-4.9785125997895605</v>
      </c>
      <c r="AN259" s="194">
        <v>5.983523324276387</v>
      </c>
      <c r="AO259" s="194">
        <v>10.632023102242636</v>
      </c>
      <c r="AP259" s="194">
        <v>8.9650487340851175</v>
      </c>
    </row>
    <row r="260" spans="1:42" ht="12" customHeight="1">
      <c r="A260" s="189" t="s">
        <v>561</v>
      </c>
      <c r="B260" s="189"/>
      <c r="C260" s="189" t="s">
        <v>214</v>
      </c>
      <c r="D260" s="189" t="s">
        <v>755</v>
      </c>
      <c r="E260" s="189" t="s">
        <v>880</v>
      </c>
      <c r="F260" s="190" t="s">
        <v>722</v>
      </c>
      <c r="G260" s="189" t="s">
        <v>690</v>
      </c>
      <c r="H260" s="197"/>
      <c r="I260" s="195"/>
      <c r="J260" s="195"/>
      <c r="K260" s="192">
        <v>19188009.359999999</v>
      </c>
      <c r="L260" s="192">
        <v>9367561.4800000004</v>
      </c>
      <c r="M260" s="192">
        <v>60214017.470000021</v>
      </c>
      <c r="N260" s="192">
        <v>51529154.170000002</v>
      </c>
      <c r="O260" s="192">
        <v>750829.42999999993</v>
      </c>
      <c r="P260" s="192">
        <v>20262325.860000007</v>
      </c>
      <c r="Q260" s="192">
        <v>1150463.2400000002</v>
      </c>
      <c r="R260" s="192">
        <v>161311897.77000004</v>
      </c>
      <c r="S260" s="192">
        <v>17329717.710000001</v>
      </c>
      <c r="T260" s="192">
        <v>11130426.09</v>
      </c>
      <c r="U260" s="192">
        <v>53169397.86999999</v>
      </c>
      <c r="V260" s="192">
        <v>50402586.45000001</v>
      </c>
      <c r="W260" s="192">
        <v>815018.71000000008</v>
      </c>
      <c r="X260" s="192">
        <v>19088889.589999992</v>
      </c>
      <c r="Y260" s="192">
        <v>1124692.2000000002</v>
      </c>
      <c r="Z260" s="192">
        <v>151936036.41999999</v>
      </c>
      <c r="AA260" s="193">
        <v>1858291.6499999985</v>
      </c>
      <c r="AB260" s="193">
        <v>-1762864.6099999994</v>
      </c>
      <c r="AC260" s="193">
        <v>7044619.6000000313</v>
      </c>
      <c r="AD260" s="193">
        <v>1126567.7199999914</v>
      </c>
      <c r="AE260" s="193">
        <v>-64189.280000000144</v>
      </c>
      <c r="AF260" s="193">
        <v>1173436.2700000145</v>
      </c>
      <c r="AG260" s="193">
        <v>25771.040000000037</v>
      </c>
      <c r="AH260" s="193">
        <v>9375861.3500000536</v>
      </c>
      <c r="AI260" s="194">
        <v>10.723150146454397</v>
      </c>
      <c r="AJ260" s="194">
        <v>-15.838249099770083</v>
      </c>
      <c r="AK260" s="194">
        <v>13.249387584234517</v>
      </c>
      <c r="AL260" s="194">
        <v>2.2351387088390009</v>
      </c>
      <c r="AM260" s="194">
        <v>-7.8758044707955399</v>
      </c>
      <c r="AN260" s="194">
        <v>6.147221211938577</v>
      </c>
      <c r="AO260" s="194">
        <v>2.2913860343301069</v>
      </c>
      <c r="AP260" s="194">
        <v>6.1709266418416782</v>
      </c>
    </row>
    <row r="261" spans="1:42" ht="12" customHeight="1">
      <c r="A261" s="189" t="s">
        <v>562</v>
      </c>
      <c r="B261" s="189"/>
      <c r="C261" s="189" t="s">
        <v>216</v>
      </c>
      <c r="D261" s="189" t="s">
        <v>755</v>
      </c>
      <c r="E261" s="189" t="s">
        <v>882</v>
      </c>
      <c r="F261" s="190" t="s">
        <v>722</v>
      </c>
      <c r="G261" s="189" t="s">
        <v>690</v>
      </c>
      <c r="H261" s="197"/>
      <c r="I261" s="195"/>
      <c r="J261" s="195"/>
      <c r="K261" s="192">
        <v>9978419.4500000011</v>
      </c>
      <c r="L261" s="192">
        <v>3054584.92</v>
      </c>
      <c r="M261" s="192">
        <v>29543003.380000003</v>
      </c>
      <c r="N261" s="192">
        <v>22116882.009999998</v>
      </c>
      <c r="O261" s="192">
        <v>276345.46999999997</v>
      </c>
      <c r="P261" s="192">
        <v>9659549.4599999972</v>
      </c>
      <c r="Q261" s="192">
        <v>703917.64</v>
      </c>
      <c r="R261" s="192">
        <v>74628784.689999998</v>
      </c>
      <c r="S261" s="192">
        <v>9426488.0700000003</v>
      </c>
      <c r="T261" s="192">
        <v>4250824.33</v>
      </c>
      <c r="U261" s="192">
        <v>25240506.300000001</v>
      </c>
      <c r="V261" s="192">
        <v>20921243.949999999</v>
      </c>
      <c r="W261" s="192">
        <v>299585.19999999995</v>
      </c>
      <c r="X261" s="192">
        <v>8958635.089999998</v>
      </c>
      <c r="Y261" s="192">
        <v>685374.12</v>
      </c>
      <c r="Z261" s="192">
        <v>69097282.940000013</v>
      </c>
      <c r="AA261" s="193">
        <v>551931.38000000082</v>
      </c>
      <c r="AB261" s="193">
        <v>-1196239.4100000001</v>
      </c>
      <c r="AC261" s="193">
        <v>4302497.0800000019</v>
      </c>
      <c r="AD261" s="193">
        <v>1195638.0599999987</v>
      </c>
      <c r="AE261" s="193">
        <v>-23239.729999999981</v>
      </c>
      <c r="AF261" s="193">
        <v>700914.36999999918</v>
      </c>
      <c r="AG261" s="193">
        <v>18543.520000000019</v>
      </c>
      <c r="AH261" s="193">
        <v>5531501.7499999851</v>
      </c>
      <c r="AI261" s="194">
        <v>5.8551114253943011</v>
      </c>
      <c r="AJ261" s="194">
        <v>-28.141351350550874</v>
      </c>
      <c r="AK261" s="194">
        <v>17.046001490073127</v>
      </c>
      <c r="AL261" s="194">
        <v>5.7149472701406872</v>
      </c>
      <c r="AM261" s="194">
        <v>-7.7573024301600952</v>
      </c>
      <c r="AN261" s="194">
        <v>7.8238968655212782</v>
      </c>
      <c r="AO261" s="194">
        <v>2.7056055165899786</v>
      </c>
      <c r="AP261" s="194">
        <v>8.0053824327697711</v>
      </c>
    </row>
    <row r="262" spans="1:42" ht="12" customHeight="1">
      <c r="A262" s="189" t="s">
        <v>812</v>
      </c>
      <c r="B262" s="189"/>
      <c r="C262" s="189" t="s">
        <v>215</v>
      </c>
      <c r="D262" s="189" t="s">
        <v>756</v>
      </c>
      <c r="E262" s="189" t="s">
        <v>874</v>
      </c>
      <c r="F262" s="190" t="s">
        <v>722</v>
      </c>
      <c r="G262" s="189" t="s">
        <v>690</v>
      </c>
      <c r="H262" s="197"/>
      <c r="I262" s="195"/>
      <c r="J262" s="195"/>
      <c r="K262" s="192">
        <v>8818827</v>
      </c>
      <c r="L262" s="192">
        <v>5768746</v>
      </c>
      <c r="M262" s="192">
        <v>38531444</v>
      </c>
      <c r="N262" s="192">
        <v>31613033</v>
      </c>
      <c r="O262" s="192">
        <v>267621</v>
      </c>
      <c r="P262" s="192">
        <v>11531791</v>
      </c>
      <c r="Q262" s="192">
        <v>2387302</v>
      </c>
      <c r="R262" s="192">
        <v>96531462</v>
      </c>
      <c r="S262" s="192">
        <v>8400358</v>
      </c>
      <c r="T262" s="192">
        <v>5416172</v>
      </c>
      <c r="U262" s="192">
        <v>33284065</v>
      </c>
      <c r="V262" s="192">
        <v>28612315</v>
      </c>
      <c r="W262" s="192">
        <v>242804</v>
      </c>
      <c r="X262" s="192">
        <v>10746781</v>
      </c>
      <c r="Y262" s="192">
        <v>1229289</v>
      </c>
      <c r="Z262" s="192">
        <v>86702495</v>
      </c>
      <c r="AA262" s="193">
        <v>418469</v>
      </c>
      <c r="AB262" s="193">
        <v>352574</v>
      </c>
      <c r="AC262" s="193">
        <v>5247379</v>
      </c>
      <c r="AD262" s="193">
        <v>3000718</v>
      </c>
      <c r="AE262" s="193">
        <v>24817</v>
      </c>
      <c r="AF262" s="193">
        <v>785010</v>
      </c>
      <c r="AG262" s="193">
        <v>1158013</v>
      </c>
      <c r="AH262" s="193">
        <v>9828967</v>
      </c>
      <c r="AI262" s="194">
        <v>4.981561500117019</v>
      </c>
      <c r="AJ262" s="194">
        <v>6.5096529430749239</v>
      </c>
      <c r="AK262" s="194">
        <v>15.765439107272506</v>
      </c>
      <c r="AL262" s="194">
        <v>10.48750511798853</v>
      </c>
      <c r="AM262" s="194">
        <v>10.221001301461261</v>
      </c>
      <c r="AN262" s="194">
        <v>7.3046059094346489</v>
      </c>
      <c r="AO262" s="194">
        <v>94.201851639443618</v>
      </c>
      <c r="AP262" s="194">
        <v>11.336429245778913</v>
      </c>
    </row>
    <row r="263" spans="1:42" ht="12" customHeight="1">
      <c r="A263" s="189" t="s">
        <v>563</v>
      </c>
      <c r="B263" s="189"/>
      <c r="C263" s="189" t="s">
        <v>219</v>
      </c>
      <c r="D263" s="189" t="s">
        <v>755</v>
      </c>
      <c r="E263" s="189" t="s">
        <v>876</v>
      </c>
      <c r="F263" s="190" t="s">
        <v>722</v>
      </c>
      <c r="G263" s="189" t="s">
        <v>690</v>
      </c>
      <c r="H263" s="197"/>
      <c r="I263" s="195"/>
      <c r="J263" s="195"/>
      <c r="K263" s="192">
        <v>6412353.0600000005</v>
      </c>
      <c r="L263" s="192">
        <v>3014610.77</v>
      </c>
      <c r="M263" s="192">
        <v>21545989.79999999</v>
      </c>
      <c r="N263" s="192">
        <v>13930505.970000001</v>
      </c>
      <c r="O263" s="192">
        <v>248706.1</v>
      </c>
      <c r="P263" s="192">
        <v>7031629.4699999997</v>
      </c>
      <c r="Q263" s="192">
        <v>621668.01</v>
      </c>
      <c r="R263" s="192">
        <v>52183795.169999987</v>
      </c>
      <c r="S263" s="192">
        <v>5834671.7300000004</v>
      </c>
      <c r="T263" s="192">
        <v>2553333.2199999993</v>
      </c>
      <c r="U263" s="192">
        <v>18683062.669999998</v>
      </c>
      <c r="V263" s="192">
        <v>13484730.950000003</v>
      </c>
      <c r="W263" s="192">
        <v>293724.08</v>
      </c>
      <c r="X263" s="192">
        <v>6593445.0200000014</v>
      </c>
      <c r="Y263" s="192">
        <v>590872.66</v>
      </c>
      <c r="Z263" s="192">
        <v>47442967.670000002</v>
      </c>
      <c r="AA263" s="193">
        <v>577681.33000000007</v>
      </c>
      <c r="AB263" s="193">
        <v>461277.55000000075</v>
      </c>
      <c r="AC263" s="193">
        <v>2862927.1299999915</v>
      </c>
      <c r="AD263" s="193">
        <v>445775.01999999769</v>
      </c>
      <c r="AE263" s="193">
        <v>-45017.98000000001</v>
      </c>
      <c r="AF263" s="193">
        <v>438184.44999999832</v>
      </c>
      <c r="AG263" s="193">
        <v>30795.349999999977</v>
      </c>
      <c r="AH263" s="193">
        <v>4740827.4999999851</v>
      </c>
      <c r="AI263" s="194">
        <v>9.900836871931439</v>
      </c>
      <c r="AJ263" s="194">
        <v>18.065701193516798</v>
      </c>
      <c r="AK263" s="194">
        <v>15.323649984844758</v>
      </c>
      <c r="AL263" s="194">
        <v>3.3057761526936331</v>
      </c>
      <c r="AM263" s="194">
        <v>-15.326622182287542</v>
      </c>
      <c r="AN263" s="194">
        <v>6.6457587599630621</v>
      </c>
      <c r="AO263" s="194">
        <v>5.2118420913230237</v>
      </c>
      <c r="AP263" s="194">
        <v>9.9926875000228765</v>
      </c>
    </row>
    <row r="264" spans="1:42" ht="12" customHeight="1">
      <c r="A264" s="189" t="s">
        <v>564</v>
      </c>
      <c r="B264" s="189"/>
      <c r="C264" s="189" t="s">
        <v>220</v>
      </c>
      <c r="D264" s="189" t="s">
        <v>755</v>
      </c>
      <c r="E264" s="189" t="s">
        <v>876</v>
      </c>
      <c r="F264" s="190" t="s">
        <v>722</v>
      </c>
      <c r="G264" s="189" t="s">
        <v>690</v>
      </c>
      <c r="H264" s="197"/>
      <c r="I264" s="195"/>
      <c r="J264" s="195"/>
      <c r="K264" s="192">
        <v>8739410.5500000007</v>
      </c>
      <c r="L264" s="192">
        <v>4205044.59</v>
      </c>
      <c r="M264" s="192">
        <v>30813530.829999994</v>
      </c>
      <c r="N264" s="192">
        <v>19961742.190000001</v>
      </c>
      <c r="O264" s="192">
        <v>234546.63</v>
      </c>
      <c r="P264" s="192">
        <v>10022750.5</v>
      </c>
      <c r="Q264" s="192">
        <v>773185.7</v>
      </c>
      <c r="R264" s="192">
        <v>73977025.289999992</v>
      </c>
      <c r="S264" s="192">
        <v>8129590.0499999998</v>
      </c>
      <c r="T264" s="192">
        <v>3957921.3099999996</v>
      </c>
      <c r="U264" s="192">
        <v>26114579.929999989</v>
      </c>
      <c r="V264" s="192">
        <v>18722391.720000003</v>
      </c>
      <c r="W264" s="192">
        <v>218088.41</v>
      </c>
      <c r="X264" s="192">
        <v>9038305.3300000001</v>
      </c>
      <c r="Y264" s="192">
        <v>640094.92000000004</v>
      </c>
      <c r="Z264" s="192">
        <v>66180876.749999985</v>
      </c>
      <c r="AA264" s="193">
        <v>609820.50000000093</v>
      </c>
      <c r="AB264" s="193">
        <v>247123.28000000026</v>
      </c>
      <c r="AC264" s="193">
        <v>4698950.900000006</v>
      </c>
      <c r="AD264" s="193">
        <v>1239350.4699999988</v>
      </c>
      <c r="AE264" s="193">
        <v>16458.22</v>
      </c>
      <c r="AF264" s="193">
        <v>984445.16999999993</v>
      </c>
      <c r="AG264" s="193">
        <v>133090.77999999991</v>
      </c>
      <c r="AH264" s="193">
        <v>7796148.5400000066</v>
      </c>
      <c r="AI264" s="194">
        <v>7.5012454041271246</v>
      </c>
      <c r="AJ264" s="194">
        <v>6.2437643561943448</v>
      </c>
      <c r="AK264" s="194">
        <v>17.993591750644743</v>
      </c>
      <c r="AL264" s="194">
        <v>6.6196161715603647</v>
      </c>
      <c r="AM264" s="194">
        <v>7.546581682171924</v>
      </c>
      <c r="AN264" s="194">
        <v>10.891922036893613</v>
      </c>
      <c r="AO264" s="194">
        <v>20.792350609500211</v>
      </c>
      <c r="AP264" s="194">
        <v>11.780062342555787</v>
      </c>
    </row>
    <row r="265" spans="1:42" ht="12" customHeight="1">
      <c r="A265" s="189" t="s">
        <v>565</v>
      </c>
      <c r="B265" s="189"/>
      <c r="C265" s="189" t="s">
        <v>224</v>
      </c>
      <c r="D265" s="189" t="s">
        <v>755</v>
      </c>
      <c r="E265" s="189" t="s">
        <v>874</v>
      </c>
      <c r="F265" s="190" t="s">
        <v>722</v>
      </c>
      <c r="G265" s="189" t="s">
        <v>690</v>
      </c>
      <c r="H265" s="197"/>
      <c r="I265" s="195"/>
      <c r="J265" s="195"/>
      <c r="K265" s="192">
        <v>6309870</v>
      </c>
      <c r="L265" s="192">
        <v>2730105.0000000005</v>
      </c>
      <c r="M265" s="192">
        <v>22622972.230000008</v>
      </c>
      <c r="N265" s="192">
        <v>17451471.940000001</v>
      </c>
      <c r="O265" s="192">
        <v>151600.07</v>
      </c>
      <c r="P265" s="192">
        <v>7663871.5200000005</v>
      </c>
      <c r="Q265" s="192">
        <v>573841.13</v>
      </c>
      <c r="R265" s="192">
        <v>56929890.760000013</v>
      </c>
      <c r="S265" s="192">
        <v>5850779.5899999999</v>
      </c>
      <c r="T265" s="192">
        <v>2263392.2199999997</v>
      </c>
      <c r="U265" s="192">
        <v>18875252.019999988</v>
      </c>
      <c r="V265" s="192">
        <v>16192157.66</v>
      </c>
      <c r="W265" s="192">
        <v>205713.27000000002</v>
      </c>
      <c r="X265" s="192">
        <v>6874884.0600000005</v>
      </c>
      <c r="Y265" s="192">
        <v>478580.49</v>
      </c>
      <c r="Z265" s="192">
        <v>50262178.819999993</v>
      </c>
      <c r="AA265" s="193">
        <v>459090.41000000015</v>
      </c>
      <c r="AB265" s="193">
        <v>466712.78000000073</v>
      </c>
      <c r="AC265" s="193">
        <v>3747720.2100000195</v>
      </c>
      <c r="AD265" s="193">
        <v>1259314.2800000012</v>
      </c>
      <c r="AE265" s="193">
        <v>-54113.200000000012</v>
      </c>
      <c r="AF265" s="193">
        <v>788987.46</v>
      </c>
      <c r="AG265" s="193">
        <v>95260.640000000014</v>
      </c>
      <c r="AH265" s="193">
        <v>6667711.94000002</v>
      </c>
      <c r="AI265" s="194">
        <v>7.8466536456896359</v>
      </c>
      <c r="AJ265" s="194">
        <v>20.620057623066355</v>
      </c>
      <c r="AK265" s="194">
        <v>19.855206203493232</v>
      </c>
      <c r="AL265" s="194">
        <v>7.7773098955855966</v>
      </c>
      <c r="AM265" s="194">
        <v>-26.305157659493727</v>
      </c>
      <c r="AN265" s="194">
        <v>11.476374773947823</v>
      </c>
      <c r="AO265" s="194">
        <v>19.904831473593923</v>
      </c>
      <c r="AP265" s="194">
        <v>13.265863312210509</v>
      </c>
    </row>
    <row r="266" spans="1:42" ht="12" customHeight="1">
      <c r="A266" s="189" t="s">
        <v>566</v>
      </c>
      <c r="B266" s="189"/>
      <c r="C266" s="189" t="s">
        <v>225</v>
      </c>
      <c r="D266" s="189" t="s">
        <v>755</v>
      </c>
      <c r="E266" s="189" t="s">
        <v>874</v>
      </c>
      <c r="F266" s="190" t="s">
        <v>722</v>
      </c>
      <c r="G266" s="189" t="s">
        <v>690</v>
      </c>
      <c r="H266" s="197"/>
      <c r="I266" s="195"/>
      <c r="J266" s="195"/>
      <c r="K266" s="192">
        <v>8622573</v>
      </c>
      <c r="L266" s="192">
        <v>5545909.3399999999</v>
      </c>
      <c r="M266" s="192">
        <v>32730498.800000001</v>
      </c>
      <c r="N266" s="192">
        <v>25838549.030000005</v>
      </c>
      <c r="O266" s="192">
        <v>247408.78</v>
      </c>
      <c r="P266" s="192">
        <v>10561281.880000001</v>
      </c>
      <c r="Q266" s="192">
        <v>907502.12</v>
      </c>
      <c r="R266" s="192">
        <v>83546220.829999998</v>
      </c>
      <c r="S266" s="192">
        <v>7809590.0599999996</v>
      </c>
      <c r="T266" s="192">
        <v>4940204.7199999988</v>
      </c>
      <c r="U266" s="192">
        <v>26980257.740000006</v>
      </c>
      <c r="V266" s="192">
        <v>23758729.859999999</v>
      </c>
      <c r="W266" s="192">
        <v>268963.53999999998</v>
      </c>
      <c r="X266" s="192">
        <v>9546272.3599999975</v>
      </c>
      <c r="Y266" s="192">
        <v>861468.52</v>
      </c>
      <c r="Z266" s="192">
        <v>73304018.280000001</v>
      </c>
      <c r="AA266" s="193">
        <v>812982.94000000041</v>
      </c>
      <c r="AB266" s="193">
        <v>605704.62000000104</v>
      </c>
      <c r="AC266" s="193">
        <v>5750241.0599999949</v>
      </c>
      <c r="AD266" s="193">
        <v>2079819.1700000055</v>
      </c>
      <c r="AE266" s="193">
        <v>-21554.75999999998</v>
      </c>
      <c r="AF266" s="193">
        <v>1015009.5200000033</v>
      </c>
      <c r="AG266" s="193">
        <v>46033.599999999977</v>
      </c>
      <c r="AH266" s="193">
        <v>10242202.549999997</v>
      </c>
      <c r="AI266" s="194">
        <v>10.410059090860916</v>
      </c>
      <c r="AJ266" s="194">
        <v>12.260719025425351</v>
      </c>
      <c r="AK266" s="194">
        <v>21.312772900144999</v>
      </c>
      <c r="AL266" s="194">
        <v>8.7539156438727463</v>
      </c>
      <c r="AM266" s="194">
        <v>-8.0140081440034532</v>
      </c>
      <c r="AN266" s="194">
        <v>10.632522116727074</v>
      </c>
      <c r="AO266" s="194">
        <v>5.3436195207690202</v>
      </c>
      <c r="AP266" s="194">
        <v>13.972225248113638</v>
      </c>
    </row>
    <row r="267" spans="1:42" ht="12" customHeight="1">
      <c r="A267" s="189" t="s">
        <v>813</v>
      </c>
      <c r="B267" s="189"/>
      <c r="C267" s="189" t="s">
        <v>212</v>
      </c>
      <c r="D267" s="189" t="s">
        <v>755</v>
      </c>
      <c r="E267" s="189" t="s">
        <v>876</v>
      </c>
      <c r="F267" s="190" t="s">
        <v>722</v>
      </c>
      <c r="G267" s="189" t="s">
        <v>690</v>
      </c>
      <c r="H267" s="197"/>
      <c r="I267" s="195"/>
      <c r="J267" s="195"/>
      <c r="K267" s="192">
        <v>10434959.68</v>
      </c>
      <c r="L267" s="192">
        <v>3838102.09</v>
      </c>
      <c r="M267" s="192">
        <v>34960773.249999993</v>
      </c>
      <c r="N267" s="192">
        <v>25513451.120000001</v>
      </c>
      <c r="O267" s="192">
        <v>247548.44999999998</v>
      </c>
      <c r="P267" s="192">
        <v>11645710.910000002</v>
      </c>
      <c r="Q267" s="192">
        <v>1103253.22</v>
      </c>
      <c r="R267" s="192">
        <v>86640545.5</v>
      </c>
      <c r="S267" s="192">
        <v>9953553.9500000011</v>
      </c>
      <c r="T267" s="192">
        <v>4111907.5099999988</v>
      </c>
      <c r="U267" s="192">
        <v>28975177.700000007</v>
      </c>
      <c r="V267" s="192">
        <v>22874573.539999999</v>
      </c>
      <c r="W267" s="192">
        <v>237364.63999999998</v>
      </c>
      <c r="X267" s="192">
        <v>10666927.220000003</v>
      </c>
      <c r="Y267" s="192">
        <v>983316.71000000008</v>
      </c>
      <c r="Z267" s="192">
        <v>76819504.560000017</v>
      </c>
      <c r="AA267" s="193">
        <v>481405.72999999858</v>
      </c>
      <c r="AB267" s="193">
        <v>-273805.41999999899</v>
      </c>
      <c r="AC267" s="193">
        <v>5985595.5499999858</v>
      </c>
      <c r="AD267" s="193">
        <v>2638877.5800000019</v>
      </c>
      <c r="AE267" s="193">
        <v>10183.809999999998</v>
      </c>
      <c r="AF267" s="193">
        <v>978783.68999999948</v>
      </c>
      <c r="AG267" s="193">
        <v>119936.50999999989</v>
      </c>
      <c r="AH267" s="193">
        <v>9821040.9399999827</v>
      </c>
      <c r="AI267" s="194">
        <v>4.8365210297574022</v>
      </c>
      <c r="AJ267" s="194">
        <v>-6.6588418959841604</v>
      </c>
      <c r="AK267" s="194">
        <v>20.657666406649803</v>
      </c>
      <c r="AL267" s="194">
        <v>11.536291924242807</v>
      </c>
      <c r="AM267" s="194">
        <v>4.2903652372147754</v>
      </c>
      <c r="AN267" s="194">
        <v>9.1758729558482841</v>
      </c>
      <c r="AO267" s="194">
        <v>12.197139414014421</v>
      </c>
      <c r="AP267" s="194">
        <v>12.784566883439402</v>
      </c>
    </row>
    <row r="268" spans="1:42" ht="12" customHeight="1">
      <c r="A268" s="189" t="s">
        <v>567</v>
      </c>
      <c r="B268" s="189"/>
      <c r="C268" s="189" t="s">
        <v>226</v>
      </c>
      <c r="D268" s="189" t="s">
        <v>755</v>
      </c>
      <c r="E268" s="189" t="s">
        <v>876</v>
      </c>
      <c r="F268" s="190" t="s">
        <v>722</v>
      </c>
      <c r="G268" s="189" t="s">
        <v>690</v>
      </c>
      <c r="H268" s="197"/>
      <c r="I268" s="195"/>
      <c r="J268" s="195"/>
      <c r="K268" s="192">
        <v>6405811.0399999991</v>
      </c>
      <c r="L268" s="192">
        <v>4575771.5500000007</v>
      </c>
      <c r="M268" s="192">
        <v>29202766</v>
      </c>
      <c r="N268" s="192">
        <v>18435061.349999998</v>
      </c>
      <c r="O268" s="192">
        <v>316685.23</v>
      </c>
      <c r="P268" s="192">
        <v>9134229.3400000017</v>
      </c>
      <c r="Q268" s="192">
        <v>665518.55000000005</v>
      </c>
      <c r="R268" s="192">
        <v>68070324.50999999</v>
      </c>
      <c r="S268" s="192">
        <v>6016756.6100000003</v>
      </c>
      <c r="T268" s="192">
        <v>3793498.5499999993</v>
      </c>
      <c r="U268" s="192">
        <v>24298999.750000004</v>
      </c>
      <c r="V268" s="192">
        <v>16483495.189999999</v>
      </c>
      <c r="W268" s="192">
        <v>305251.72000000003</v>
      </c>
      <c r="X268" s="192">
        <v>8034842.0599999987</v>
      </c>
      <c r="Y268" s="192">
        <v>598141.97</v>
      </c>
      <c r="Z268" s="192">
        <v>58932843.879999995</v>
      </c>
      <c r="AA268" s="193">
        <v>389054.42999999877</v>
      </c>
      <c r="AB268" s="193">
        <v>782273.0000000014</v>
      </c>
      <c r="AC268" s="193">
        <v>4903766.2499999963</v>
      </c>
      <c r="AD268" s="193">
        <v>1951566.1599999983</v>
      </c>
      <c r="AE268" s="193">
        <v>11433.509999999951</v>
      </c>
      <c r="AF268" s="193">
        <v>1099387.2800000031</v>
      </c>
      <c r="AG268" s="193">
        <v>67376.580000000075</v>
      </c>
      <c r="AH268" s="193">
        <v>9137480.6299999952</v>
      </c>
      <c r="AI268" s="194">
        <v>6.4661819518073997</v>
      </c>
      <c r="AJ268" s="194">
        <v>20.621412917107918</v>
      </c>
      <c r="AK268" s="194">
        <v>20.180938723619665</v>
      </c>
      <c r="AL268" s="194">
        <v>11.839516665033214</v>
      </c>
      <c r="AM268" s="194">
        <v>3.7456005161903594</v>
      </c>
      <c r="AN268" s="194">
        <v>13.682749104342735</v>
      </c>
      <c r="AO268" s="194">
        <v>11.264312383897769</v>
      </c>
      <c r="AP268" s="194">
        <v>15.5049035960421</v>
      </c>
    </row>
    <row r="269" spans="1:42" ht="12" customHeight="1">
      <c r="A269" s="189" t="s">
        <v>568</v>
      </c>
      <c r="B269" s="189"/>
      <c r="C269" s="189" t="s">
        <v>227</v>
      </c>
      <c r="D269" s="189" t="s">
        <v>755</v>
      </c>
      <c r="E269" s="189" t="s">
        <v>879</v>
      </c>
      <c r="F269" s="190" t="s">
        <v>722</v>
      </c>
      <c r="G269" s="189" t="s">
        <v>690</v>
      </c>
      <c r="H269" s="279"/>
      <c r="I269" s="195"/>
      <c r="J269" s="195"/>
      <c r="K269" s="192">
        <v>11634666.850000001</v>
      </c>
      <c r="L269" s="192">
        <v>6800445.4300000006</v>
      </c>
      <c r="M269" s="192">
        <v>40751796.600000016</v>
      </c>
      <c r="N269" s="192">
        <v>28387801.260000005</v>
      </c>
      <c r="O269" s="192">
        <v>295901.57</v>
      </c>
      <c r="P269" s="192">
        <v>13615139.209999999</v>
      </c>
      <c r="Q269" s="192">
        <v>734198.48</v>
      </c>
      <c r="R269" s="192">
        <v>101485750.92</v>
      </c>
      <c r="S269" s="192">
        <v>11157648.41</v>
      </c>
      <c r="T269" s="192">
        <v>5829264.0199999996</v>
      </c>
      <c r="U269" s="192">
        <v>35948998.770000003</v>
      </c>
      <c r="V269" s="192">
        <v>26697329.68</v>
      </c>
      <c r="W269" s="192">
        <v>376566.11000000004</v>
      </c>
      <c r="X269" s="192">
        <v>12745278.139999999</v>
      </c>
      <c r="Y269" s="192">
        <v>690879.91999999993</v>
      </c>
      <c r="Z269" s="192">
        <v>92755085.129999995</v>
      </c>
      <c r="AA269" s="193">
        <v>477018.44000000134</v>
      </c>
      <c r="AB269" s="193">
        <v>971181.41000000108</v>
      </c>
      <c r="AC269" s="193">
        <v>4802797.8300000131</v>
      </c>
      <c r="AD269" s="193">
        <v>1690471.5800000057</v>
      </c>
      <c r="AE269" s="193">
        <v>-80664.540000000037</v>
      </c>
      <c r="AF269" s="193">
        <v>869861.0700000003</v>
      </c>
      <c r="AG269" s="193">
        <v>43318.560000000056</v>
      </c>
      <c r="AH269" s="193">
        <v>8730665.7900000066</v>
      </c>
      <c r="AI269" s="194">
        <v>4.2752596467592161</v>
      </c>
      <c r="AJ269" s="194">
        <v>16.660446441744821</v>
      </c>
      <c r="AK269" s="194">
        <v>13.36003225215836</v>
      </c>
      <c r="AL269" s="194">
        <v>6.3319875068494333</v>
      </c>
      <c r="AM269" s="194">
        <v>-21.421083272735306</v>
      </c>
      <c r="AN269" s="194">
        <v>6.8249673364915706</v>
      </c>
      <c r="AO269" s="194">
        <v>6.2700563073247313</v>
      </c>
      <c r="AP269" s="194">
        <v>9.412600697593696</v>
      </c>
    </row>
    <row r="270" spans="1:42" ht="12" customHeight="1">
      <c r="A270" s="189" t="s">
        <v>569</v>
      </c>
      <c r="B270" s="189"/>
      <c r="C270" s="189" t="s">
        <v>887</v>
      </c>
      <c r="D270" s="189" t="s">
        <v>755</v>
      </c>
      <c r="E270" s="189" t="s">
        <v>882</v>
      </c>
      <c r="F270" s="190" t="s">
        <v>725</v>
      </c>
      <c r="G270" s="189" t="s">
        <v>691</v>
      </c>
      <c r="H270" s="197"/>
      <c r="I270" s="195"/>
      <c r="J270" s="195"/>
      <c r="K270" s="192">
        <v>43895253.700000003</v>
      </c>
      <c r="L270" s="192">
        <v>33827660.079999998</v>
      </c>
      <c r="M270" s="192">
        <v>163736532.45999998</v>
      </c>
      <c r="N270" s="192">
        <v>126809129.22999997</v>
      </c>
      <c r="O270" s="192">
        <v>1524380.2200000002</v>
      </c>
      <c r="P270" s="192">
        <v>52222533.920000009</v>
      </c>
      <c r="Q270" s="192">
        <v>5452256.2599999998</v>
      </c>
      <c r="R270" s="192">
        <v>422015489.61000001</v>
      </c>
      <c r="S270" s="192">
        <v>43259849.289999999</v>
      </c>
      <c r="T270" s="192">
        <v>36002534.470000006</v>
      </c>
      <c r="U270" s="192">
        <v>140694589.59999999</v>
      </c>
      <c r="V270" s="192">
        <v>121115489.31000002</v>
      </c>
      <c r="W270" s="192">
        <v>1587472.27</v>
      </c>
      <c r="X270" s="192">
        <v>48784703.209999993</v>
      </c>
      <c r="Y270" s="192">
        <v>5753894.1799999997</v>
      </c>
      <c r="Z270" s="192">
        <v>391444638.14999998</v>
      </c>
      <c r="AA270" s="193">
        <v>635404.41000000387</v>
      </c>
      <c r="AB270" s="193">
        <v>-2174874.390000008</v>
      </c>
      <c r="AC270" s="193">
        <v>23041942.859999985</v>
      </c>
      <c r="AD270" s="193">
        <v>5693639.9199999571</v>
      </c>
      <c r="AE270" s="193">
        <v>-63092.049999999814</v>
      </c>
      <c r="AF270" s="193">
        <v>3437830.7100000158</v>
      </c>
      <c r="AG270" s="193">
        <v>-301637.91999999993</v>
      </c>
      <c r="AH270" s="193">
        <v>30570851.460000038</v>
      </c>
      <c r="AI270" s="194">
        <v>1.4688086538176746</v>
      </c>
      <c r="AJ270" s="194">
        <v>-6.0408924594246978</v>
      </c>
      <c r="AK270" s="194">
        <v>16.37727714015805</v>
      </c>
      <c r="AL270" s="194">
        <v>4.7010006337231189</v>
      </c>
      <c r="AM270" s="194">
        <v>-3.9743717854044665</v>
      </c>
      <c r="AN270" s="194">
        <v>7.0469439881625062</v>
      </c>
      <c r="AO270" s="194">
        <v>-5.2423265107736121</v>
      </c>
      <c r="AP270" s="194">
        <v>7.8097509789584629</v>
      </c>
    </row>
    <row r="271" spans="1:42" ht="12" customHeight="1">
      <c r="A271" s="189" t="s">
        <v>850</v>
      </c>
      <c r="B271" s="189"/>
      <c r="C271" s="189" t="s">
        <v>221</v>
      </c>
      <c r="D271" s="189" t="s">
        <v>755</v>
      </c>
      <c r="E271" s="189" t="s">
        <v>879</v>
      </c>
      <c r="F271" s="190" t="s">
        <v>725</v>
      </c>
      <c r="G271" s="189" t="s">
        <v>691</v>
      </c>
      <c r="H271" s="197"/>
      <c r="I271" s="195"/>
      <c r="J271" s="195"/>
      <c r="K271" s="192">
        <v>13801259.41</v>
      </c>
      <c r="L271" s="192">
        <v>8019563.7600000007</v>
      </c>
      <c r="M271" s="192">
        <v>49191793.829999998</v>
      </c>
      <c r="N271" s="192">
        <v>35927491.890000001</v>
      </c>
      <c r="O271" s="192">
        <v>794806.88</v>
      </c>
      <c r="P271" s="192">
        <v>15626061.969999997</v>
      </c>
      <c r="Q271" s="192">
        <v>1926265.42</v>
      </c>
      <c r="R271" s="192">
        <v>123360977.73999999</v>
      </c>
      <c r="S271" s="192">
        <v>12899903.550000001</v>
      </c>
      <c r="T271" s="192">
        <v>8151948.8299999991</v>
      </c>
      <c r="U271" s="192">
        <v>41766292.180000007</v>
      </c>
      <c r="V271" s="192">
        <v>31705626.57</v>
      </c>
      <c r="W271" s="192">
        <v>566255.86</v>
      </c>
      <c r="X271" s="192">
        <v>14368862.730000002</v>
      </c>
      <c r="Y271" s="192">
        <v>1752253.1099999999</v>
      </c>
      <c r="Z271" s="192">
        <v>109458889.72</v>
      </c>
      <c r="AA271" s="193">
        <v>901355.8599999994</v>
      </c>
      <c r="AB271" s="193">
        <v>-132385.06999999844</v>
      </c>
      <c r="AC271" s="193">
        <v>7425501.6499999911</v>
      </c>
      <c r="AD271" s="193">
        <v>4221865.32</v>
      </c>
      <c r="AE271" s="193">
        <v>228551.02000000002</v>
      </c>
      <c r="AF271" s="193">
        <v>1257199.2399999946</v>
      </c>
      <c r="AG271" s="193">
        <v>174012.31000000006</v>
      </c>
      <c r="AH271" s="193">
        <v>13902088.019999996</v>
      </c>
      <c r="AI271" s="194">
        <v>6.9873069709889366</v>
      </c>
      <c r="AJ271" s="194">
        <v>-1.6239683634029687</v>
      </c>
      <c r="AK271" s="194">
        <v>17.778694881504777</v>
      </c>
      <c r="AL271" s="194">
        <v>13.315823646250685</v>
      </c>
      <c r="AM271" s="194">
        <v>40.361793341970895</v>
      </c>
      <c r="AN271" s="194">
        <v>8.7494693464859505</v>
      </c>
      <c r="AO271" s="194">
        <v>9.9307747840150817</v>
      </c>
      <c r="AP271" s="194">
        <v>12.700739113617967</v>
      </c>
    </row>
    <row r="272" spans="1:42" ht="12" customHeight="1">
      <c r="A272" s="189" t="s">
        <v>851</v>
      </c>
      <c r="B272" s="189"/>
      <c r="C272" s="189" t="s">
        <v>222</v>
      </c>
      <c r="D272" s="189" t="s">
        <v>756</v>
      </c>
      <c r="E272" s="189" t="s">
        <v>876</v>
      </c>
      <c r="F272" s="190" t="s">
        <v>725</v>
      </c>
      <c r="G272" s="189" t="s">
        <v>691</v>
      </c>
      <c r="H272" s="197"/>
      <c r="I272" s="195"/>
      <c r="J272" s="195"/>
      <c r="K272" s="192">
        <v>5992296</v>
      </c>
      <c r="L272" s="192">
        <v>1127185</v>
      </c>
      <c r="M272" s="192">
        <v>16735361</v>
      </c>
      <c r="N272" s="192">
        <v>10722690</v>
      </c>
      <c r="O272" s="192">
        <v>82971</v>
      </c>
      <c r="P272" s="192">
        <v>5260787</v>
      </c>
      <c r="Q272" s="192">
        <v>796448</v>
      </c>
      <c r="R272" s="192">
        <v>39921290</v>
      </c>
      <c r="S272" s="192">
        <v>5436776</v>
      </c>
      <c r="T272" s="192">
        <v>907753</v>
      </c>
      <c r="U272" s="192">
        <v>13731702</v>
      </c>
      <c r="V272" s="192">
        <v>10007575</v>
      </c>
      <c r="W272" s="192">
        <v>76944</v>
      </c>
      <c r="X272" s="192">
        <v>4699180</v>
      </c>
      <c r="Y272" s="192">
        <v>749961</v>
      </c>
      <c r="Z272" s="192">
        <v>34859930</v>
      </c>
      <c r="AA272" s="193">
        <v>555520</v>
      </c>
      <c r="AB272" s="193">
        <v>219432</v>
      </c>
      <c r="AC272" s="193">
        <v>3003659</v>
      </c>
      <c r="AD272" s="193">
        <v>715115</v>
      </c>
      <c r="AE272" s="193">
        <v>6027</v>
      </c>
      <c r="AF272" s="193">
        <v>561607</v>
      </c>
      <c r="AG272" s="193">
        <v>46487</v>
      </c>
      <c r="AH272" s="193">
        <v>5061360</v>
      </c>
      <c r="AI272" s="194">
        <v>10.217820267011184</v>
      </c>
      <c r="AJ272" s="194">
        <v>24.173095544713156</v>
      </c>
      <c r="AK272" s="194">
        <v>21.873901720267451</v>
      </c>
      <c r="AL272" s="194">
        <v>7.1457371041436106</v>
      </c>
      <c r="AM272" s="194">
        <v>7.8329694323144103</v>
      </c>
      <c r="AN272" s="194">
        <v>11.951170204163279</v>
      </c>
      <c r="AO272" s="194">
        <v>6.1985889932943179</v>
      </c>
      <c r="AP272" s="194">
        <v>14.519134146281992</v>
      </c>
    </row>
    <row r="273" spans="1:42" ht="12" customHeight="1">
      <c r="A273" s="189" t="s">
        <v>852</v>
      </c>
      <c r="B273" s="189"/>
      <c r="C273" s="189" t="s">
        <v>223</v>
      </c>
      <c r="D273" s="189" t="s">
        <v>756</v>
      </c>
      <c r="E273" s="189" t="s">
        <v>879</v>
      </c>
      <c r="F273" s="190" t="s">
        <v>725</v>
      </c>
      <c r="G273" s="189" t="s">
        <v>691</v>
      </c>
      <c r="H273" s="197"/>
      <c r="I273" s="195"/>
      <c r="J273" s="195"/>
      <c r="K273" s="192">
        <v>8553269</v>
      </c>
      <c r="L273" s="192">
        <v>5279548</v>
      </c>
      <c r="M273" s="192">
        <v>31847807</v>
      </c>
      <c r="N273" s="192">
        <v>22116092</v>
      </c>
      <c r="O273" s="192">
        <v>334621</v>
      </c>
      <c r="P273" s="192">
        <v>10392894</v>
      </c>
      <c r="Q273" s="192">
        <v>1164115</v>
      </c>
      <c r="R273" s="192">
        <v>78524231</v>
      </c>
      <c r="S273" s="192">
        <v>8479528</v>
      </c>
      <c r="T273" s="192">
        <v>5051364</v>
      </c>
      <c r="U273" s="192">
        <v>26976834</v>
      </c>
      <c r="V273" s="192">
        <v>19696706</v>
      </c>
      <c r="W273" s="192">
        <v>487351</v>
      </c>
      <c r="X273" s="192">
        <v>9774657</v>
      </c>
      <c r="Y273" s="192">
        <v>1199623</v>
      </c>
      <c r="Z273" s="192">
        <v>70466440</v>
      </c>
      <c r="AA273" s="193">
        <v>73741</v>
      </c>
      <c r="AB273" s="193">
        <v>228184</v>
      </c>
      <c r="AC273" s="193">
        <v>4870973</v>
      </c>
      <c r="AD273" s="193">
        <v>2419386</v>
      </c>
      <c r="AE273" s="193">
        <v>-152730</v>
      </c>
      <c r="AF273" s="193">
        <v>618237</v>
      </c>
      <c r="AG273" s="193">
        <v>-35508</v>
      </c>
      <c r="AH273" s="193">
        <v>8057791</v>
      </c>
      <c r="AI273" s="194">
        <v>0.86963566840041095</v>
      </c>
      <c r="AJ273" s="194">
        <v>4.5172749380167421</v>
      </c>
      <c r="AK273" s="194">
        <v>18.056132902771317</v>
      </c>
      <c r="AL273" s="194">
        <v>12.283201059100948</v>
      </c>
      <c r="AM273" s="194">
        <v>-31.338809195015504</v>
      </c>
      <c r="AN273" s="194">
        <v>6.3248971293826477</v>
      </c>
      <c r="AO273" s="194">
        <v>-2.9599299113138042</v>
      </c>
      <c r="AP273" s="194">
        <v>11.434934133184536</v>
      </c>
    </row>
    <row r="274" spans="1:42" ht="12" customHeight="1">
      <c r="A274" s="189" t="s">
        <v>853</v>
      </c>
      <c r="B274" s="189"/>
      <c r="C274" s="189" t="s">
        <v>231</v>
      </c>
      <c r="D274" s="189" t="s">
        <v>755</v>
      </c>
      <c r="E274" s="189" t="s">
        <v>876</v>
      </c>
      <c r="F274" s="190" t="s">
        <v>725</v>
      </c>
      <c r="G274" s="189" t="s">
        <v>691</v>
      </c>
      <c r="H274" s="197"/>
      <c r="I274" s="195"/>
      <c r="J274" s="195"/>
      <c r="K274" s="192">
        <v>6187377.9000000004</v>
      </c>
      <c r="L274" s="192">
        <v>2843570.3899999992</v>
      </c>
      <c r="M274" s="192">
        <v>19394017.530000001</v>
      </c>
      <c r="N274" s="192">
        <v>14079573.309999999</v>
      </c>
      <c r="O274" s="192">
        <v>233842.99000000002</v>
      </c>
      <c r="P274" s="192">
        <v>6299324.5399999991</v>
      </c>
      <c r="Q274" s="192">
        <v>740682.45</v>
      </c>
      <c r="R274" s="192">
        <v>49037706.659999996</v>
      </c>
      <c r="S274" s="192">
        <v>6022115.6599999983</v>
      </c>
      <c r="T274" s="192">
        <v>2553521.7200000007</v>
      </c>
      <c r="U274" s="192">
        <v>17767460.060000002</v>
      </c>
      <c r="V274" s="192">
        <v>13779511.599999998</v>
      </c>
      <c r="W274" s="192">
        <v>353229.16000000003</v>
      </c>
      <c r="X274" s="192">
        <v>6133647.5099999988</v>
      </c>
      <c r="Y274" s="192">
        <v>735339.06</v>
      </c>
      <c r="Z274" s="192">
        <v>46609485.709999993</v>
      </c>
      <c r="AA274" s="193">
        <v>165262.24000000209</v>
      </c>
      <c r="AB274" s="193">
        <v>290048.66999999853</v>
      </c>
      <c r="AC274" s="193">
        <v>1626557.4699999988</v>
      </c>
      <c r="AD274" s="193">
        <v>300061.71000000089</v>
      </c>
      <c r="AE274" s="193">
        <v>-119386.17000000001</v>
      </c>
      <c r="AF274" s="193">
        <v>165677.03000000026</v>
      </c>
      <c r="AG274" s="193">
        <v>5343.3899999998976</v>
      </c>
      <c r="AH274" s="193">
        <v>2428220.950000003</v>
      </c>
      <c r="AI274" s="194">
        <v>2.7442554964147292</v>
      </c>
      <c r="AJ274" s="194">
        <v>11.358770427846544</v>
      </c>
      <c r="AK274" s="194">
        <v>9.1546988962247795</v>
      </c>
      <c r="AL274" s="194">
        <v>2.177593217454826</v>
      </c>
      <c r="AM274" s="194">
        <v>-33.798503498408792</v>
      </c>
      <c r="AN274" s="194">
        <v>2.7011175606340037</v>
      </c>
      <c r="AO274" s="194">
        <v>0.72665662558437971</v>
      </c>
      <c r="AP274" s="194">
        <v>5.2097141022069504</v>
      </c>
    </row>
    <row r="275" spans="1:42" ht="12" customHeight="1">
      <c r="A275" s="189" t="s">
        <v>854</v>
      </c>
      <c r="B275" s="189"/>
      <c r="C275" s="189" t="s">
        <v>232</v>
      </c>
      <c r="D275" s="189" t="s">
        <v>756</v>
      </c>
      <c r="E275" s="189" t="s">
        <v>876</v>
      </c>
      <c r="F275" s="190" t="s">
        <v>725</v>
      </c>
      <c r="G275" s="189" t="s">
        <v>691</v>
      </c>
      <c r="H275" s="197"/>
      <c r="I275" s="195"/>
      <c r="J275" s="195"/>
      <c r="K275" s="192">
        <v>16090330</v>
      </c>
      <c r="L275" s="192">
        <v>6439836</v>
      </c>
      <c r="M275" s="192">
        <v>53004594</v>
      </c>
      <c r="N275" s="192">
        <v>36482583</v>
      </c>
      <c r="O275" s="192">
        <v>689263</v>
      </c>
      <c r="P275" s="192">
        <v>16607162</v>
      </c>
      <c r="Q275" s="192">
        <v>3890436</v>
      </c>
      <c r="R275" s="192">
        <v>129313768</v>
      </c>
      <c r="S275" s="192">
        <v>15729286</v>
      </c>
      <c r="T275" s="192">
        <v>6032442</v>
      </c>
      <c r="U275" s="192">
        <v>45331369</v>
      </c>
      <c r="V275" s="192">
        <v>33729695</v>
      </c>
      <c r="W275" s="192">
        <v>870900</v>
      </c>
      <c r="X275" s="192">
        <v>15237850</v>
      </c>
      <c r="Y275" s="192">
        <v>3546943</v>
      </c>
      <c r="Z275" s="192">
        <v>116931542</v>
      </c>
      <c r="AA275" s="193">
        <v>361044</v>
      </c>
      <c r="AB275" s="193">
        <v>407394</v>
      </c>
      <c r="AC275" s="193">
        <v>7673225</v>
      </c>
      <c r="AD275" s="193">
        <v>2752888</v>
      </c>
      <c r="AE275" s="193">
        <v>-181637</v>
      </c>
      <c r="AF275" s="193">
        <v>1369312</v>
      </c>
      <c r="AG275" s="193">
        <v>343493</v>
      </c>
      <c r="AH275" s="193">
        <v>12382226</v>
      </c>
      <c r="AI275" s="194">
        <v>2.2953616585012186</v>
      </c>
      <c r="AJ275" s="194">
        <v>6.7533844502773501</v>
      </c>
      <c r="AK275" s="194">
        <v>16.926965077979446</v>
      </c>
      <c r="AL275" s="194">
        <v>8.1616154548684783</v>
      </c>
      <c r="AM275" s="194">
        <v>-20.856240670570674</v>
      </c>
      <c r="AN275" s="194">
        <v>8.9862546225353324</v>
      </c>
      <c r="AO275" s="194">
        <v>9.6841984773930676</v>
      </c>
      <c r="AP275" s="194">
        <v>10.589295059497292</v>
      </c>
    </row>
    <row r="276" spans="1:42" ht="12" customHeight="1">
      <c r="A276" s="189" t="s">
        <v>570</v>
      </c>
      <c r="B276" s="189"/>
      <c r="C276" s="189" t="s">
        <v>233</v>
      </c>
      <c r="D276" s="189" t="s">
        <v>755</v>
      </c>
      <c r="E276" s="189" t="s">
        <v>872</v>
      </c>
      <c r="F276" s="190" t="s">
        <v>722</v>
      </c>
      <c r="G276" s="189" t="s">
        <v>690</v>
      </c>
      <c r="H276" s="197"/>
      <c r="I276" s="195"/>
      <c r="J276" s="195"/>
      <c r="K276" s="192">
        <v>4239208.8599999994</v>
      </c>
      <c r="L276" s="192">
        <v>1611562.6199999999</v>
      </c>
      <c r="M276" s="192">
        <v>15958460.669999998</v>
      </c>
      <c r="N276" s="192">
        <v>11595738.110000001</v>
      </c>
      <c r="O276" s="192">
        <v>119690.14</v>
      </c>
      <c r="P276" s="192">
        <v>5410382.3200000012</v>
      </c>
      <c r="Q276" s="192">
        <v>489885.13</v>
      </c>
      <c r="R276" s="192">
        <v>38935042.719999999</v>
      </c>
      <c r="S276" s="192">
        <v>3752005.57</v>
      </c>
      <c r="T276" s="192">
        <v>1362285.4400000002</v>
      </c>
      <c r="U276" s="192">
        <v>14825764.500000002</v>
      </c>
      <c r="V276" s="192">
        <v>12064769.989999998</v>
      </c>
      <c r="W276" s="192">
        <v>140300.32</v>
      </c>
      <c r="X276" s="192">
        <v>5322779.4799999986</v>
      </c>
      <c r="Y276" s="192">
        <v>509597.43</v>
      </c>
      <c r="Z276" s="192">
        <v>37467905.299999997</v>
      </c>
      <c r="AA276" s="193">
        <v>487203.28999999957</v>
      </c>
      <c r="AB276" s="193">
        <v>249277.1799999997</v>
      </c>
      <c r="AC276" s="193">
        <v>1132696.1699999962</v>
      </c>
      <c r="AD276" s="193">
        <v>-469031.87999999709</v>
      </c>
      <c r="AE276" s="193">
        <v>-20610.180000000008</v>
      </c>
      <c r="AF276" s="193">
        <v>87602.840000002645</v>
      </c>
      <c r="AG276" s="193">
        <v>-19712.299999999988</v>
      </c>
      <c r="AH276" s="193">
        <v>1467137.4200000018</v>
      </c>
      <c r="AI276" s="194">
        <v>12.985143036448093</v>
      </c>
      <c r="AJ276" s="194">
        <v>18.298454397339786</v>
      </c>
      <c r="AK276" s="194">
        <v>7.640052356153344</v>
      </c>
      <c r="AL276" s="194">
        <v>-3.8876155980491856</v>
      </c>
      <c r="AM276" s="194">
        <v>-14.690044897973154</v>
      </c>
      <c r="AN276" s="194">
        <v>1.6458100571170511</v>
      </c>
      <c r="AO276" s="194">
        <v>-3.8682102458797698</v>
      </c>
      <c r="AP276" s="194">
        <v>3.9157177543095849</v>
      </c>
    </row>
    <row r="277" spans="1:42" ht="12" customHeight="1">
      <c r="A277" s="189" t="s">
        <v>571</v>
      </c>
      <c r="B277" s="189"/>
      <c r="C277" s="189" t="s">
        <v>234</v>
      </c>
      <c r="D277" s="189" t="s">
        <v>755</v>
      </c>
      <c r="E277" s="189" t="s">
        <v>872</v>
      </c>
      <c r="F277" s="190" t="s">
        <v>722</v>
      </c>
      <c r="G277" s="189" t="s">
        <v>690</v>
      </c>
      <c r="H277" s="197"/>
      <c r="I277" s="195"/>
      <c r="J277" s="195"/>
      <c r="K277" s="192">
        <v>3049165.3400000003</v>
      </c>
      <c r="L277" s="192">
        <v>884218.99000000011</v>
      </c>
      <c r="M277" s="192">
        <v>12422923.690000001</v>
      </c>
      <c r="N277" s="192">
        <v>9094471.9000000004</v>
      </c>
      <c r="O277" s="192">
        <v>112635.66</v>
      </c>
      <c r="P277" s="192">
        <v>4040108.61</v>
      </c>
      <c r="Q277" s="192">
        <v>290038.24000000005</v>
      </c>
      <c r="R277" s="192">
        <v>29603524.190000001</v>
      </c>
      <c r="S277" s="192">
        <v>2831010.56</v>
      </c>
      <c r="T277" s="192">
        <v>717313.43999999983</v>
      </c>
      <c r="U277" s="192">
        <v>10914589.109999999</v>
      </c>
      <c r="V277" s="192">
        <v>8489372.5700000022</v>
      </c>
      <c r="W277" s="192">
        <v>130874.96</v>
      </c>
      <c r="X277" s="192">
        <v>3799699.48</v>
      </c>
      <c r="Y277" s="192">
        <v>281953.69</v>
      </c>
      <c r="Z277" s="192">
        <v>26882860.120000001</v>
      </c>
      <c r="AA277" s="193">
        <v>218154.78000000026</v>
      </c>
      <c r="AB277" s="193">
        <v>166905.55000000028</v>
      </c>
      <c r="AC277" s="193">
        <v>1508334.5800000019</v>
      </c>
      <c r="AD277" s="193">
        <v>605099.32999999821</v>
      </c>
      <c r="AE277" s="193">
        <v>-18239.300000000003</v>
      </c>
      <c r="AF277" s="193">
        <v>240409.12999999989</v>
      </c>
      <c r="AG277" s="193">
        <v>8084.5500000000466</v>
      </c>
      <c r="AH277" s="193">
        <v>2720664.0700000003</v>
      </c>
      <c r="AI277" s="194">
        <v>7.7058977837228646</v>
      </c>
      <c r="AJ277" s="194">
        <v>23.268147603647343</v>
      </c>
      <c r="AK277" s="194">
        <v>13.819435297092939</v>
      </c>
      <c r="AL277" s="194">
        <v>7.1277273439301778</v>
      </c>
      <c r="AM277" s="194">
        <v>-13.936432148670763</v>
      </c>
      <c r="AN277" s="194">
        <v>6.3270564228937358</v>
      </c>
      <c r="AO277" s="194">
        <v>2.8673325750764413</v>
      </c>
      <c r="AP277" s="194">
        <v>10.120441269476055</v>
      </c>
    </row>
    <row r="278" spans="1:42" ht="12" customHeight="1">
      <c r="A278" s="189" t="s">
        <v>572</v>
      </c>
      <c r="B278" s="189"/>
      <c r="C278" s="189" t="s">
        <v>235</v>
      </c>
      <c r="D278" s="189" t="s">
        <v>755</v>
      </c>
      <c r="E278" s="189" t="s">
        <v>877</v>
      </c>
      <c r="F278" s="190" t="s">
        <v>722</v>
      </c>
      <c r="G278" s="189" t="s">
        <v>690</v>
      </c>
      <c r="H278" s="197"/>
      <c r="I278" s="195"/>
      <c r="J278" s="195"/>
      <c r="K278" s="192">
        <v>9043402.9399999995</v>
      </c>
      <c r="L278" s="192">
        <v>4414995.1100000003</v>
      </c>
      <c r="M278" s="192">
        <v>34983695.739999995</v>
      </c>
      <c r="N278" s="192">
        <v>30901185.549999993</v>
      </c>
      <c r="O278" s="192">
        <v>588053.56999999995</v>
      </c>
      <c r="P278" s="192">
        <v>11453580.02</v>
      </c>
      <c r="Q278" s="192">
        <v>1001014.52</v>
      </c>
      <c r="R278" s="192">
        <v>91384912.929999977</v>
      </c>
      <c r="S278" s="192">
        <v>8046464.9500000011</v>
      </c>
      <c r="T278" s="192">
        <v>4422187.79</v>
      </c>
      <c r="U278" s="192">
        <v>28998524.850000005</v>
      </c>
      <c r="V278" s="192">
        <v>28107760.739999998</v>
      </c>
      <c r="W278" s="192">
        <v>640426.22</v>
      </c>
      <c r="X278" s="192">
        <v>10401476.119999999</v>
      </c>
      <c r="Y278" s="192">
        <v>943121.4</v>
      </c>
      <c r="Z278" s="192">
        <v>80616840.670000002</v>
      </c>
      <c r="AA278" s="193">
        <v>996937.98999999836</v>
      </c>
      <c r="AB278" s="193">
        <v>-7192.679999999702</v>
      </c>
      <c r="AC278" s="193">
        <v>5985170.8899999894</v>
      </c>
      <c r="AD278" s="193">
        <v>2793424.8099999949</v>
      </c>
      <c r="AE278" s="193">
        <v>-52372.650000000023</v>
      </c>
      <c r="AF278" s="193">
        <v>1052103.9000000004</v>
      </c>
      <c r="AG278" s="193">
        <v>57893.119999999995</v>
      </c>
      <c r="AH278" s="193">
        <v>10768072.259999976</v>
      </c>
      <c r="AI278" s="194">
        <v>12.389763656399177</v>
      </c>
      <c r="AJ278" s="194">
        <v>-0.16264980913439911</v>
      </c>
      <c r="AK278" s="194">
        <v>20.639570188343523</v>
      </c>
      <c r="AL278" s="194">
        <v>9.9382687786462025</v>
      </c>
      <c r="AM278" s="194">
        <v>-8.177780416298388</v>
      </c>
      <c r="AN278" s="194">
        <v>10.114947992593194</v>
      </c>
      <c r="AO278" s="194">
        <v>6.1384589513078582</v>
      </c>
      <c r="AP278" s="194">
        <v>13.357100291337892</v>
      </c>
    </row>
    <row r="279" spans="1:42" ht="12" customHeight="1">
      <c r="A279" s="189" t="s">
        <v>573</v>
      </c>
      <c r="B279" s="189"/>
      <c r="C279" s="189" t="s">
        <v>236</v>
      </c>
      <c r="D279" s="189" t="s">
        <v>755</v>
      </c>
      <c r="E279" s="189" t="s">
        <v>872</v>
      </c>
      <c r="F279" s="190" t="s">
        <v>722</v>
      </c>
      <c r="G279" s="189" t="s">
        <v>690</v>
      </c>
      <c r="H279" s="197"/>
      <c r="I279" s="195"/>
      <c r="J279" s="195"/>
      <c r="K279" s="192">
        <v>4530709.8999999994</v>
      </c>
      <c r="L279" s="192">
        <v>1468500.2300000004</v>
      </c>
      <c r="M279" s="192">
        <v>14971053.529999997</v>
      </c>
      <c r="N279" s="192">
        <v>10681992.209999999</v>
      </c>
      <c r="O279" s="192">
        <v>123146.18</v>
      </c>
      <c r="P279" s="192">
        <v>5153799.1400000006</v>
      </c>
      <c r="Q279" s="192">
        <v>348833.22000000003</v>
      </c>
      <c r="R279" s="192">
        <v>36929201.189999998</v>
      </c>
      <c r="S279" s="192">
        <v>4339822.67</v>
      </c>
      <c r="T279" s="192">
        <v>1404856.82</v>
      </c>
      <c r="U279" s="192">
        <v>12655796.800000003</v>
      </c>
      <c r="V279" s="192">
        <v>10052605.510000002</v>
      </c>
      <c r="W279" s="192">
        <v>127859.94</v>
      </c>
      <c r="X279" s="192">
        <v>4626268.1799999988</v>
      </c>
      <c r="Y279" s="192">
        <v>393380.37</v>
      </c>
      <c r="Z279" s="192">
        <v>33207209.920000006</v>
      </c>
      <c r="AA279" s="193">
        <v>190887.22999999952</v>
      </c>
      <c r="AB279" s="193">
        <v>63643.410000000382</v>
      </c>
      <c r="AC279" s="193">
        <v>2315256.7299999949</v>
      </c>
      <c r="AD279" s="193">
        <v>629386.69999999739</v>
      </c>
      <c r="AE279" s="193">
        <v>-4713.7600000000093</v>
      </c>
      <c r="AF279" s="193">
        <v>527530.96000000183</v>
      </c>
      <c r="AG279" s="193">
        <v>-44547.149999999965</v>
      </c>
      <c r="AH279" s="193">
        <v>3721991.2699999921</v>
      </c>
      <c r="AI279" s="194">
        <v>4.3985029922893029</v>
      </c>
      <c r="AJ279" s="194">
        <v>4.5302417366632692</v>
      </c>
      <c r="AK279" s="194">
        <v>18.294041588910424</v>
      </c>
      <c r="AL279" s="194">
        <v>6.2609310528887683</v>
      </c>
      <c r="AM279" s="194">
        <v>-3.6866590114151538</v>
      </c>
      <c r="AN279" s="194">
        <v>11.402948110111549</v>
      </c>
      <c r="AO279" s="194">
        <v>-11.324192409499224</v>
      </c>
      <c r="AP279" s="194">
        <v>11.208382995640699</v>
      </c>
    </row>
    <row r="280" spans="1:42" ht="12" customHeight="1">
      <c r="A280" s="189" t="s">
        <v>574</v>
      </c>
      <c r="B280" s="189"/>
      <c r="C280" s="189" t="s">
        <v>237</v>
      </c>
      <c r="D280" s="189" t="s">
        <v>756</v>
      </c>
      <c r="E280" s="189" t="s">
        <v>875</v>
      </c>
      <c r="F280" s="190" t="s">
        <v>722</v>
      </c>
      <c r="G280" s="189" t="s">
        <v>690</v>
      </c>
      <c r="H280" s="279"/>
      <c r="I280" s="195"/>
      <c r="J280" s="195"/>
      <c r="K280" s="192">
        <v>2494962</v>
      </c>
      <c r="L280" s="192">
        <v>862007</v>
      </c>
      <c r="M280" s="192">
        <v>7886392</v>
      </c>
      <c r="N280" s="192">
        <v>5520771</v>
      </c>
      <c r="O280" s="192">
        <v>87953</v>
      </c>
      <c r="P280" s="192">
        <v>2672556</v>
      </c>
      <c r="Q280" s="192">
        <v>255529</v>
      </c>
      <c r="R280" s="192">
        <v>19524641</v>
      </c>
      <c r="S280" s="192">
        <v>2406240</v>
      </c>
      <c r="T280" s="192">
        <v>648080</v>
      </c>
      <c r="U280" s="192">
        <v>6880347</v>
      </c>
      <c r="V280" s="192">
        <v>5016817</v>
      </c>
      <c r="W280" s="192">
        <v>56198</v>
      </c>
      <c r="X280" s="192">
        <v>2453314</v>
      </c>
      <c r="Y280" s="192">
        <v>238808</v>
      </c>
      <c r="Z280" s="192">
        <v>17460996</v>
      </c>
      <c r="AA280" s="193">
        <v>88722</v>
      </c>
      <c r="AB280" s="193">
        <v>213927</v>
      </c>
      <c r="AC280" s="193">
        <v>1006045</v>
      </c>
      <c r="AD280" s="193">
        <v>503954</v>
      </c>
      <c r="AE280" s="193">
        <v>31755</v>
      </c>
      <c r="AF280" s="193">
        <v>219242</v>
      </c>
      <c r="AG280" s="193">
        <v>16721</v>
      </c>
      <c r="AH280" s="193">
        <v>2063645</v>
      </c>
      <c r="AI280" s="194">
        <v>3.6871633752244164</v>
      </c>
      <c r="AJ280" s="194">
        <v>33.009350697444759</v>
      </c>
      <c r="AK280" s="194">
        <v>14.622009616666137</v>
      </c>
      <c r="AL280" s="194">
        <v>10.04529365930629</v>
      </c>
      <c r="AM280" s="194">
        <v>56.50556959322396</v>
      </c>
      <c r="AN280" s="194">
        <v>8.9365649892349701</v>
      </c>
      <c r="AO280" s="194">
        <v>7.0018592341965098</v>
      </c>
      <c r="AP280" s="194">
        <v>11.81859843504918</v>
      </c>
    </row>
    <row r="281" spans="1:42" ht="12" customHeight="1">
      <c r="A281" s="189" t="s">
        <v>575</v>
      </c>
      <c r="B281" s="189"/>
      <c r="C281" s="189" t="s">
        <v>239</v>
      </c>
      <c r="D281" s="189" t="s">
        <v>755</v>
      </c>
      <c r="E281" s="189" t="s">
        <v>874</v>
      </c>
      <c r="F281" s="190" t="s">
        <v>723</v>
      </c>
      <c r="G281" s="189" t="s">
        <v>680</v>
      </c>
      <c r="H281" s="197"/>
      <c r="I281" s="195"/>
      <c r="J281" s="195"/>
      <c r="K281" s="192">
        <v>7081919.6399999987</v>
      </c>
      <c r="L281" s="192">
        <v>3056175.6699999995</v>
      </c>
      <c r="M281" s="192">
        <v>23236051.489999998</v>
      </c>
      <c r="N281" s="192">
        <v>17962420.18</v>
      </c>
      <c r="O281" s="192">
        <v>369864.31</v>
      </c>
      <c r="P281" s="192">
        <v>7787064.4600000009</v>
      </c>
      <c r="Q281" s="192">
        <v>584117.93000000005</v>
      </c>
      <c r="R281" s="192">
        <v>59493495.75</v>
      </c>
      <c r="S281" s="192">
        <v>6781495.2200000007</v>
      </c>
      <c r="T281" s="192">
        <v>3270278.76</v>
      </c>
      <c r="U281" s="192">
        <v>19358529.860000007</v>
      </c>
      <c r="V281" s="192">
        <v>15945438.83</v>
      </c>
      <c r="W281" s="192">
        <v>297675.92</v>
      </c>
      <c r="X281" s="192">
        <v>6971197.7699999977</v>
      </c>
      <c r="Y281" s="192">
        <v>554053.92999999993</v>
      </c>
      <c r="Z281" s="192">
        <v>52624616.360000007</v>
      </c>
      <c r="AA281" s="193">
        <v>300424.41999999806</v>
      </c>
      <c r="AB281" s="193">
        <v>-214103.09000000032</v>
      </c>
      <c r="AC281" s="193">
        <v>3877521.6299999915</v>
      </c>
      <c r="AD281" s="193">
        <v>2016981.3499999996</v>
      </c>
      <c r="AE281" s="193">
        <v>72188.390000000014</v>
      </c>
      <c r="AF281" s="193">
        <v>815866.6900000032</v>
      </c>
      <c r="AG281" s="193">
        <v>30064.000000000116</v>
      </c>
      <c r="AH281" s="193">
        <v>6868879.3899999931</v>
      </c>
      <c r="AI281" s="194">
        <v>4.4300616641885364</v>
      </c>
      <c r="AJ281" s="194">
        <v>-6.546936995670678</v>
      </c>
      <c r="AK281" s="194">
        <v>20.030041837071558</v>
      </c>
      <c r="AL281" s="194">
        <v>12.649268367611302</v>
      </c>
      <c r="AM281" s="194">
        <v>24.250664951333658</v>
      </c>
      <c r="AN281" s="194">
        <v>11.703393260639103</v>
      </c>
      <c r="AO281" s="194">
        <v>5.4261865807900902</v>
      </c>
      <c r="AP281" s="194">
        <v>13.052597558166774</v>
      </c>
    </row>
    <row r="282" spans="1:42" ht="12" customHeight="1">
      <c r="A282" s="189" t="s">
        <v>814</v>
      </c>
      <c r="B282" s="189"/>
      <c r="C282" s="189" t="s">
        <v>238</v>
      </c>
      <c r="D282" s="189" t="s">
        <v>756</v>
      </c>
      <c r="E282" s="189" t="s">
        <v>874</v>
      </c>
      <c r="F282" s="190" t="s">
        <v>723</v>
      </c>
      <c r="G282" s="189" t="s">
        <v>680</v>
      </c>
      <c r="H282" s="197"/>
      <c r="I282" s="195"/>
      <c r="J282" s="195"/>
      <c r="K282" s="192">
        <v>13284791</v>
      </c>
      <c r="L282" s="192">
        <v>6955929</v>
      </c>
      <c r="M282" s="192">
        <v>48764944</v>
      </c>
      <c r="N282" s="192">
        <v>36158724</v>
      </c>
      <c r="O282" s="192">
        <v>1002306</v>
      </c>
      <c r="P282" s="192">
        <v>15162176</v>
      </c>
      <c r="Q282" s="192">
        <v>1509952</v>
      </c>
      <c r="R282" s="192">
        <v>121328870</v>
      </c>
      <c r="S282" s="192">
        <v>12373411</v>
      </c>
      <c r="T282" s="192">
        <v>5071565</v>
      </c>
      <c r="U282" s="192">
        <v>43259467</v>
      </c>
      <c r="V282" s="192">
        <v>34010460</v>
      </c>
      <c r="W282" s="192">
        <v>1089028</v>
      </c>
      <c r="X282" s="192">
        <v>13963617</v>
      </c>
      <c r="Y282" s="192">
        <v>1409810</v>
      </c>
      <c r="Z282" s="192">
        <v>109767548</v>
      </c>
      <c r="AA282" s="193">
        <v>911380</v>
      </c>
      <c r="AB282" s="193">
        <v>1884364</v>
      </c>
      <c r="AC282" s="193">
        <v>5505477</v>
      </c>
      <c r="AD282" s="193">
        <v>2148264</v>
      </c>
      <c r="AE282" s="193">
        <v>-86722</v>
      </c>
      <c r="AF282" s="193">
        <v>1198559</v>
      </c>
      <c r="AG282" s="193">
        <v>100142</v>
      </c>
      <c r="AH282" s="193">
        <v>11561322</v>
      </c>
      <c r="AI282" s="194">
        <v>7.3656326456787058</v>
      </c>
      <c r="AJ282" s="194">
        <v>37.15547370486231</v>
      </c>
      <c r="AK282" s="194">
        <v>12.726640852972137</v>
      </c>
      <c r="AL282" s="194">
        <v>6.3164802828306348</v>
      </c>
      <c r="AM282" s="194">
        <v>-7.9632479605666706</v>
      </c>
      <c r="AN282" s="194">
        <v>8.5834422413619613</v>
      </c>
      <c r="AO282" s="194">
        <v>7.1032266759350549</v>
      </c>
      <c r="AP282" s="194">
        <v>10.532550112169764</v>
      </c>
    </row>
    <row r="283" spans="1:42" ht="12" customHeight="1">
      <c r="A283" s="189" t="s">
        <v>576</v>
      </c>
      <c r="B283" s="189"/>
      <c r="C283" s="189" t="s">
        <v>240</v>
      </c>
      <c r="D283" s="189" t="s">
        <v>755</v>
      </c>
      <c r="E283" s="189" t="s">
        <v>873</v>
      </c>
      <c r="F283" s="190" t="s">
        <v>723</v>
      </c>
      <c r="G283" s="189" t="s">
        <v>680</v>
      </c>
      <c r="H283" s="197"/>
      <c r="I283" s="195"/>
      <c r="J283" s="195"/>
      <c r="K283" s="192">
        <v>7214683.9699999979</v>
      </c>
      <c r="L283" s="192">
        <v>4268964.790000001</v>
      </c>
      <c r="M283" s="192">
        <v>28066477.859999999</v>
      </c>
      <c r="N283" s="192">
        <v>19008087.840000004</v>
      </c>
      <c r="O283" s="192">
        <v>360341.58999999997</v>
      </c>
      <c r="P283" s="192">
        <v>8926261.040000001</v>
      </c>
      <c r="Q283" s="192">
        <v>599396.48999999987</v>
      </c>
      <c r="R283" s="192">
        <v>67844817.090000004</v>
      </c>
      <c r="S283" s="192">
        <v>6431592.3899999997</v>
      </c>
      <c r="T283" s="192">
        <v>3381534.92</v>
      </c>
      <c r="U283" s="192">
        <v>23707036.299999997</v>
      </c>
      <c r="V283" s="192">
        <v>17464014.689999998</v>
      </c>
      <c r="W283" s="192">
        <v>409735.65</v>
      </c>
      <c r="X283" s="192">
        <v>8095314.040000001</v>
      </c>
      <c r="Y283" s="192">
        <v>562289.67999999993</v>
      </c>
      <c r="Z283" s="192">
        <v>59489227.989999995</v>
      </c>
      <c r="AA283" s="193">
        <v>783091.57999999821</v>
      </c>
      <c r="AB283" s="193">
        <v>887429.87000000104</v>
      </c>
      <c r="AC283" s="193">
        <v>4359441.5600000024</v>
      </c>
      <c r="AD283" s="193">
        <v>1544073.150000006</v>
      </c>
      <c r="AE283" s="193">
        <v>-49394.060000000056</v>
      </c>
      <c r="AF283" s="193">
        <v>830947</v>
      </c>
      <c r="AG283" s="193">
        <v>37106.809999999939</v>
      </c>
      <c r="AH283" s="193">
        <v>8355589.1000000089</v>
      </c>
      <c r="AI283" s="194">
        <v>12.175702882190864</v>
      </c>
      <c r="AJ283" s="194">
        <v>26.243403986495018</v>
      </c>
      <c r="AK283" s="194">
        <v>18.388808726799827</v>
      </c>
      <c r="AL283" s="194">
        <v>8.8414558588533012</v>
      </c>
      <c r="AM283" s="194">
        <v>-12.055104309327259</v>
      </c>
      <c r="AN283" s="194">
        <v>10.264543115859158</v>
      </c>
      <c r="AO283" s="194">
        <v>6.5992336903640041</v>
      </c>
      <c r="AP283" s="194">
        <v>14.04554972776679</v>
      </c>
    </row>
    <row r="284" spans="1:42" ht="12" customHeight="1">
      <c r="A284" s="189" t="s">
        <v>577</v>
      </c>
      <c r="B284" s="189"/>
      <c r="C284" s="189" t="s">
        <v>241</v>
      </c>
      <c r="D284" s="189" t="s">
        <v>755</v>
      </c>
      <c r="E284" s="189" t="s">
        <v>873</v>
      </c>
      <c r="F284" s="190" t="s">
        <v>723</v>
      </c>
      <c r="G284" s="189" t="s">
        <v>680</v>
      </c>
      <c r="H284" s="197"/>
      <c r="I284" s="195"/>
      <c r="J284" s="195"/>
      <c r="K284" s="192">
        <v>4654981.1099999994</v>
      </c>
      <c r="L284" s="192">
        <v>1783427.4000000001</v>
      </c>
      <c r="M284" s="192">
        <v>15241830.270000001</v>
      </c>
      <c r="N284" s="192">
        <v>10416442.880000001</v>
      </c>
      <c r="O284" s="192">
        <v>146883.35</v>
      </c>
      <c r="P284" s="192">
        <v>5034903.419999999</v>
      </c>
      <c r="Q284" s="192">
        <v>344529.02</v>
      </c>
      <c r="R284" s="192">
        <v>37278468.430000007</v>
      </c>
      <c r="S284" s="192">
        <v>4328177.75</v>
      </c>
      <c r="T284" s="192">
        <v>1264736.4200000002</v>
      </c>
      <c r="U284" s="192">
        <v>13065733.48</v>
      </c>
      <c r="V284" s="192">
        <v>9603099.7300000004</v>
      </c>
      <c r="W284" s="192">
        <v>162458.91</v>
      </c>
      <c r="X284" s="192">
        <v>4573200.9899999993</v>
      </c>
      <c r="Y284" s="192">
        <v>292698.44</v>
      </c>
      <c r="Z284" s="192">
        <v>32997407.279999997</v>
      </c>
      <c r="AA284" s="193">
        <v>326803.3599999994</v>
      </c>
      <c r="AB284" s="193">
        <v>518690.98</v>
      </c>
      <c r="AC284" s="193">
        <v>2176096.790000001</v>
      </c>
      <c r="AD284" s="193">
        <v>813343.15000000037</v>
      </c>
      <c r="AE284" s="193">
        <v>-15575.559999999998</v>
      </c>
      <c r="AF284" s="193">
        <v>461702.4299999997</v>
      </c>
      <c r="AG284" s="193">
        <v>51830.580000000016</v>
      </c>
      <c r="AH284" s="193">
        <v>4281061.1500000097</v>
      </c>
      <c r="AI284" s="194">
        <v>7.5505993255475561</v>
      </c>
      <c r="AJ284" s="194">
        <v>41.011784890325202</v>
      </c>
      <c r="AK284" s="194">
        <v>16.654991419586196</v>
      </c>
      <c r="AL284" s="194">
        <v>8.4695897456851714</v>
      </c>
      <c r="AM284" s="194">
        <v>-9.5873842807390481</v>
      </c>
      <c r="AN284" s="194">
        <v>10.095826337166953</v>
      </c>
      <c r="AO284" s="194">
        <v>17.707842925298824</v>
      </c>
      <c r="AP284" s="194">
        <v>12.973931902203711</v>
      </c>
    </row>
    <row r="285" spans="1:42" ht="12" customHeight="1">
      <c r="A285" s="189" t="s">
        <v>578</v>
      </c>
      <c r="B285" s="189"/>
      <c r="C285" s="189" t="s">
        <v>242</v>
      </c>
      <c r="D285" s="189" t="s">
        <v>755</v>
      </c>
      <c r="E285" s="189" t="s">
        <v>874</v>
      </c>
      <c r="F285" s="190" t="s">
        <v>723</v>
      </c>
      <c r="G285" s="189" t="s">
        <v>680</v>
      </c>
      <c r="H285" s="197"/>
      <c r="I285" s="195"/>
      <c r="J285" s="195"/>
      <c r="K285" s="192">
        <v>10594910.199999999</v>
      </c>
      <c r="L285" s="192">
        <v>5352170.3999999994</v>
      </c>
      <c r="M285" s="192">
        <v>35453865.220000006</v>
      </c>
      <c r="N285" s="192">
        <v>32533494.159999996</v>
      </c>
      <c r="O285" s="192">
        <v>480680.35</v>
      </c>
      <c r="P285" s="192">
        <v>12633810.710000003</v>
      </c>
      <c r="Q285" s="192">
        <v>1094077.25</v>
      </c>
      <c r="R285" s="192">
        <v>97048931.040000007</v>
      </c>
      <c r="S285" s="192">
        <v>9246356.5500000007</v>
      </c>
      <c r="T285" s="192">
        <v>5865029.75</v>
      </c>
      <c r="U285" s="192">
        <v>31048400.339999996</v>
      </c>
      <c r="V285" s="192">
        <v>30388814.169999998</v>
      </c>
      <c r="W285" s="192">
        <v>637775.30000000005</v>
      </c>
      <c r="X285" s="192">
        <v>11649830.889999999</v>
      </c>
      <c r="Y285" s="192">
        <v>1004060.7000000001</v>
      </c>
      <c r="Z285" s="192">
        <v>88836207</v>
      </c>
      <c r="AA285" s="193">
        <v>1348553.6499999985</v>
      </c>
      <c r="AB285" s="193">
        <v>-512859.35000000056</v>
      </c>
      <c r="AC285" s="193">
        <v>4405464.8800000101</v>
      </c>
      <c r="AD285" s="193">
        <v>2144679.9899999984</v>
      </c>
      <c r="AE285" s="193">
        <v>-157094.95000000007</v>
      </c>
      <c r="AF285" s="193">
        <v>983979.82000000402</v>
      </c>
      <c r="AG285" s="193">
        <v>90016.54999999993</v>
      </c>
      <c r="AH285" s="193">
        <v>8212724.0400000066</v>
      </c>
      <c r="AI285" s="194">
        <v>14.584703095837229</v>
      </c>
      <c r="AJ285" s="194">
        <v>-8.7443605891342759</v>
      </c>
      <c r="AK285" s="194">
        <v>14.189023691260516</v>
      </c>
      <c r="AL285" s="194">
        <v>7.0574652173076169</v>
      </c>
      <c r="AM285" s="194">
        <v>-24.631708063952939</v>
      </c>
      <c r="AN285" s="194">
        <v>8.4463013179413124</v>
      </c>
      <c r="AO285" s="194">
        <v>8.9652498100961342</v>
      </c>
      <c r="AP285" s="194">
        <v>9.2447936684194616</v>
      </c>
    </row>
    <row r="286" spans="1:42" ht="12" customHeight="1">
      <c r="A286" s="189" t="s">
        <v>579</v>
      </c>
      <c r="B286" s="189"/>
      <c r="C286" s="189" t="s">
        <v>243</v>
      </c>
      <c r="D286" s="189" t="s">
        <v>755</v>
      </c>
      <c r="E286" s="189" t="s">
        <v>872</v>
      </c>
      <c r="F286" s="190" t="s">
        <v>723</v>
      </c>
      <c r="G286" s="189" t="s">
        <v>680</v>
      </c>
      <c r="H286" s="197"/>
      <c r="I286" s="195"/>
      <c r="J286" s="195"/>
      <c r="K286" s="192">
        <v>6070072.4299999997</v>
      </c>
      <c r="L286" s="192">
        <v>3134015.3200000008</v>
      </c>
      <c r="M286" s="192">
        <v>20460980.800000008</v>
      </c>
      <c r="N286" s="192">
        <v>16158560.049999999</v>
      </c>
      <c r="O286" s="192">
        <v>147839.57</v>
      </c>
      <c r="P286" s="192">
        <v>6887180.6599999992</v>
      </c>
      <c r="Q286" s="192">
        <v>534919.76</v>
      </c>
      <c r="R286" s="192">
        <v>52858648.830000006</v>
      </c>
      <c r="S286" s="192">
        <v>5439168.3700000001</v>
      </c>
      <c r="T286" s="192">
        <v>3017521.19</v>
      </c>
      <c r="U286" s="192">
        <v>17728219.219999999</v>
      </c>
      <c r="V286" s="192">
        <v>15305146.229999999</v>
      </c>
      <c r="W286" s="192">
        <v>170643.52</v>
      </c>
      <c r="X286" s="192">
        <v>6428502.1500000004</v>
      </c>
      <c r="Y286" s="192">
        <v>606060.23999999987</v>
      </c>
      <c r="Z286" s="192">
        <v>48089200.68</v>
      </c>
      <c r="AA286" s="193">
        <v>630904.05999999959</v>
      </c>
      <c r="AB286" s="193">
        <v>116494.13000000082</v>
      </c>
      <c r="AC286" s="193">
        <v>2732761.5800000094</v>
      </c>
      <c r="AD286" s="193">
        <v>853413.8200000003</v>
      </c>
      <c r="AE286" s="193">
        <v>-22803.949999999983</v>
      </c>
      <c r="AF286" s="193">
        <v>458678.50999999885</v>
      </c>
      <c r="AG286" s="193">
        <v>-71140.479999999865</v>
      </c>
      <c r="AH286" s="193">
        <v>4769448.150000006</v>
      </c>
      <c r="AI286" s="194">
        <v>11.599274320680747</v>
      </c>
      <c r="AJ286" s="194">
        <v>3.8605902880171925</v>
      </c>
      <c r="AK286" s="194">
        <v>15.414755120565401</v>
      </c>
      <c r="AL286" s="194">
        <v>5.5759925921335043</v>
      </c>
      <c r="AM286" s="194">
        <v>-13.363501878067202</v>
      </c>
      <c r="AN286" s="194">
        <v>7.1350759367794376</v>
      </c>
      <c r="AO286" s="194">
        <v>-11.738186289864499</v>
      </c>
      <c r="AP286" s="194">
        <v>9.9179193718301715</v>
      </c>
    </row>
    <row r="287" spans="1:42" ht="12" customHeight="1">
      <c r="A287" s="189" t="s">
        <v>580</v>
      </c>
      <c r="B287" s="189"/>
      <c r="C287" s="189" t="s">
        <v>244</v>
      </c>
      <c r="D287" s="189" t="s">
        <v>755</v>
      </c>
      <c r="E287" s="189" t="s">
        <v>877</v>
      </c>
      <c r="F287" s="190" t="s">
        <v>723</v>
      </c>
      <c r="G287" s="189" t="s">
        <v>680</v>
      </c>
      <c r="H287" s="197"/>
      <c r="I287" s="195"/>
      <c r="J287" s="195"/>
      <c r="K287" s="192">
        <v>18150778.630000003</v>
      </c>
      <c r="L287" s="192">
        <v>9178528.6199999992</v>
      </c>
      <c r="M287" s="192">
        <v>54428771.170000017</v>
      </c>
      <c r="N287" s="192">
        <v>50290818.410000011</v>
      </c>
      <c r="O287" s="192">
        <v>443558.65</v>
      </c>
      <c r="P287" s="192">
        <v>18833871.949999996</v>
      </c>
      <c r="Q287" s="192">
        <v>2841120.52</v>
      </c>
      <c r="R287" s="192">
        <v>151326327.43000004</v>
      </c>
      <c r="S287" s="192">
        <v>17741855.149999999</v>
      </c>
      <c r="T287" s="192">
        <v>9506121.2299999986</v>
      </c>
      <c r="U287" s="192">
        <v>48955133.800000012</v>
      </c>
      <c r="V287" s="192">
        <v>48537192.670000002</v>
      </c>
      <c r="W287" s="192">
        <v>604465.27</v>
      </c>
      <c r="X287" s="192">
        <v>18000182.080000006</v>
      </c>
      <c r="Y287" s="192">
        <v>2460962.16</v>
      </c>
      <c r="Z287" s="192">
        <v>143344950.20000002</v>
      </c>
      <c r="AA287" s="193">
        <v>408923.48000000417</v>
      </c>
      <c r="AB287" s="193">
        <v>-327592.6099999994</v>
      </c>
      <c r="AC287" s="193">
        <v>5473637.3700000048</v>
      </c>
      <c r="AD287" s="193">
        <v>1753625.7400000095</v>
      </c>
      <c r="AE287" s="193">
        <v>-160906.62</v>
      </c>
      <c r="AF287" s="193">
        <v>833689.86999998987</v>
      </c>
      <c r="AG287" s="193">
        <v>380158.35999999987</v>
      </c>
      <c r="AH287" s="193">
        <v>7981377.2300000191</v>
      </c>
      <c r="AI287" s="194">
        <v>2.3048518688870265</v>
      </c>
      <c r="AJ287" s="194">
        <v>-3.4461227884004111</v>
      </c>
      <c r="AK287" s="194">
        <v>11.180926176939595</v>
      </c>
      <c r="AL287" s="194">
        <v>3.6129525494454384</v>
      </c>
      <c r="AM287" s="194">
        <v>-26.61966335965009</v>
      </c>
      <c r="AN287" s="194">
        <v>4.6315635380505533</v>
      </c>
      <c r="AO287" s="194">
        <v>15.447549994023468</v>
      </c>
      <c r="AP287" s="194">
        <v>5.5679514477936713</v>
      </c>
    </row>
    <row r="288" spans="1:42" ht="12" customHeight="1">
      <c r="A288" s="189" t="s">
        <v>581</v>
      </c>
      <c r="B288" s="189"/>
      <c r="C288" s="189" t="s">
        <v>245</v>
      </c>
      <c r="D288" s="189" t="s">
        <v>755</v>
      </c>
      <c r="E288" s="189" t="s">
        <v>874</v>
      </c>
      <c r="F288" s="190" t="s">
        <v>723</v>
      </c>
      <c r="G288" s="189" t="s">
        <v>680</v>
      </c>
      <c r="H288" s="197"/>
      <c r="I288" s="195"/>
      <c r="J288" s="195"/>
      <c r="K288" s="192">
        <v>24321025.589999996</v>
      </c>
      <c r="L288" s="192">
        <v>16635388.069999997</v>
      </c>
      <c r="M288" s="192">
        <v>95517295.399999991</v>
      </c>
      <c r="N288" s="192">
        <v>87773326.890000001</v>
      </c>
      <c r="O288" s="192">
        <v>1072435.0999999999</v>
      </c>
      <c r="P288" s="192">
        <v>31691214.920000009</v>
      </c>
      <c r="Q288" s="192">
        <v>2444179.4599999995</v>
      </c>
      <c r="R288" s="192">
        <v>257010685.97</v>
      </c>
      <c r="S288" s="192">
        <v>22822185.57</v>
      </c>
      <c r="T288" s="192">
        <v>12680799.979999997</v>
      </c>
      <c r="U288" s="192">
        <v>80075406.960000008</v>
      </c>
      <c r="V288" s="192">
        <v>80112969.550000012</v>
      </c>
      <c r="W288" s="192">
        <v>1401751.1400000001</v>
      </c>
      <c r="X288" s="192">
        <v>28537102.650000002</v>
      </c>
      <c r="Y288" s="192">
        <v>2634009.62</v>
      </c>
      <c r="Z288" s="192">
        <v>225630215.84999999</v>
      </c>
      <c r="AA288" s="193">
        <v>1498840.0199999958</v>
      </c>
      <c r="AB288" s="193">
        <v>3954588.09</v>
      </c>
      <c r="AC288" s="193">
        <v>15441888.439999983</v>
      </c>
      <c r="AD288" s="193">
        <v>7660357.3399999887</v>
      </c>
      <c r="AE288" s="193">
        <v>-329316.04000000027</v>
      </c>
      <c r="AF288" s="193">
        <v>3154112.270000007</v>
      </c>
      <c r="AG288" s="193">
        <v>-189830.16000000061</v>
      </c>
      <c r="AH288" s="193">
        <v>31380470.120000005</v>
      </c>
      <c r="AI288" s="194">
        <v>6.5674692522447824</v>
      </c>
      <c r="AJ288" s="194">
        <v>31.185635734631319</v>
      </c>
      <c r="AK288" s="194">
        <v>19.284183529299646</v>
      </c>
      <c r="AL288" s="194">
        <v>9.561944068518164</v>
      </c>
      <c r="AM288" s="194">
        <v>-23.493188669709252</v>
      </c>
      <c r="AN288" s="194">
        <v>11.052671704918183</v>
      </c>
      <c r="AO288" s="194">
        <v>-7.2068893962505962</v>
      </c>
      <c r="AP288" s="194">
        <v>13.907920090304698</v>
      </c>
    </row>
    <row r="289" spans="1:42" ht="12" customHeight="1">
      <c r="A289" s="189" t="s">
        <v>582</v>
      </c>
      <c r="B289" s="189"/>
      <c r="C289" s="189" t="s">
        <v>246</v>
      </c>
      <c r="D289" s="189" t="s">
        <v>755</v>
      </c>
      <c r="E289" s="189" t="s">
        <v>874</v>
      </c>
      <c r="F289" s="190" t="s">
        <v>723</v>
      </c>
      <c r="G289" s="189" t="s">
        <v>680</v>
      </c>
      <c r="H289" s="197"/>
      <c r="I289" s="195"/>
      <c r="J289" s="195"/>
      <c r="K289" s="192">
        <v>13993321.390000001</v>
      </c>
      <c r="L289" s="192">
        <v>7318842.8299999991</v>
      </c>
      <c r="M289" s="192">
        <v>50493204.630000003</v>
      </c>
      <c r="N289" s="192">
        <v>40493926.319999985</v>
      </c>
      <c r="O289" s="192">
        <v>703371.57</v>
      </c>
      <c r="P289" s="192">
        <v>16592682.040000001</v>
      </c>
      <c r="Q289" s="192">
        <v>1242648.6300000001</v>
      </c>
      <c r="R289" s="192">
        <v>129595348.77999999</v>
      </c>
      <c r="S289" s="192">
        <v>13326825.670000002</v>
      </c>
      <c r="T289" s="192">
        <v>6819998.6400000015</v>
      </c>
      <c r="U289" s="192">
        <v>42128086.68999999</v>
      </c>
      <c r="V289" s="192">
        <v>36605245.799999997</v>
      </c>
      <c r="W289" s="192">
        <v>876068.40999999992</v>
      </c>
      <c r="X289" s="192">
        <v>14794000.109999999</v>
      </c>
      <c r="Y289" s="192">
        <v>1158857.6199999999</v>
      </c>
      <c r="Z289" s="192">
        <v>114550225.31999998</v>
      </c>
      <c r="AA289" s="193">
        <v>666495.71999999881</v>
      </c>
      <c r="AB289" s="193">
        <v>498844.18999999762</v>
      </c>
      <c r="AC289" s="193">
        <v>8365117.9400000125</v>
      </c>
      <c r="AD289" s="193">
        <v>3888680.5199999884</v>
      </c>
      <c r="AE289" s="193">
        <v>-172696.83999999997</v>
      </c>
      <c r="AF289" s="193">
        <v>1798681.9300000016</v>
      </c>
      <c r="AG289" s="193">
        <v>83791.010000000242</v>
      </c>
      <c r="AH289" s="193">
        <v>15045123.460000008</v>
      </c>
      <c r="AI289" s="194">
        <v>5.0011588393502162</v>
      </c>
      <c r="AJ289" s="194">
        <v>7.3144323970128751</v>
      </c>
      <c r="AK289" s="194">
        <v>19.856391773865329</v>
      </c>
      <c r="AL289" s="194">
        <v>10.623287550769536</v>
      </c>
      <c r="AM289" s="194">
        <v>-19.712711704785701</v>
      </c>
      <c r="AN289" s="194">
        <v>12.158185187413803</v>
      </c>
      <c r="AO289" s="194">
        <v>7.2304835860681704</v>
      </c>
      <c r="AP289" s="194">
        <v>13.134084562444936</v>
      </c>
    </row>
    <row r="290" spans="1:42" ht="12" customHeight="1">
      <c r="A290" s="189" t="s">
        <v>583</v>
      </c>
      <c r="B290" s="189"/>
      <c r="C290" s="189" t="s">
        <v>247</v>
      </c>
      <c r="D290" s="189" t="s">
        <v>755</v>
      </c>
      <c r="E290" s="189" t="s">
        <v>877</v>
      </c>
      <c r="F290" s="190" t="s">
        <v>723</v>
      </c>
      <c r="G290" s="189" t="s">
        <v>680</v>
      </c>
      <c r="H290" s="197"/>
      <c r="I290" s="195"/>
      <c r="J290" s="195"/>
      <c r="K290" s="192">
        <v>9740293.870000001</v>
      </c>
      <c r="L290" s="192">
        <v>3294646.93</v>
      </c>
      <c r="M290" s="192">
        <v>26665419.310000002</v>
      </c>
      <c r="N290" s="192">
        <v>22220124.439999998</v>
      </c>
      <c r="O290" s="192">
        <v>128343.76</v>
      </c>
      <c r="P290" s="192">
        <v>8827343.3500000015</v>
      </c>
      <c r="Q290" s="192">
        <v>1129220.77</v>
      </c>
      <c r="R290" s="192">
        <v>70876171.659999996</v>
      </c>
      <c r="S290" s="192">
        <v>9421265.8300000001</v>
      </c>
      <c r="T290" s="192">
        <v>3135335.0200000005</v>
      </c>
      <c r="U290" s="192">
        <v>24290989.099999998</v>
      </c>
      <c r="V290" s="192">
        <v>21535979.920000002</v>
      </c>
      <c r="W290" s="192">
        <v>156068.16999999998</v>
      </c>
      <c r="X290" s="192">
        <v>8550866.120000001</v>
      </c>
      <c r="Y290" s="192">
        <v>1123465.8400000001</v>
      </c>
      <c r="Z290" s="192">
        <v>67090504.160000011</v>
      </c>
      <c r="AA290" s="193">
        <v>319028.04000000097</v>
      </c>
      <c r="AB290" s="193">
        <v>159311.90999999968</v>
      </c>
      <c r="AC290" s="193">
        <v>2374430.2100000046</v>
      </c>
      <c r="AD290" s="193">
        <v>684144.51999999583</v>
      </c>
      <c r="AE290" s="193">
        <v>-27724.409999999989</v>
      </c>
      <c r="AF290" s="193">
        <v>276477.23000000045</v>
      </c>
      <c r="AG290" s="193">
        <v>5754.9299999999348</v>
      </c>
      <c r="AH290" s="193">
        <v>3785667.4999999851</v>
      </c>
      <c r="AI290" s="194">
        <v>3.3862545198982139</v>
      </c>
      <c r="AJ290" s="194">
        <v>5.0811766201622577</v>
      </c>
      <c r="AK290" s="194">
        <v>9.7749424703335972</v>
      </c>
      <c r="AL290" s="194">
        <v>3.1767512903587245</v>
      </c>
      <c r="AM290" s="194">
        <v>-17.764294923173633</v>
      </c>
      <c r="AN290" s="194">
        <v>3.2333242752255886</v>
      </c>
      <c r="AO290" s="194">
        <v>0.51224788463527604</v>
      </c>
      <c r="AP290" s="194">
        <v>5.6426278910824399</v>
      </c>
    </row>
    <row r="291" spans="1:42" ht="12" customHeight="1">
      <c r="A291" s="189" t="s">
        <v>584</v>
      </c>
      <c r="B291" s="189"/>
      <c r="C291" s="189" t="s">
        <v>248</v>
      </c>
      <c r="D291" s="189" t="s">
        <v>755</v>
      </c>
      <c r="E291" s="189" t="s">
        <v>874</v>
      </c>
      <c r="F291" s="190" t="s">
        <v>723</v>
      </c>
      <c r="G291" s="189" t="s">
        <v>680</v>
      </c>
      <c r="H291" s="197"/>
      <c r="I291" s="195"/>
      <c r="J291" s="195"/>
      <c r="K291" s="192">
        <v>26203864.039999999</v>
      </c>
      <c r="L291" s="192">
        <v>16644590.709999997</v>
      </c>
      <c r="M291" s="192">
        <v>98132156.349999994</v>
      </c>
      <c r="N291" s="192">
        <v>78184075.549999997</v>
      </c>
      <c r="O291" s="192">
        <v>739572.5</v>
      </c>
      <c r="P291" s="192">
        <v>32298138.609999999</v>
      </c>
      <c r="Q291" s="192">
        <v>2860941.33</v>
      </c>
      <c r="R291" s="192">
        <v>252202397.75999999</v>
      </c>
      <c r="S291" s="192">
        <v>23896308.350000001</v>
      </c>
      <c r="T291" s="192">
        <v>16457077.749999998</v>
      </c>
      <c r="U291" s="192">
        <v>84871516.849999994</v>
      </c>
      <c r="V291" s="192">
        <v>72770518.5</v>
      </c>
      <c r="W291" s="192">
        <v>839893.78999999992</v>
      </c>
      <c r="X291" s="192">
        <v>29986371.109999999</v>
      </c>
      <c r="Y291" s="192">
        <v>2828132.66</v>
      </c>
      <c r="Z291" s="192">
        <v>228821686.34999996</v>
      </c>
      <c r="AA291" s="193">
        <v>2307555.6899999976</v>
      </c>
      <c r="AB291" s="193">
        <v>187512.95999999903</v>
      </c>
      <c r="AC291" s="193">
        <v>13260639.5</v>
      </c>
      <c r="AD291" s="193">
        <v>5413557.049999997</v>
      </c>
      <c r="AE291" s="193">
        <v>-100321.28999999992</v>
      </c>
      <c r="AF291" s="193">
        <v>2311767.5</v>
      </c>
      <c r="AG291" s="193">
        <v>32808.669999999925</v>
      </c>
      <c r="AH291" s="193">
        <v>23380711.410000026</v>
      </c>
      <c r="AI291" s="194">
        <v>9.6565362992564392</v>
      </c>
      <c r="AJ291" s="194">
        <v>1.1394061743434314</v>
      </c>
      <c r="AK291" s="194">
        <v>15.624369626192209</v>
      </c>
      <c r="AL291" s="194">
        <v>7.4392173665768198</v>
      </c>
      <c r="AM291" s="194">
        <v>-11.944520985206942</v>
      </c>
      <c r="AN291" s="194">
        <v>7.7093940161004033</v>
      </c>
      <c r="AO291" s="194">
        <v>1.1600824269679033</v>
      </c>
      <c r="AP291" s="194">
        <v>10.21787391874976</v>
      </c>
    </row>
    <row r="292" spans="1:42" ht="12" customHeight="1">
      <c r="A292" s="189" t="s">
        <v>585</v>
      </c>
      <c r="B292" s="189"/>
      <c r="C292" s="189" t="s">
        <v>249</v>
      </c>
      <c r="D292" s="189" t="s">
        <v>755</v>
      </c>
      <c r="E292" s="189" t="s">
        <v>877</v>
      </c>
      <c r="F292" s="190" t="s">
        <v>723</v>
      </c>
      <c r="G292" s="189" t="s">
        <v>680</v>
      </c>
      <c r="H292" s="197"/>
      <c r="I292" s="195"/>
      <c r="J292" s="195"/>
      <c r="K292" s="192">
        <v>10989165.880000001</v>
      </c>
      <c r="L292" s="192">
        <v>4412873.0500000007</v>
      </c>
      <c r="M292" s="192">
        <v>35090495.739999995</v>
      </c>
      <c r="N292" s="192">
        <v>29494948.529999997</v>
      </c>
      <c r="O292" s="192">
        <v>318575.74</v>
      </c>
      <c r="P292" s="192">
        <v>11945547.160000002</v>
      </c>
      <c r="Q292" s="192">
        <v>772765.99</v>
      </c>
      <c r="R292" s="192">
        <v>92251606.099999979</v>
      </c>
      <c r="S292" s="192">
        <v>9621339.3300000001</v>
      </c>
      <c r="T292" s="192">
        <v>5343520.72</v>
      </c>
      <c r="U292" s="192">
        <v>29062929.479999997</v>
      </c>
      <c r="V292" s="192">
        <v>26369439.029999997</v>
      </c>
      <c r="W292" s="192">
        <v>284209.48</v>
      </c>
      <c r="X292" s="192">
        <v>10577636.620000001</v>
      </c>
      <c r="Y292" s="192">
        <v>710825.69</v>
      </c>
      <c r="Z292" s="192">
        <v>81259074.660000011</v>
      </c>
      <c r="AA292" s="193">
        <v>1367826.5500000007</v>
      </c>
      <c r="AB292" s="193">
        <v>-930647.66999999899</v>
      </c>
      <c r="AC292" s="193">
        <v>6027566.2599999979</v>
      </c>
      <c r="AD292" s="193">
        <v>3125509.5</v>
      </c>
      <c r="AE292" s="193">
        <v>34366.260000000009</v>
      </c>
      <c r="AF292" s="193">
        <v>1367910.540000001</v>
      </c>
      <c r="AG292" s="193">
        <v>61940.300000000047</v>
      </c>
      <c r="AH292" s="193">
        <v>10992531.439999968</v>
      </c>
      <c r="AI292" s="194">
        <v>14.216591922239175</v>
      </c>
      <c r="AJ292" s="194">
        <v>-17.416376182780088</v>
      </c>
      <c r="AK292" s="194">
        <v>20.739706450266617</v>
      </c>
      <c r="AL292" s="194">
        <v>11.852772053452366</v>
      </c>
      <c r="AM292" s="194">
        <v>12.091876738242515</v>
      </c>
      <c r="AN292" s="194">
        <v>12.932099949563222</v>
      </c>
      <c r="AO292" s="194">
        <v>8.7138521963099063</v>
      </c>
      <c r="AP292" s="194">
        <v>13.527758574650703</v>
      </c>
    </row>
    <row r="293" spans="1:42" ht="12" customHeight="1">
      <c r="A293" s="189" t="s">
        <v>586</v>
      </c>
      <c r="B293" s="189"/>
      <c r="C293" s="189" t="s">
        <v>250</v>
      </c>
      <c r="D293" s="189" t="s">
        <v>755</v>
      </c>
      <c r="E293" s="189" t="s">
        <v>874</v>
      </c>
      <c r="F293" s="190" t="s">
        <v>723</v>
      </c>
      <c r="G293" s="189" t="s">
        <v>680</v>
      </c>
      <c r="H293" s="197"/>
      <c r="I293" s="195"/>
      <c r="J293" s="195"/>
      <c r="K293" s="192">
        <v>14313524.970000001</v>
      </c>
      <c r="L293" s="192">
        <v>8175255.6899999995</v>
      </c>
      <c r="M293" s="192">
        <v>52147718.179999992</v>
      </c>
      <c r="N293" s="192">
        <v>41215993.689999998</v>
      </c>
      <c r="O293" s="192">
        <v>612166.65</v>
      </c>
      <c r="P293" s="192">
        <v>16969098.840000004</v>
      </c>
      <c r="Q293" s="192">
        <v>1015735.71</v>
      </c>
      <c r="R293" s="192">
        <v>133433758.02</v>
      </c>
      <c r="S293" s="192">
        <v>11993755.359999999</v>
      </c>
      <c r="T293" s="192">
        <v>5064265.6000000006</v>
      </c>
      <c r="U293" s="192">
        <v>45581832.20000001</v>
      </c>
      <c r="V293" s="192">
        <v>39207370.07</v>
      </c>
      <c r="W293" s="192">
        <v>622752.29</v>
      </c>
      <c r="X293" s="192">
        <v>15849374.939999999</v>
      </c>
      <c r="Y293" s="192">
        <v>951895.96000000008</v>
      </c>
      <c r="Z293" s="192">
        <v>118319350.46000002</v>
      </c>
      <c r="AA293" s="193">
        <v>2319769.6100000013</v>
      </c>
      <c r="AB293" s="193">
        <v>3110990.0899999989</v>
      </c>
      <c r="AC293" s="193">
        <v>6565885.9799999818</v>
      </c>
      <c r="AD293" s="193">
        <v>2008623.6199999973</v>
      </c>
      <c r="AE293" s="193">
        <v>-10585.640000000014</v>
      </c>
      <c r="AF293" s="193">
        <v>1119723.9000000041</v>
      </c>
      <c r="AG293" s="193">
        <v>63839.749999999884</v>
      </c>
      <c r="AH293" s="193">
        <v>15114407.559999973</v>
      </c>
      <c r="AI293" s="194">
        <v>19.341478464173054</v>
      </c>
      <c r="AJ293" s="194">
        <v>61.430231660835453</v>
      </c>
      <c r="AK293" s="194">
        <v>14.404611800576065</v>
      </c>
      <c r="AL293" s="194">
        <v>5.1230766471044697</v>
      </c>
      <c r="AM293" s="194">
        <v>-1.6998155077037151</v>
      </c>
      <c r="AN293" s="194">
        <v>7.0647827074498126</v>
      </c>
      <c r="AO293" s="194">
        <v>6.7065890268091772</v>
      </c>
      <c r="AP293" s="194">
        <v>12.774248253762742</v>
      </c>
    </row>
    <row r="294" spans="1:42" ht="12" customHeight="1">
      <c r="A294" s="189" t="s">
        <v>587</v>
      </c>
      <c r="B294" s="189"/>
      <c r="C294" s="189" t="s">
        <v>251</v>
      </c>
      <c r="D294" s="189" t="s">
        <v>755</v>
      </c>
      <c r="E294" s="189" t="s">
        <v>877</v>
      </c>
      <c r="F294" s="190" t="s">
        <v>723</v>
      </c>
      <c r="G294" s="189" t="s">
        <v>680</v>
      </c>
      <c r="H294" s="197"/>
      <c r="I294" s="195"/>
      <c r="J294" s="195"/>
      <c r="K294" s="192">
        <v>19593934.91</v>
      </c>
      <c r="L294" s="192">
        <v>10982335.009999998</v>
      </c>
      <c r="M294" s="192">
        <v>64568233.039999999</v>
      </c>
      <c r="N294" s="192">
        <v>57682241.25</v>
      </c>
      <c r="O294" s="192">
        <v>653625.04999999993</v>
      </c>
      <c r="P294" s="192">
        <v>21439154.599999998</v>
      </c>
      <c r="Q294" s="192">
        <v>1739807.61</v>
      </c>
      <c r="R294" s="192">
        <v>174919523.85999998</v>
      </c>
      <c r="S294" s="192">
        <v>18993142.420000002</v>
      </c>
      <c r="T294" s="192">
        <v>12145368.58</v>
      </c>
      <c r="U294" s="192">
        <v>57458444.710000008</v>
      </c>
      <c r="V294" s="192">
        <v>54375953.45000001</v>
      </c>
      <c r="W294" s="192">
        <v>812838.3600000001</v>
      </c>
      <c r="X294" s="192">
        <v>20117128.32</v>
      </c>
      <c r="Y294" s="192">
        <v>1658479.5</v>
      </c>
      <c r="Z294" s="192">
        <v>163902875.84000003</v>
      </c>
      <c r="AA294" s="193">
        <v>600792.48999999836</v>
      </c>
      <c r="AB294" s="193">
        <v>-1163033.5700000022</v>
      </c>
      <c r="AC294" s="193">
        <v>7109788.3299999908</v>
      </c>
      <c r="AD294" s="193">
        <v>3306287.7999999896</v>
      </c>
      <c r="AE294" s="193">
        <v>-159213.31000000017</v>
      </c>
      <c r="AF294" s="193">
        <v>1322026.2799999975</v>
      </c>
      <c r="AG294" s="193">
        <v>81328.110000000102</v>
      </c>
      <c r="AH294" s="193">
        <v>11016648.019999951</v>
      </c>
      <c r="AI294" s="194">
        <v>3.1632074183119738</v>
      </c>
      <c r="AJ294" s="194">
        <v>-9.5759429805629015</v>
      </c>
      <c r="AK294" s="194">
        <v>12.373791817519576</v>
      </c>
      <c r="AL294" s="194">
        <v>6.0804226688920506</v>
      </c>
      <c r="AM294" s="194">
        <v>-19.587327300842464</v>
      </c>
      <c r="AN294" s="194">
        <v>6.5716451124173041</v>
      </c>
      <c r="AO294" s="194">
        <v>4.9037754159759048</v>
      </c>
      <c r="AP294" s="194">
        <v>6.7214488846152207</v>
      </c>
    </row>
    <row r="295" spans="1:42" ht="12" customHeight="1">
      <c r="A295" s="189" t="s">
        <v>588</v>
      </c>
      <c r="B295" s="189"/>
      <c r="C295" s="189" t="s">
        <v>252</v>
      </c>
      <c r="D295" s="189" t="s">
        <v>755</v>
      </c>
      <c r="E295" s="189" t="s">
        <v>874</v>
      </c>
      <c r="F295" s="190" t="s">
        <v>723</v>
      </c>
      <c r="G295" s="189" t="s">
        <v>680</v>
      </c>
      <c r="H295" s="197"/>
      <c r="I295" s="195"/>
      <c r="J295" s="195"/>
      <c r="K295" s="192">
        <v>16626489.4</v>
      </c>
      <c r="L295" s="192">
        <v>11010300.24</v>
      </c>
      <c r="M295" s="192">
        <v>64163217.509999998</v>
      </c>
      <c r="N295" s="192">
        <v>53588103.540000007</v>
      </c>
      <c r="O295" s="192">
        <v>1103777.1399999999</v>
      </c>
      <c r="P295" s="192">
        <v>21367255.760000002</v>
      </c>
      <c r="Q295" s="192">
        <v>2361087.1800000002</v>
      </c>
      <c r="R295" s="192">
        <v>167859143.58999997</v>
      </c>
      <c r="S295" s="192">
        <v>15322911.590000002</v>
      </c>
      <c r="T295" s="192">
        <v>9039605.0500000026</v>
      </c>
      <c r="U295" s="192">
        <v>55230851.18</v>
      </c>
      <c r="V295" s="192">
        <v>49429302.869999997</v>
      </c>
      <c r="W295" s="192">
        <v>1458047.83</v>
      </c>
      <c r="X295" s="192">
        <v>19243282.040000003</v>
      </c>
      <c r="Y295" s="192">
        <v>1970210.49</v>
      </c>
      <c r="Z295" s="192">
        <v>149724000.56</v>
      </c>
      <c r="AA295" s="193">
        <v>1303577.8099999987</v>
      </c>
      <c r="AB295" s="193">
        <v>1970695.1899999976</v>
      </c>
      <c r="AC295" s="193">
        <v>8932366.3299999982</v>
      </c>
      <c r="AD295" s="193">
        <v>4158800.6700000092</v>
      </c>
      <c r="AE295" s="193">
        <v>-354270.69000000018</v>
      </c>
      <c r="AF295" s="193">
        <v>2123973.7199999988</v>
      </c>
      <c r="AG295" s="193">
        <v>390876.69000000018</v>
      </c>
      <c r="AH295" s="193">
        <v>18135143.029999971</v>
      </c>
      <c r="AI295" s="194">
        <v>8.5073766975901375</v>
      </c>
      <c r="AJ295" s="194">
        <v>21.800678006391408</v>
      </c>
      <c r="AK295" s="194">
        <v>16.172784121847023</v>
      </c>
      <c r="AL295" s="194">
        <v>8.4136340764055149</v>
      </c>
      <c r="AM295" s="194">
        <v>-24.297604146497729</v>
      </c>
      <c r="AN295" s="194">
        <v>11.037481629095316</v>
      </c>
      <c r="AO295" s="194">
        <v>19.839336557384797</v>
      </c>
      <c r="AP295" s="194">
        <v>12.112382091161491</v>
      </c>
    </row>
    <row r="296" spans="1:42" ht="12" customHeight="1">
      <c r="A296" s="189" t="s">
        <v>815</v>
      </c>
      <c r="B296" s="189"/>
      <c r="C296" s="189" t="s">
        <v>263</v>
      </c>
      <c r="D296" s="189" t="s">
        <v>755</v>
      </c>
      <c r="E296" s="189" t="s">
        <v>877</v>
      </c>
      <c r="F296" s="190" t="s">
        <v>723</v>
      </c>
      <c r="G296" s="189" t="s">
        <v>680</v>
      </c>
      <c r="H296" s="197"/>
      <c r="I296" s="195"/>
      <c r="J296" s="195"/>
      <c r="K296" s="192">
        <v>4193872.9099999997</v>
      </c>
      <c r="L296" s="192">
        <v>1624790.84</v>
      </c>
      <c r="M296" s="192">
        <v>15633855.430000003</v>
      </c>
      <c r="N296" s="192">
        <v>13240193.679999998</v>
      </c>
      <c r="O296" s="192">
        <v>257112.61</v>
      </c>
      <c r="P296" s="192">
        <v>5150944.0100000007</v>
      </c>
      <c r="Q296" s="192">
        <v>361709.45999999996</v>
      </c>
      <c r="R296" s="192">
        <v>40100769.479999997</v>
      </c>
      <c r="S296" s="192">
        <v>3701305.37</v>
      </c>
      <c r="T296" s="192">
        <v>1176034.0499999998</v>
      </c>
      <c r="U296" s="192">
        <v>13191973.479999999</v>
      </c>
      <c r="V296" s="192">
        <v>12169843.590000002</v>
      </c>
      <c r="W296" s="192">
        <v>358859.85</v>
      </c>
      <c r="X296" s="192">
        <v>4519160.75</v>
      </c>
      <c r="Y296" s="192">
        <v>322100.27</v>
      </c>
      <c r="Z296" s="192">
        <v>35117177.090000004</v>
      </c>
      <c r="AA296" s="193">
        <v>492567.53999999957</v>
      </c>
      <c r="AB296" s="193">
        <v>448756.79000000027</v>
      </c>
      <c r="AC296" s="193">
        <v>2441881.9500000048</v>
      </c>
      <c r="AD296" s="193">
        <v>1070350.0899999961</v>
      </c>
      <c r="AE296" s="193">
        <v>-101747.23999999999</v>
      </c>
      <c r="AF296" s="193">
        <v>631783.26000000071</v>
      </c>
      <c r="AG296" s="193">
        <v>39609.189999999944</v>
      </c>
      <c r="AH296" s="193">
        <v>4983592.3899999931</v>
      </c>
      <c r="AI296" s="194">
        <v>13.307941138615092</v>
      </c>
      <c r="AJ296" s="194">
        <v>38.158486142471837</v>
      </c>
      <c r="AK296" s="194">
        <v>18.510361271587435</v>
      </c>
      <c r="AL296" s="194">
        <v>8.7951014496152276</v>
      </c>
      <c r="AM296" s="194">
        <v>-28.352918277149143</v>
      </c>
      <c r="AN296" s="194">
        <v>13.980101504466305</v>
      </c>
      <c r="AO296" s="194">
        <v>12.297161377728724</v>
      </c>
      <c r="AP296" s="194">
        <v>14.191324027064592</v>
      </c>
    </row>
    <row r="297" spans="1:42" ht="12" customHeight="1">
      <c r="A297" s="189" t="s">
        <v>816</v>
      </c>
      <c r="B297" s="189"/>
      <c r="C297" s="189" t="s">
        <v>264</v>
      </c>
      <c r="D297" s="189" t="s">
        <v>755</v>
      </c>
      <c r="E297" s="189" t="s">
        <v>874</v>
      </c>
      <c r="F297" s="190" t="s">
        <v>723</v>
      </c>
      <c r="G297" s="189" t="s">
        <v>680</v>
      </c>
      <c r="H297" s="197"/>
      <c r="I297" s="195"/>
      <c r="J297" s="195"/>
      <c r="K297" s="192">
        <v>9750307.1399999987</v>
      </c>
      <c r="L297" s="192">
        <v>6188114.4799999995</v>
      </c>
      <c r="M297" s="192">
        <v>38682490.709999993</v>
      </c>
      <c r="N297" s="192">
        <v>29681413.099999998</v>
      </c>
      <c r="O297" s="192">
        <v>305245.19</v>
      </c>
      <c r="P297" s="192">
        <v>12406900.6</v>
      </c>
      <c r="Q297" s="192">
        <v>1023524.2100000001</v>
      </c>
      <c r="R297" s="192">
        <v>97014471.219999984</v>
      </c>
      <c r="S297" s="192">
        <v>8807986.5900000017</v>
      </c>
      <c r="T297" s="192">
        <v>3872558.42</v>
      </c>
      <c r="U297" s="192">
        <v>33421392.079999991</v>
      </c>
      <c r="V297" s="192">
        <v>27401725.489999998</v>
      </c>
      <c r="W297" s="192">
        <v>356421.69000000006</v>
      </c>
      <c r="X297" s="192">
        <v>11256987.899999999</v>
      </c>
      <c r="Y297" s="192">
        <v>937578.85</v>
      </c>
      <c r="Z297" s="192">
        <v>85117072.169999987</v>
      </c>
      <c r="AA297" s="193">
        <v>942320.54999999702</v>
      </c>
      <c r="AB297" s="193">
        <v>2315556.0599999996</v>
      </c>
      <c r="AC297" s="193">
        <v>5261098.6300000027</v>
      </c>
      <c r="AD297" s="193">
        <v>2279687.6099999994</v>
      </c>
      <c r="AE297" s="193">
        <v>-51176.500000000058</v>
      </c>
      <c r="AF297" s="193">
        <v>1149912.7000000011</v>
      </c>
      <c r="AG297" s="193">
        <v>85945.360000000102</v>
      </c>
      <c r="AH297" s="193">
        <v>11897399.049999997</v>
      </c>
      <c r="AI297" s="194">
        <v>10.698478481675309</v>
      </c>
      <c r="AJ297" s="194">
        <v>59.793960706730921</v>
      </c>
      <c r="AK297" s="194">
        <v>15.741710032324912</v>
      </c>
      <c r="AL297" s="194">
        <v>8.3195038605577967</v>
      </c>
      <c r="AM297" s="194">
        <v>-14.358413484880803</v>
      </c>
      <c r="AN297" s="194">
        <v>10.215101146195611</v>
      </c>
      <c r="AO297" s="194">
        <v>9.1667340832187172</v>
      </c>
      <c r="AP297" s="194">
        <v>13.977688314088068</v>
      </c>
    </row>
    <row r="298" spans="1:42" ht="12" customHeight="1">
      <c r="A298" s="189" t="s">
        <v>589</v>
      </c>
      <c r="B298" s="189"/>
      <c r="C298" s="189" t="s">
        <v>253</v>
      </c>
      <c r="D298" s="189" t="s">
        <v>755</v>
      </c>
      <c r="E298" s="189" t="s">
        <v>874</v>
      </c>
      <c r="F298" s="190" t="s">
        <v>723</v>
      </c>
      <c r="G298" s="189" t="s">
        <v>680</v>
      </c>
      <c r="H298" s="197"/>
      <c r="I298" s="195"/>
      <c r="J298" s="195"/>
      <c r="K298" s="192">
        <v>13887368.640000001</v>
      </c>
      <c r="L298" s="192">
        <v>7064460.3200000012</v>
      </c>
      <c r="M298" s="192">
        <v>47955554.850000001</v>
      </c>
      <c r="N298" s="192">
        <v>42172483.160000011</v>
      </c>
      <c r="O298" s="192">
        <v>453075.7</v>
      </c>
      <c r="P298" s="192">
        <v>16489356.449999997</v>
      </c>
      <c r="Q298" s="192">
        <v>1400535.51</v>
      </c>
      <c r="R298" s="192">
        <v>128022299.12000002</v>
      </c>
      <c r="S298" s="192">
        <v>12994300.43</v>
      </c>
      <c r="T298" s="192">
        <v>7287701.9400000013</v>
      </c>
      <c r="U298" s="192">
        <v>41887751.089999996</v>
      </c>
      <c r="V298" s="192">
        <v>40029493.629999995</v>
      </c>
      <c r="W298" s="192">
        <v>688545.25999999989</v>
      </c>
      <c r="X298" s="192">
        <v>15151627.569999998</v>
      </c>
      <c r="Y298" s="192">
        <v>1342241.4500000002</v>
      </c>
      <c r="Z298" s="192">
        <v>118039419.91999999</v>
      </c>
      <c r="AA298" s="193">
        <v>893068.21000000089</v>
      </c>
      <c r="AB298" s="193">
        <v>-223241.62000000011</v>
      </c>
      <c r="AC298" s="193">
        <v>6067803.7600000054</v>
      </c>
      <c r="AD298" s="193">
        <v>2142989.5300000161</v>
      </c>
      <c r="AE298" s="193">
        <v>-235469.55999999988</v>
      </c>
      <c r="AF298" s="193">
        <v>1337728.879999999</v>
      </c>
      <c r="AG298" s="193">
        <v>58294.059999999823</v>
      </c>
      <c r="AH298" s="193">
        <v>9982879.2000000328</v>
      </c>
      <c r="AI298" s="194">
        <v>6.8727686789368843</v>
      </c>
      <c r="AJ298" s="194">
        <v>-3.0632649611353351</v>
      </c>
      <c r="AK298" s="194">
        <v>14.485866636675542</v>
      </c>
      <c r="AL298" s="194">
        <v>5.3535264517909322</v>
      </c>
      <c r="AM298" s="194">
        <v>-34.198123736992962</v>
      </c>
      <c r="AN298" s="194">
        <v>8.8289451005823469</v>
      </c>
      <c r="AO298" s="194">
        <v>4.3430382812272574</v>
      </c>
      <c r="AP298" s="194">
        <v>8.4572418322335263</v>
      </c>
    </row>
    <row r="299" spans="1:42" ht="12" customHeight="1">
      <c r="A299" s="189" t="s">
        <v>817</v>
      </c>
      <c r="B299" s="189"/>
      <c r="C299" s="189" t="s">
        <v>267</v>
      </c>
      <c r="D299" s="189" t="s">
        <v>756</v>
      </c>
      <c r="E299" s="189" t="s">
        <v>871</v>
      </c>
      <c r="F299" s="190" t="s">
        <v>723</v>
      </c>
      <c r="G299" s="189" t="s">
        <v>680</v>
      </c>
      <c r="H299" s="197"/>
      <c r="I299" s="195"/>
      <c r="J299" s="195"/>
      <c r="K299" s="192">
        <v>6925925</v>
      </c>
      <c r="L299" s="192">
        <v>3590827</v>
      </c>
      <c r="M299" s="192">
        <v>27906186</v>
      </c>
      <c r="N299" s="192">
        <v>26011693</v>
      </c>
      <c r="O299" s="192">
        <v>364237</v>
      </c>
      <c r="P299" s="192">
        <v>9789116</v>
      </c>
      <c r="Q299" s="192">
        <v>907635</v>
      </c>
      <c r="R299" s="192">
        <v>74587984</v>
      </c>
      <c r="S299" s="192">
        <v>6513056</v>
      </c>
      <c r="T299" s="192">
        <v>3101956</v>
      </c>
      <c r="U299" s="192">
        <v>24431049</v>
      </c>
      <c r="V299" s="192">
        <v>23792175</v>
      </c>
      <c r="W299" s="192">
        <v>367245</v>
      </c>
      <c r="X299" s="192" t="s">
        <v>987</v>
      </c>
      <c r="Y299" s="192">
        <v>846487</v>
      </c>
      <c r="Z299" s="192" t="s">
        <v>987</v>
      </c>
      <c r="AA299" s="193">
        <v>412869</v>
      </c>
      <c r="AB299" s="193">
        <v>488871</v>
      </c>
      <c r="AC299" s="193">
        <v>3475137</v>
      </c>
      <c r="AD299" s="193">
        <v>2219518</v>
      </c>
      <c r="AE299" s="193">
        <v>-3008</v>
      </c>
      <c r="AF299" s="193" t="s">
        <v>985</v>
      </c>
      <c r="AG299" s="193">
        <v>61148</v>
      </c>
      <c r="AH299" s="193" t="s">
        <v>985</v>
      </c>
      <c r="AI299" s="194">
        <v>6.3390979595446444</v>
      </c>
      <c r="AJ299" s="194">
        <v>15.760088150831281</v>
      </c>
      <c r="AK299" s="194">
        <v>14.224264377677764</v>
      </c>
      <c r="AL299" s="194">
        <v>9.328773010454066</v>
      </c>
      <c r="AM299" s="194">
        <v>-0.81907173685142076</v>
      </c>
      <c r="AN299" s="194" t="s">
        <v>985</v>
      </c>
      <c r="AO299" s="194">
        <v>7.2237376356636309</v>
      </c>
      <c r="AP299" s="194" t="s">
        <v>985</v>
      </c>
    </row>
    <row r="300" spans="1:42" ht="12" customHeight="1">
      <c r="A300" s="189" t="s">
        <v>818</v>
      </c>
      <c r="B300" s="189"/>
      <c r="C300" s="189" t="s">
        <v>265</v>
      </c>
      <c r="D300" s="189" t="s">
        <v>756</v>
      </c>
      <c r="E300" s="189" t="s">
        <v>873</v>
      </c>
      <c r="F300" s="190" t="s">
        <v>723</v>
      </c>
      <c r="G300" s="189" t="s">
        <v>680</v>
      </c>
      <c r="H300" s="197"/>
      <c r="I300" s="195"/>
      <c r="J300" s="195"/>
      <c r="K300" s="192">
        <v>12981241</v>
      </c>
      <c r="L300" s="192">
        <v>4903671</v>
      </c>
      <c r="M300" s="192">
        <v>38998045</v>
      </c>
      <c r="N300" s="192">
        <v>32448065</v>
      </c>
      <c r="O300" s="192">
        <v>26675</v>
      </c>
      <c r="P300" s="192">
        <v>12093798</v>
      </c>
      <c r="Q300" s="192">
        <v>991845</v>
      </c>
      <c r="R300" s="192">
        <v>101451495</v>
      </c>
      <c r="S300" s="192" t="s">
        <v>987</v>
      </c>
      <c r="T300" s="192">
        <v>4631945</v>
      </c>
      <c r="U300" s="192">
        <v>34164541</v>
      </c>
      <c r="V300" s="192">
        <v>29818478</v>
      </c>
      <c r="W300" s="192">
        <v>24020</v>
      </c>
      <c r="X300" s="192">
        <v>11167659</v>
      </c>
      <c r="Y300" s="192">
        <v>977080</v>
      </c>
      <c r="Z300" s="192" t="s">
        <v>987</v>
      </c>
      <c r="AA300" s="193" t="s">
        <v>985</v>
      </c>
      <c r="AB300" s="193">
        <v>271726</v>
      </c>
      <c r="AC300" s="193">
        <v>4833504</v>
      </c>
      <c r="AD300" s="193">
        <v>2629587</v>
      </c>
      <c r="AE300" s="193">
        <v>2655</v>
      </c>
      <c r="AF300" s="193">
        <v>926139</v>
      </c>
      <c r="AG300" s="193">
        <v>14765</v>
      </c>
      <c r="AH300" s="193" t="s">
        <v>985</v>
      </c>
      <c r="AI300" s="194" t="s">
        <v>985</v>
      </c>
      <c r="AJ300" s="194">
        <v>5.8663477221771849</v>
      </c>
      <c r="AK300" s="194">
        <v>14.147721170906408</v>
      </c>
      <c r="AL300" s="194">
        <v>8.8186492952457201</v>
      </c>
      <c r="AM300" s="194">
        <v>11.053288925895087</v>
      </c>
      <c r="AN300" s="194">
        <v>8.2930451225274702</v>
      </c>
      <c r="AO300" s="194">
        <v>1.5111352192246286</v>
      </c>
      <c r="AP300" s="194" t="s">
        <v>985</v>
      </c>
    </row>
    <row r="301" spans="1:42" ht="12" customHeight="1">
      <c r="A301" s="189" t="s">
        <v>590</v>
      </c>
      <c r="B301" s="189"/>
      <c r="C301" s="189" t="s">
        <v>254</v>
      </c>
      <c r="D301" s="189" t="s">
        <v>755</v>
      </c>
      <c r="E301" s="189" t="s">
        <v>874</v>
      </c>
      <c r="F301" s="190" t="s">
        <v>723</v>
      </c>
      <c r="G301" s="189" t="s">
        <v>680</v>
      </c>
      <c r="H301" s="197"/>
      <c r="I301" s="195"/>
      <c r="J301" s="195"/>
      <c r="K301" s="192">
        <v>11171075.400000002</v>
      </c>
      <c r="L301" s="192">
        <v>7946946.9900000002</v>
      </c>
      <c r="M301" s="192">
        <v>44441423.859999999</v>
      </c>
      <c r="N301" s="192">
        <v>39442610.06000001</v>
      </c>
      <c r="O301" s="192">
        <v>577334.94999999995</v>
      </c>
      <c r="P301" s="192">
        <v>14499353.73</v>
      </c>
      <c r="Q301" s="192">
        <v>1058675.02</v>
      </c>
      <c r="R301" s="192">
        <v>118078744.99000001</v>
      </c>
      <c r="S301" s="192">
        <v>9952530.4600000009</v>
      </c>
      <c r="T301" s="192">
        <v>7467807.9500000002</v>
      </c>
      <c r="U301" s="192">
        <v>37631659.760000013</v>
      </c>
      <c r="V301" s="192">
        <v>36362241.860000014</v>
      </c>
      <c r="W301" s="192">
        <v>740838.78999999992</v>
      </c>
      <c r="X301" s="192">
        <v>13122386.390000001</v>
      </c>
      <c r="Y301" s="192">
        <v>1152404.74</v>
      </c>
      <c r="Z301" s="192">
        <v>105277465.21000004</v>
      </c>
      <c r="AA301" s="193">
        <v>1218544.9400000013</v>
      </c>
      <c r="AB301" s="193">
        <v>479139.04000000004</v>
      </c>
      <c r="AC301" s="193">
        <v>6809764.0999999866</v>
      </c>
      <c r="AD301" s="193">
        <v>3080368.1999999955</v>
      </c>
      <c r="AE301" s="193">
        <v>-163503.83999999997</v>
      </c>
      <c r="AF301" s="193">
        <v>1376967.3399999999</v>
      </c>
      <c r="AG301" s="193">
        <v>-93729.719999999972</v>
      </c>
      <c r="AH301" s="193">
        <v>12801279.779999971</v>
      </c>
      <c r="AI301" s="194">
        <v>12.243569059119476</v>
      </c>
      <c r="AJ301" s="194">
        <v>6.4160600166478581</v>
      </c>
      <c r="AK301" s="194">
        <v>18.09583776912843</v>
      </c>
      <c r="AL301" s="194">
        <v>8.4713374160478505</v>
      </c>
      <c r="AM301" s="194">
        <v>-22.070097058497705</v>
      </c>
      <c r="AN301" s="194">
        <v>10.493269281030519</v>
      </c>
      <c r="AO301" s="194">
        <v>-8.1334028528900326</v>
      </c>
      <c r="AP301" s="194">
        <v>12.159563069328165</v>
      </c>
    </row>
    <row r="302" spans="1:42" ht="12" customHeight="1">
      <c r="A302" s="189" t="s">
        <v>591</v>
      </c>
      <c r="B302" s="189"/>
      <c r="C302" s="189" t="s">
        <v>255</v>
      </c>
      <c r="D302" s="189" t="s">
        <v>756</v>
      </c>
      <c r="E302" s="189" t="s">
        <v>874</v>
      </c>
      <c r="F302" s="190" t="s">
        <v>723</v>
      </c>
      <c r="G302" s="189" t="s">
        <v>680</v>
      </c>
      <c r="H302" s="197"/>
      <c r="I302" s="195"/>
      <c r="J302" s="195"/>
      <c r="K302" s="192">
        <v>7944891</v>
      </c>
      <c r="L302" s="192">
        <v>1781404</v>
      </c>
      <c r="M302" s="192">
        <v>27407779</v>
      </c>
      <c r="N302" s="192">
        <v>20136141</v>
      </c>
      <c r="O302" s="192">
        <v>157147</v>
      </c>
      <c r="P302" s="192">
        <v>8386976</v>
      </c>
      <c r="Q302" s="192">
        <v>721399</v>
      </c>
      <c r="R302" s="192">
        <v>65814338</v>
      </c>
      <c r="S302" s="192">
        <v>7179875</v>
      </c>
      <c r="T302" s="192">
        <v>1433336</v>
      </c>
      <c r="U302" s="192" t="s">
        <v>987</v>
      </c>
      <c r="V302" s="192">
        <v>18770540</v>
      </c>
      <c r="W302" s="192">
        <v>241985</v>
      </c>
      <c r="X302" s="192" t="s">
        <v>987</v>
      </c>
      <c r="Y302" s="192">
        <v>634111</v>
      </c>
      <c r="Z302" s="192" t="s">
        <v>987</v>
      </c>
      <c r="AA302" s="193">
        <v>765016</v>
      </c>
      <c r="AB302" s="193">
        <v>348068</v>
      </c>
      <c r="AC302" s="193" t="s">
        <v>985</v>
      </c>
      <c r="AD302" s="193">
        <v>1365601</v>
      </c>
      <c r="AE302" s="193">
        <v>-84838</v>
      </c>
      <c r="AF302" s="193" t="s">
        <v>985</v>
      </c>
      <c r="AG302" s="193">
        <v>87288</v>
      </c>
      <c r="AH302" s="193" t="s">
        <v>985</v>
      </c>
      <c r="AI302" s="194">
        <v>10.65500443949233</v>
      </c>
      <c r="AJ302" s="194">
        <v>24.283768774383677</v>
      </c>
      <c r="AK302" s="194" t="s">
        <v>985</v>
      </c>
      <c r="AL302" s="194">
        <v>7.2752355552903643</v>
      </c>
      <c r="AM302" s="194">
        <v>-35.059197884166373</v>
      </c>
      <c r="AN302" s="194" t="s">
        <v>985</v>
      </c>
      <c r="AO302" s="194">
        <v>13.765413310918751</v>
      </c>
      <c r="AP302" s="194" t="s">
        <v>985</v>
      </c>
    </row>
    <row r="303" spans="1:42" ht="12" customHeight="1">
      <c r="A303" s="189" t="s">
        <v>819</v>
      </c>
      <c r="B303" s="189"/>
      <c r="C303" s="189" t="s">
        <v>256</v>
      </c>
      <c r="D303" s="189" t="s">
        <v>756</v>
      </c>
      <c r="E303" s="189" t="s">
        <v>874</v>
      </c>
      <c r="F303" s="190" t="s">
        <v>723</v>
      </c>
      <c r="G303" s="189" t="s">
        <v>680</v>
      </c>
      <c r="H303" s="197"/>
      <c r="I303" s="195"/>
      <c r="J303" s="195"/>
      <c r="K303" s="192">
        <v>20848955</v>
      </c>
      <c r="L303" s="192">
        <v>12507245</v>
      </c>
      <c r="M303" s="192">
        <v>89074084</v>
      </c>
      <c r="N303" s="192">
        <v>80444744</v>
      </c>
      <c r="O303" s="192">
        <v>782191</v>
      </c>
      <c r="P303" s="192">
        <v>28467530</v>
      </c>
      <c r="Q303" s="192">
        <v>2742699</v>
      </c>
      <c r="R303" s="192">
        <v>232124749</v>
      </c>
      <c r="S303" s="192">
        <v>19108321</v>
      </c>
      <c r="T303" s="192">
        <v>11944889</v>
      </c>
      <c r="U303" s="192">
        <v>78080936</v>
      </c>
      <c r="V303" s="192">
        <v>76643862</v>
      </c>
      <c r="W303" s="192">
        <v>912706</v>
      </c>
      <c r="X303" s="192">
        <v>25883541</v>
      </c>
      <c r="Y303" s="192">
        <v>2801575</v>
      </c>
      <c r="Z303" s="192">
        <v>212574255</v>
      </c>
      <c r="AA303" s="193">
        <v>1740634</v>
      </c>
      <c r="AB303" s="193">
        <v>562356</v>
      </c>
      <c r="AC303" s="193">
        <v>10993148</v>
      </c>
      <c r="AD303" s="193">
        <v>3800882</v>
      </c>
      <c r="AE303" s="193">
        <v>-130515</v>
      </c>
      <c r="AF303" s="193">
        <v>2583989</v>
      </c>
      <c r="AG303" s="193">
        <v>-58876</v>
      </c>
      <c r="AH303" s="193">
        <v>19550494</v>
      </c>
      <c r="AI303" s="194">
        <v>9.1092985092724792</v>
      </c>
      <c r="AJ303" s="194">
        <v>4.7079215219161936</v>
      </c>
      <c r="AK303" s="194">
        <v>14.079170362404467</v>
      </c>
      <c r="AL303" s="194">
        <v>4.9591472830531425</v>
      </c>
      <c r="AM303" s="194">
        <v>-14.29978547308772</v>
      </c>
      <c r="AN303" s="194">
        <v>9.9831356150226895</v>
      </c>
      <c r="AO303" s="194">
        <v>-2.1015321738664858</v>
      </c>
      <c r="AP303" s="194">
        <v>9.1970187076511216</v>
      </c>
    </row>
    <row r="304" spans="1:42" ht="12" customHeight="1">
      <c r="A304" s="189" t="s">
        <v>592</v>
      </c>
      <c r="B304" s="189"/>
      <c r="C304" s="189" t="s">
        <v>257</v>
      </c>
      <c r="D304" s="189" t="s">
        <v>755</v>
      </c>
      <c r="E304" s="189" t="s">
        <v>882</v>
      </c>
      <c r="F304" s="190" t="s">
        <v>723</v>
      </c>
      <c r="G304" s="189" t="s">
        <v>680</v>
      </c>
      <c r="H304" s="197"/>
      <c r="I304" s="195"/>
      <c r="J304" s="195"/>
      <c r="K304" s="192">
        <v>33456614.150000006</v>
      </c>
      <c r="L304" s="192">
        <v>22792790.669999998</v>
      </c>
      <c r="M304" s="192">
        <v>116635800.34999999</v>
      </c>
      <c r="N304" s="192">
        <v>100937696.57000002</v>
      </c>
      <c r="O304" s="192">
        <v>1255114.6100000001</v>
      </c>
      <c r="P304" s="192">
        <v>37757109.920000002</v>
      </c>
      <c r="Q304" s="192">
        <v>2592846.21</v>
      </c>
      <c r="R304" s="192">
        <v>312835126.27000004</v>
      </c>
      <c r="S304" s="192">
        <v>31636105.980000004</v>
      </c>
      <c r="T304" s="192">
        <v>23333516.300000001</v>
      </c>
      <c r="U304" s="192">
        <v>101375367.12000002</v>
      </c>
      <c r="V304" s="192">
        <v>98174283.060000002</v>
      </c>
      <c r="W304" s="192">
        <v>1043529.55</v>
      </c>
      <c r="X304" s="192">
        <v>35697853.709999993</v>
      </c>
      <c r="Y304" s="192">
        <v>2782183.0700000003</v>
      </c>
      <c r="Z304" s="192">
        <v>291260655.72000003</v>
      </c>
      <c r="AA304" s="193">
        <v>1820508.1700000018</v>
      </c>
      <c r="AB304" s="193">
        <v>-540725.63000000268</v>
      </c>
      <c r="AC304" s="193">
        <v>15260433.229999974</v>
      </c>
      <c r="AD304" s="193">
        <v>2763413.5100000203</v>
      </c>
      <c r="AE304" s="193">
        <v>211585.06000000006</v>
      </c>
      <c r="AF304" s="193">
        <v>2059256.2100000083</v>
      </c>
      <c r="AG304" s="193">
        <v>-189336.86000000034</v>
      </c>
      <c r="AH304" s="193">
        <v>21574470.550000012</v>
      </c>
      <c r="AI304" s="194">
        <v>5.754526714352604</v>
      </c>
      <c r="AJ304" s="194">
        <v>-2.3173773855936264</v>
      </c>
      <c r="AK304" s="194">
        <v>15.053393801213957</v>
      </c>
      <c r="AL304" s="194">
        <v>2.8148038609165473</v>
      </c>
      <c r="AM304" s="194">
        <v>20.275904980362082</v>
      </c>
      <c r="AN304" s="194">
        <v>5.7685714853583807</v>
      </c>
      <c r="AO304" s="194">
        <v>-6.8053343448747361</v>
      </c>
      <c r="AP304" s="194">
        <v>7.4072725327997526</v>
      </c>
    </row>
    <row r="305" spans="1:42" ht="12" customHeight="1">
      <c r="A305" s="189" t="s">
        <v>593</v>
      </c>
      <c r="B305" s="189"/>
      <c r="C305" s="189" t="s">
        <v>258</v>
      </c>
      <c r="D305" s="189" t="s">
        <v>755</v>
      </c>
      <c r="E305" s="189" t="s">
        <v>873</v>
      </c>
      <c r="F305" s="190" t="s">
        <v>723</v>
      </c>
      <c r="G305" s="189" t="s">
        <v>680</v>
      </c>
      <c r="H305" s="279"/>
      <c r="I305" s="195"/>
      <c r="J305" s="195"/>
      <c r="K305" s="192">
        <v>6285774.3799999999</v>
      </c>
      <c r="L305" s="192">
        <v>3341329.9899999998</v>
      </c>
      <c r="M305" s="192">
        <v>23883846.27</v>
      </c>
      <c r="N305" s="192">
        <v>17257297.630000003</v>
      </c>
      <c r="O305" s="192">
        <v>191513.71</v>
      </c>
      <c r="P305" s="192">
        <v>7740755.580000001</v>
      </c>
      <c r="Q305" s="192">
        <v>528470.9</v>
      </c>
      <c r="R305" s="192">
        <v>58700517.560000002</v>
      </c>
      <c r="S305" s="192">
        <v>5735717.3800000008</v>
      </c>
      <c r="T305" s="192">
        <v>3011608.29</v>
      </c>
      <c r="U305" s="192">
        <v>20004852.07</v>
      </c>
      <c r="V305" s="192">
        <v>15594210.070000004</v>
      </c>
      <c r="W305" s="192">
        <v>241556.9</v>
      </c>
      <c r="X305" s="192">
        <v>6839290.919999999</v>
      </c>
      <c r="Y305" s="192">
        <v>474579.26</v>
      </c>
      <c r="Z305" s="192">
        <v>51427235.630000003</v>
      </c>
      <c r="AA305" s="193">
        <v>550056.99999999907</v>
      </c>
      <c r="AB305" s="193">
        <v>329721.69999999972</v>
      </c>
      <c r="AC305" s="193">
        <v>3878994.1999999993</v>
      </c>
      <c r="AD305" s="193">
        <v>1663087.5599999987</v>
      </c>
      <c r="AE305" s="193">
        <v>-50043.19</v>
      </c>
      <c r="AF305" s="193">
        <v>901464.66000000201</v>
      </c>
      <c r="AG305" s="193">
        <v>53891.640000000014</v>
      </c>
      <c r="AH305" s="193">
        <v>7273281.9299999997</v>
      </c>
      <c r="AI305" s="194">
        <v>9.5900296956402507</v>
      </c>
      <c r="AJ305" s="194">
        <v>10.94835942293145</v>
      </c>
      <c r="AK305" s="194">
        <v>19.390266853395428</v>
      </c>
      <c r="AL305" s="194">
        <v>10.6647759170529</v>
      </c>
      <c r="AM305" s="194">
        <v>-20.716936672063603</v>
      </c>
      <c r="AN305" s="194">
        <v>13.180674291305072</v>
      </c>
      <c r="AO305" s="194">
        <v>11.355666912203457</v>
      </c>
      <c r="AP305" s="194">
        <v>14.142859986347665</v>
      </c>
    </row>
    <row r="306" spans="1:42" ht="12" customHeight="1">
      <c r="A306" s="189" t="s">
        <v>594</v>
      </c>
      <c r="B306" s="189"/>
      <c r="C306" s="189" t="s">
        <v>259</v>
      </c>
      <c r="D306" s="189" t="s">
        <v>755</v>
      </c>
      <c r="E306" s="189" t="s">
        <v>873</v>
      </c>
      <c r="F306" s="190" t="s">
        <v>723</v>
      </c>
      <c r="G306" s="189" t="s">
        <v>680</v>
      </c>
      <c r="H306" s="197"/>
      <c r="I306" s="195"/>
      <c r="J306" s="195"/>
      <c r="K306" s="192">
        <v>4217995.99</v>
      </c>
      <c r="L306" s="192">
        <v>2411752.73</v>
      </c>
      <c r="M306" s="192">
        <v>16564140.870000001</v>
      </c>
      <c r="N306" s="192">
        <v>12613006.370000001</v>
      </c>
      <c r="O306" s="192">
        <v>254627.30999999997</v>
      </c>
      <c r="P306" s="192">
        <v>5344578.3299999991</v>
      </c>
      <c r="Q306" s="192">
        <v>339744.35000000003</v>
      </c>
      <c r="R306" s="192">
        <v>41406101.600000009</v>
      </c>
      <c r="S306" s="192">
        <v>4107637.16</v>
      </c>
      <c r="T306" s="192">
        <v>2369547.7200000002</v>
      </c>
      <c r="U306" s="192">
        <v>14130506.899999999</v>
      </c>
      <c r="V306" s="192">
        <v>10801775.689999999</v>
      </c>
      <c r="W306" s="192">
        <v>320339.40000000002</v>
      </c>
      <c r="X306" s="192">
        <v>4770423.6099999994</v>
      </c>
      <c r="Y306" s="192">
        <v>318749.59000000003</v>
      </c>
      <c r="Z306" s="192">
        <v>36500230.479999997</v>
      </c>
      <c r="AA306" s="193">
        <v>110358.83000000007</v>
      </c>
      <c r="AB306" s="193">
        <v>42205.009999999776</v>
      </c>
      <c r="AC306" s="193">
        <v>2433633.9700000025</v>
      </c>
      <c r="AD306" s="193">
        <v>1811230.6800000016</v>
      </c>
      <c r="AE306" s="193">
        <v>-65712.090000000055</v>
      </c>
      <c r="AF306" s="193">
        <v>574154.71999999974</v>
      </c>
      <c r="AG306" s="193">
        <v>20994.760000000009</v>
      </c>
      <c r="AH306" s="193">
        <v>4905871.1200000122</v>
      </c>
      <c r="AI306" s="194">
        <v>2.686674253380259</v>
      </c>
      <c r="AJ306" s="194">
        <v>1.7811420147301262</v>
      </c>
      <c r="AK306" s="194">
        <v>17.222552504468208</v>
      </c>
      <c r="AL306" s="194">
        <v>16.767897538150059</v>
      </c>
      <c r="AM306" s="194">
        <v>-20.513271236694596</v>
      </c>
      <c r="AN306" s="194">
        <v>12.035717725286032</v>
      </c>
      <c r="AO306" s="194">
        <v>6.5865998447245087</v>
      </c>
      <c r="AP306" s="194">
        <v>13.440657923209947</v>
      </c>
    </row>
    <row r="307" spans="1:42" ht="12" customHeight="1">
      <c r="A307" s="189" t="s">
        <v>820</v>
      </c>
      <c r="B307" s="189"/>
      <c r="C307" s="189" t="s">
        <v>261</v>
      </c>
      <c r="D307" s="189" t="s">
        <v>756</v>
      </c>
      <c r="E307" s="189" t="s">
        <v>877</v>
      </c>
      <c r="F307" s="190" t="s">
        <v>723</v>
      </c>
      <c r="G307" s="189" t="s">
        <v>680</v>
      </c>
      <c r="H307" s="197"/>
      <c r="I307" s="195"/>
      <c r="J307" s="195"/>
      <c r="K307" s="192">
        <v>12063620</v>
      </c>
      <c r="L307" s="192">
        <v>7056093</v>
      </c>
      <c r="M307" s="192">
        <v>49159485</v>
      </c>
      <c r="N307" s="192">
        <v>38042528</v>
      </c>
      <c r="O307" s="192">
        <v>468601</v>
      </c>
      <c r="P307" s="192">
        <v>15160538</v>
      </c>
      <c r="Q307" s="192">
        <v>1317959</v>
      </c>
      <c r="R307" s="192">
        <v>121950865</v>
      </c>
      <c r="S307" s="192">
        <v>11717345</v>
      </c>
      <c r="T307" s="192">
        <v>7300036</v>
      </c>
      <c r="U307" s="192">
        <v>41353915</v>
      </c>
      <c r="V307" s="192">
        <v>34978433</v>
      </c>
      <c r="W307" s="192">
        <v>492496</v>
      </c>
      <c r="X307" s="192">
        <v>13824026</v>
      </c>
      <c r="Y307" s="192">
        <v>1264997</v>
      </c>
      <c r="Z307" s="192">
        <v>109666251</v>
      </c>
      <c r="AA307" s="193">
        <v>346275</v>
      </c>
      <c r="AB307" s="193">
        <v>-243943</v>
      </c>
      <c r="AC307" s="193">
        <v>7805570</v>
      </c>
      <c r="AD307" s="193">
        <v>3064095</v>
      </c>
      <c r="AE307" s="193">
        <v>-23895</v>
      </c>
      <c r="AF307" s="193">
        <v>1336512</v>
      </c>
      <c r="AG307" s="193">
        <v>52962</v>
      </c>
      <c r="AH307" s="193">
        <v>12284614</v>
      </c>
      <c r="AI307" s="194">
        <v>2.955234312892554</v>
      </c>
      <c r="AJ307" s="194">
        <v>-3.3416684520459898</v>
      </c>
      <c r="AK307" s="194">
        <v>18.875044841582714</v>
      </c>
      <c r="AL307" s="194">
        <v>8.7599550271448692</v>
      </c>
      <c r="AM307" s="194">
        <v>-4.8518160553588245</v>
      </c>
      <c r="AN307" s="194">
        <v>9.6680373720361921</v>
      </c>
      <c r="AO307" s="194">
        <v>4.1867292965912171</v>
      </c>
      <c r="AP307" s="194">
        <v>11.201818141845662</v>
      </c>
    </row>
    <row r="308" spans="1:42" ht="12" customHeight="1">
      <c r="A308" s="189" t="s">
        <v>821</v>
      </c>
      <c r="B308" s="189"/>
      <c r="C308" s="189" t="s">
        <v>262</v>
      </c>
      <c r="D308" s="189" t="s">
        <v>756</v>
      </c>
      <c r="E308" s="189" t="s">
        <v>872</v>
      </c>
      <c r="F308" s="190" t="s">
        <v>723</v>
      </c>
      <c r="G308" s="189" t="s">
        <v>680</v>
      </c>
      <c r="H308" s="197"/>
      <c r="I308" s="195"/>
      <c r="J308" s="195"/>
      <c r="K308" s="192">
        <v>7502509</v>
      </c>
      <c r="L308" s="192">
        <v>2724621</v>
      </c>
      <c r="M308" s="192">
        <v>27753436</v>
      </c>
      <c r="N308" s="192">
        <v>19137192</v>
      </c>
      <c r="O308" s="192">
        <v>188563</v>
      </c>
      <c r="P308" s="192">
        <v>8302562</v>
      </c>
      <c r="Q308" s="192">
        <v>662983</v>
      </c>
      <c r="R308" s="192">
        <v>65608883</v>
      </c>
      <c r="S308" s="192">
        <v>6905467</v>
      </c>
      <c r="T308" s="192">
        <v>2208687</v>
      </c>
      <c r="U308" s="192">
        <v>23320504</v>
      </c>
      <c r="V308" s="192">
        <v>16915956</v>
      </c>
      <c r="W308" s="192">
        <v>203543</v>
      </c>
      <c r="X308" s="192">
        <v>7384827</v>
      </c>
      <c r="Y308" s="192">
        <v>687166</v>
      </c>
      <c r="Z308" s="192">
        <v>56938984</v>
      </c>
      <c r="AA308" s="193">
        <v>597042</v>
      </c>
      <c r="AB308" s="193">
        <v>515934</v>
      </c>
      <c r="AC308" s="193">
        <v>4432932</v>
      </c>
      <c r="AD308" s="193">
        <v>2221236</v>
      </c>
      <c r="AE308" s="193">
        <v>-14980</v>
      </c>
      <c r="AF308" s="193">
        <v>917735</v>
      </c>
      <c r="AG308" s="193">
        <v>-24183</v>
      </c>
      <c r="AH308" s="193">
        <v>8669899</v>
      </c>
      <c r="AI308" s="194">
        <v>8.6459322736608542</v>
      </c>
      <c r="AJ308" s="194">
        <v>23.359308041383862</v>
      </c>
      <c r="AK308" s="194">
        <v>19.008731543709349</v>
      </c>
      <c r="AL308" s="194">
        <v>13.131010745121351</v>
      </c>
      <c r="AM308" s="194">
        <v>-7.3596242562996519</v>
      </c>
      <c r="AN308" s="194">
        <v>12.427305338364731</v>
      </c>
      <c r="AO308" s="194">
        <v>-3.5192369820392742</v>
      </c>
      <c r="AP308" s="194">
        <v>15.226648582278882</v>
      </c>
    </row>
    <row r="309" spans="1:42" ht="12" customHeight="1">
      <c r="A309" s="189" t="s">
        <v>595</v>
      </c>
      <c r="B309" s="189"/>
      <c r="C309" s="189" t="s">
        <v>260</v>
      </c>
      <c r="D309" s="189" t="s">
        <v>756</v>
      </c>
      <c r="E309" s="189" t="s">
        <v>874</v>
      </c>
      <c r="F309" s="190" t="s">
        <v>723</v>
      </c>
      <c r="G309" s="189" t="s">
        <v>680</v>
      </c>
      <c r="H309" s="197"/>
      <c r="I309" s="195"/>
      <c r="J309" s="195"/>
      <c r="K309" s="192">
        <v>19703381</v>
      </c>
      <c r="L309" s="192">
        <v>7967474</v>
      </c>
      <c r="M309" s="192">
        <v>65478834</v>
      </c>
      <c r="N309" s="192">
        <v>50956843</v>
      </c>
      <c r="O309" s="192">
        <v>687867</v>
      </c>
      <c r="P309" s="192">
        <v>22734253</v>
      </c>
      <c r="Q309" s="192">
        <v>2261672</v>
      </c>
      <c r="R309" s="192">
        <v>167528652</v>
      </c>
      <c r="S309" s="192">
        <v>17802629</v>
      </c>
      <c r="T309" s="192">
        <v>8422959</v>
      </c>
      <c r="U309" s="192">
        <v>56966639</v>
      </c>
      <c r="V309" s="192">
        <v>47310264</v>
      </c>
      <c r="W309" s="192">
        <v>760660</v>
      </c>
      <c r="X309" s="192">
        <v>20825651</v>
      </c>
      <c r="Y309" s="192">
        <v>2070199</v>
      </c>
      <c r="Z309" s="192">
        <v>152088802</v>
      </c>
      <c r="AA309" s="193">
        <v>1900752</v>
      </c>
      <c r="AB309" s="193">
        <v>-455485</v>
      </c>
      <c r="AC309" s="193">
        <v>8512195</v>
      </c>
      <c r="AD309" s="193">
        <v>3646579</v>
      </c>
      <c r="AE309" s="193">
        <v>-72793</v>
      </c>
      <c r="AF309" s="193">
        <v>1908602</v>
      </c>
      <c r="AG309" s="193">
        <v>191473</v>
      </c>
      <c r="AH309" s="193">
        <v>15439850</v>
      </c>
      <c r="AI309" s="194">
        <v>10.676805094348705</v>
      </c>
      <c r="AJ309" s="194">
        <v>-5.4076601821283949</v>
      </c>
      <c r="AK309" s="194">
        <v>14.942420949215556</v>
      </c>
      <c r="AL309" s="194">
        <v>7.7077967690055598</v>
      </c>
      <c r="AM309" s="194">
        <v>-9.5697157731443738</v>
      </c>
      <c r="AN309" s="194">
        <v>9.1646690900562966</v>
      </c>
      <c r="AO309" s="194">
        <v>9.2490142252025045</v>
      </c>
      <c r="AP309" s="194">
        <v>10.151865092605568</v>
      </c>
    </row>
    <row r="310" spans="1:42" ht="12" customHeight="1">
      <c r="A310" s="189" t="s">
        <v>596</v>
      </c>
      <c r="B310" s="189"/>
      <c r="C310" s="189" t="s">
        <v>268</v>
      </c>
      <c r="D310" s="189" t="s">
        <v>755</v>
      </c>
      <c r="E310" s="189" t="s">
        <v>874</v>
      </c>
      <c r="F310" s="190" t="s">
        <v>723</v>
      </c>
      <c r="G310" s="189" t="s">
        <v>680</v>
      </c>
      <c r="H310" s="197"/>
      <c r="I310" s="195"/>
      <c r="J310" s="195"/>
      <c r="K310" s="192">
        <v>14724344.259999996</v>
      </c>
      <c r="L310" s="192">
        <v>6081372.7199999997</v>
      </c>
      <c r="M310" s="192">
        <v>48772530.809999995</v>
      </c>
      <c r="N310" s="192">
        <v>41205797.639999986</v>
      </c>
      <c r="O310" s="192">
        <v>573928.49</v>
      </c>
      <c r="P310" s="192">
        <v>15998309.449999999</v>
      </c>
      <c r="Q310" s="192">
        <v>1540594.52</v>
      </c>
      <c r="R310" s="192">
        <v>127356283.36999997</v>
      </c>
      <c r="S310" s="192">
        <v>13203595.350000001</v>
      </c>
      <c r="T310" s="192">
        <v>6877672.5099999998</v>
      </c>
      <c r="U310" s="192">
        <v>40811164.43999999</v>
      </c>
      <c r="V310" s="192">
        <v>37800464.219999999</v>
      </c>
      <c r="W310" s="192">
        <v>608544.28</v>
      </c>
      <c r="X310" s="192">
        <v>14497510.089999998</v>
      </c>
      <c r="Y310" s="192">
        <v>1383631.27</v>
      </c>
      <c r="Z310" s="192">
        <v>113798950.88999999</v>
      </c>
      <c r="AA310" s="193">
        <v>1520748.9099999946</v>
      </c>
      <c r="AB310" s="193">
        <v>-796299.79</v>
      </c>
      <c r="AC310" s="193">
        <v>7961366.3700000048</v>
      </c>
      <c r="AD310" s="193">
        <v>3405333.4199999869</v>
      </c>
      <c r="AE310" s="193">
        <v>-34615.790000000037</v>
      </c>
      <c r="AF310" s="193">
        <v>1500799.3600000013</v>
      </c>
      <c r="AG310" s="193">
        <v>156963.25</v>
      </c>
      <c r="AH310" s="193">
        <v>13557332.479999989</v>
      </c>
      <c r="AI310" s="194">
        <v>11.517687945503377</v>
      </c>
      <c r="AJ310" s="194">
        <v>-11.578041682592415</v>
      </c>
      <c r="AK310" s="194">
        <v>19.507814783635236</v>
      </c>
      <c r="AL310" s="194">
        <v>9.0087079359153623</v>
      </c>
      <c r="AM310" s="194">
        <v>-5.6882943670097488</v>
      </c>
      <c r="AN310" s="194">
        <v>10.352118058087873</v>
      </c>
      <c r="AO310" s="194">
        <v>11.344297675492692</v>
      </c>
      <c r="AP310" s="194">
        <v>11.913407262519264</v>
      </c>
    </row>
    <row r="311" spans="1:42" ht="12" customHeight="1">
      <c r="A311" s="189" t="s">
        <v>597</v>
      </c>
      <c r="B311" s="189"/>
      <c r="C311" s="189" t="s">
        <v>269</v>
      </c>
      <c r="D311" s="189" t="s">
        <v>755</v>
      </c>
      <c r="E311" s="189" t="s">
        <v>874</v>
      </c>
      <c r="F311" s="190" t="s">
        <v>723</v>
      </c>
      <c r="G311" s="189" t="s">
        <v>680</v>
      </c>
      <c r="H311" s="197"/>
      <c r="I311" s="195"/>
      <c r="J311" s="195"/>
      <c r="K311" s="192">
        <v>9200183.6099999994</v>
      </c>
      <c r="L311" s="192">
        <v>4373336.3</v>
      </c>
      <c r="M311" s="192">
        <v>31740532.109999996</v>
      </c>
      <c r="N311" s="192">
        <v>28767864.34</v>
      </c>
      <c r="O311" s="192">
        <v>374566.70999999996</v>
      </c>
      <c r="P311" s="192">
        <v>10715511.680000003</v>
      </c>
      <c r="Q311" s="192">
        <v>345735.67999999999</v>
      </c>
      <c r="R311" s="192">
        <v>85171994.75</v>
      </c>
      <c r="S311" s="192">
        <v>8044339.3200000003</v>
      </c>
      <c r="T311" s="192">
        <v>3858261.49</v>
      </c>
      <c r="U311" s="192">
        <v>26547211.470000003</v>
      </c>
      <c r="V311" s="192">
        <v>25962754.889999997</v>
      </c>
      <c r="W311" s="192">
        <v>426382.87</v>
      </c>
      <c r="X311" s="192">
        <v>9520550.7300000023</v>
      </c>
      <c r="Y311" s="192">
        <v>1260397.5900000001</v>
      </c>
      <c r="Z311" s="192">
        <v>74359500.769999996</v>
      </c>
      <c r="AA311" s="193">
        <v>1155844.2899999991</v>
      </c>
      <c r="AB311" s="193">
        <v>515074.80999999959</v>
      </c>
      <c r="AC311" s="193">
        <v>5193320.6399999931</v>
      </c>
      <c r="AD311" s="193">
        <v>2805109.450000003</v>
      </c>
      <c r="AE311" s="193">
        <v>-51816.160000000033</v>
      </c>
      <c r="AF311" s="193">
        <v>1194960.9500000011</v>
      </c>
      <c r="AG311" s="193">
        <v>-914661.91000000015</v>
      </c>
      <c r="AH311" s="193">
        <v>10812493.980000004</v>
      </c>
      <c r="AI311" s="194">
        <v>14.368417890159302</v>
      </c>
      <c r="AJ311" s="194">
        <v>13.349919681053022</v>
      </c>
      <c r="AK311" s="194">
        <v>19.562584363592268</v>
      </c>
      <c r="AL311" s="194">
        <v>10.804359791111533</v>
      </c>
      <c r="AM311" s="194">
        <v>-12.152495713535592</v>
      </c>
      <c r="AN311" s="194">
        <v>12.551384724358281</v>
      </c>
      <c r="AO311" s="194">
        <v>-72.569316004483952</v>
      </c>
      <c r="AP311" s="194">
        <v>14.540837240750083</v>
      </c>
    </row>
    <row r="312" spans="1:42" ht="12" customHeight="1">
      <c r="A312" s="189" t="s">
        <v>598</v>
      </c>
      <c r="B312" s="189"/>
      <c r="C312" s="189" t="s">
        <v>272</v>
      </c>
      <c r="D312" s="189" t="s">
        <v>755</v>
      </c>
      <c r="E312" s="189" t="s">
        <v>874</v>
      </c>
      <c r="F312" s="190" t="s">
        <v>723</v>
      </c>
      <c r="G312" s="189" t="s">
        <v>680</v>
      </c>
      <c r="H312" s="197"/>
      <c r="I312" s="195"/>
      <c r="J312" s="195"/>
      <c r="K312" s="192">
        <v>21646675.760000002</v>
      </c>
      <c r="L312" s="192">
        <v>12815270.77</v>
      </c>
      <c r="M312" s="192">
        <v>79436171.189999983</v>
      </c>
      <c r="N312" s="192">
        <v>73254175.469999969</v>
      </c>
      <c r="O312" s="192">
        <v>1237263.06</v>
      </c>
      <c r="P312" s="192">
        <v>26761245.390000004</v>
      </c>
      <c r="Q312" s="192">
        <v>2502895.91</v>
      </c>
      <c r="R312" s="192">
        <v>215150801.63999996</v>
      </c>
      <c r="S312" s="192">
        <v>20443311.48</v>
      </c>
      <c r="T312" s="192">
        <v>12243306.369999997</v>
      </c>
      <c r="U312" s="192">
        <v>66070602.340000011</v>
      </c>
      <c r="V312" s="192">
        <v>67363944.550000012</v>
      </c>
      <c r="W312" s="192">
        <v>1336342.3900000001</v>
      </c>
      <c r="X312" s="192">
        <v>24159783.84</v>
      </c>
      <c r="Y312" s="192">
        <v>2256937.88</v>
      </c>
      <c r="Z312" s="192">
        <v>191617290.97</v>
      </c>
      <c r="AA312" s="193">
        <v>1203364.2800000012</v>
      </c>
      <c r="AB312" s="193">
        <v>571964.40000000224</v>
      </c>
      <c r="AC312" s="193">
        <v>13365568.849999972</v>
      </c>
      <c r="AD312" s="193">
        <v>5890230.9199999571</v>
      </c>
      <c r="AE312" s="193">
        <v>-99079.330000000075</v>
      </c>
      <c r="AF312" s="193">
        <v>2601461.5500000045</v>
      </c>
      <c r="AG312" s="193">
        <v>245958.03000000026</v>
      </c>
      <c r="AH312" s="193">
        <v>23533510.669999957</v>
      </c>
      <c r="AI312" s="194">
        <v>5.8863471369463332</v>
      </c>
      <c r="AJ312" s="194">
        <v>4.671649820031436</v>
      </c>
      <c r="AK312" s="194">
        <v>20.22922203920681</v>
      </c>
      <c r="AL312" s="194">
        <v>8.7438925367976488</v>
      </c>
      <c r="AM312" s="194">
        <v>-7.4142173997788152</v>
      </c>
      <c r="AN312" s="194">
        <v>10.767735205034866</v>
      </c>
      <c r="AO312" s="194">
        <v>10.897864410871613</v>
      </c>
      <c r="AP312" s="194">
        <v>12.281517263326936</v>
      </c>
    </row>
    <row r="313" spans="1:42" ht="12" customHeight="1">
      <c r="A313" s="189" t="s">
        <v>599</v>
      </c>
      <c r="B313" s="189"/>
      <c r="C313" s="189" t="s">
        <v>273</v>
      </c>
      <c r="D313" s="189" t="s">
        <v>755</v>
      </c>
      <c r="E313" s="189" t="s">
        <v>873</v>
      </c>
      <c r="F313" s="190" t="s">
        <v>723</v>
      </c>
      <c r="G313" s="189" t="s">
        <v>680</v>
      </c>
      <c r="H313" s="197"/>
      <c r="I313" s="195"/>
      <c r="J313" s="195"/>
      <c r="K313" s="192">
        <v>3397976.43</v>
      </c>
      <c r="L313" s="192">
        <v>1635809.19</v>
      </c>
      <c r="M313" s="192">
        <v>12746261.299999995</v>
      </c>
      <c r="N313" s="192">
        <v>9350254.209999999</v>
      </c>
      <c r="O313" s="192">
        <v>250311.26</v>
      </c>
      <c r="P313" s="192">
        <v>4154207.19</v>
      </c>
      <c r="Q313" s="192">
        <v>195827.21000000002</v>
      </c>
      <c r="R313" s="192">
        <v>31534819.579999998</v>
      </c>
      <c r="S313" s="192">
        <v>3030126.01</v>
      </c>
      <c r="T313" s="192">
        <v>926866.19000000018</v>
      </c>
      <c r="U313" s="192">
        <v>10611022.789999997</v>
      </c>
      <c r="V313" s="192">
        <v>8216566.1299999999</v>
      </c>
      <c r="W313" s="192">
        <v>248085.43</v>
      </c>
      <c r="X313" s="192">
        <v>3625887.5900000003</v>
      </c>
      <c r="Y313" s="192">
        <v>205645.80000000002</v>
      </c>
      <c r="Z313" s="192">
        <v>26658554.139999997</v>
      </c>
      <c r="AA313" s="193">
        <v>367850.42000000039</v>
      </c>
      <c r="AB313" s="193">
        <v>708942.99999999977</v>
      </c>
      <c r="AC313" s="193">
        <v>2135238.5099999979</v>
      </c>
      <c r="AD313" s="193">
        <v>1133688.0799999991</v>
      </c>
      <c r="AE313" s="193">
        <v>2225.8300000000163</v>
      </c>
      <c r="AF313" s="193">
        <v>528319.59999999963</v>
      </c>
      <c r="AG313" s="193">
        <v>-9818.5899999999965</v>
      </c>
      <c r="AH313" s="193">
        <v>4876265.4400000013</v>
      </c>
      <c r="AI313" s="194">
        <v>12.139773025478911</v>
      </c>
      <c r="AJ313" s="194">
        <v>76.488171393974312</v>
      </c>
      <c r="AK313" s="194">
        <v>20.122834077901349</v>
      </c>
      <c r="AL313" s="194">
        <v>13.797589675092157</v>
      </c>
      <c r="AM313" s="194">
        <v>0.89720303203618867</v>
      </c>
      <c r="AN313" s="194">
        <v>14.570766105851604</v>
      </c>
      <c r="AO313" s="194">
        <v>-4.7745152101331492</v>
      </c>
      <c r="AP313" s="194">
        <v>18.291560053826693</v>
      </c>
    </row>
    <row r="314" spans="1:42" ht="12" customHeight="1">
      <c r="A314" s="189" t="s">
        <v>600</v>
      </c>
      <c r="B314" s="189"/>
      <c r="C314" s="189" t="s">
        <v>274</v>
      </c>
      <c r="D314" s="189" t="s">
        <v>755</v>
      </c>
      <c r="E314" s="189" t="s">
        <v>873</v>
      </c>
      <c r="F314" s="190" t="s">
        <v>723</v>
      </c>
      <c r="G314" s="189" t="s">
        <v>680</v>
      </c>
      <c r="H314" s="197"/>
      <c r="I314" s="195"/>
      <c r="J314" s="195"/>
      <c r="K314" s="192">
        <v>8384014.2200000007</v>
      </c>
      <c r="L314" s="192">
        <v>3459647.2699999996</v>
      </c>
      <c r="M314" s="192">
        <v>28209963.82</v>
      </c>
      <c r="N314" s="192">
        <v>22083403.830000002</v>
      </c>
      <c r="O314" s="192">
        <v>402796.67000000004</v>
      </c>
      <c r="P314" s="192">
        <v>9326541.0399999991</v>
      </c>
      <c r="Q314" s="192">
        <v>678450.32000000007</v>
      </c>
      <c r="R314" s="192">
        <v>71866366.849999994</v>
      </c>
      <c r="S314" s="192">
        <v>7336768.6699999981</v>
      </c>
      <c r="T314" s="192">
        <v>2776083.48</v>
      </c>
      <c r="U314" s="192">
        <v>23141410.280000005</v>
      </c>
      <c r="V314" s="192">
        <v>19547197.839999996</v>
      </c>
      <c r="W314" s="192">
        <v>476138.11</v>
      </c>
      <c r="X314" s="192">
        <v>8234647.3399999989</v>
      </c>
      <c r="Y314" s="192">
        <v>588625.81999999995</v>
      </c>
      <c r="Z314" s="192">
        <v>61512245.719999991</v>
      </c>
      <c r="AA314" s="193">
        <v>1047245.5500000026</v>
      </c>
      <c r="AB314" s="193">
        <v>683563.78999999957</v>
      </c>
      <c r="AC314" s="193">
        <v>5068553.5399999954</v>
      </c>
      <c r="AD314" s="193">
        <v>2536205.9900000058</v>
      </c>
      <c r="AE314" s="193">
        <v>-73341.439999999944</v>
      </c>
      <c r="AF314" s="193">
        <v>1091893.7000000002</v>
      </c>
      <c r="AG314" s="193">
        <v>89824.500000000116</v>
      </c>
      <c r="AH314" s="193">
        <v>10354121.130000003</v>
      </c>
      <c r="AI314" s="194">
        <v>14.273934440405394</v>
      </c>
      <c r="AJ314" s="194">
        <v>24.623315362259913</v>
      </c>
      <c r="AK314" s="194">
        <v>21.902526590527195</v>
      </c>
      <c r="AL314" s="194">
        <v>12.97478037905819</v>
      </c>
      <c r="AM314" s="194">
        <v>-15.403396296087275</v>
      </c>
      <c r="AN314" s="194">
        <v>13.25975059910702</v>
      </c>
      <c r="AO314" s="194">
        <v>15.260033955017487</v>
      </c>
      <c r="AP314" s="194">
        <v>16.832617650038877</v>
      </c>
    </row>
    <row r="315" spans="1:42" ht="12" customHeight="1">
      <c r="A315" s="189" t="s">
        <v>822</v>
      </c>
      <c r="B315" s="189"/>
      <c r="C315" s="189" t="s">
        <v>278</v>
      </c>
      <c r="D315" s="189" t="s">
        <v>755</v>
      </c>
      <c r="E315" s="189" t="s">
        <v>873</v>
      </c>
      <c r="F315" s="190" t="s">
        <v>723</v>
      </c>
      <c r="G315" s="189" t="s">
        <v>680</v>
      </c>
      <c r="H315" s="197"/>
      <c r="I315" s="195"/>
      <c r="J315" s="195"/>
      <c r="K315" s="192">
        <v>5920941.3899999987</v>
      </c>
      <c r="L315" s="192">
        <v>2669937.5300000003</v>
      </c>
      <c r="M315" s="192">
        <v>19602113.640000004</v>
      </c>
      <c r="N315" s="192">
        <v>12951621.82</v>
      </c>
      <c r="O315" s="192">
        <v>406468.69</v>
      </c>
      <c r="P315" s="192">
        <v>6281168.8000000007</v>
      </c>
      <c r="Q315" s="192">
        <v>445672.49</v>
      </c>
      <c r="R315" s="192">
        <v>47832251.870000005</v>
      </c>
      <c r="S315" s="192">
        <v>5436102</v>
      </c>
      <c r="T315" s="192">
        <v>2408136.5099999993</v>
      </c>
      <c r="U315" s="192">
        <v>17116014.549999997</v>
      </c>
      <c r="V315" s="192">
        <v>12438828.110000001</v>
      </c>
      <c r="W315" s="192">
        <v>490869.51999999996</v>
      </c>
      <c r="X315" s="192">
        <v>5899772.4399999995</v>
      </c>
      <c r="Y315" s="192">
        <v>423010.77999999997</v>
      </c>
      <c r="Z315" s="192">
        <v>43789723.129999995</v>
      </c>
      <c r="AA315" s="193">
        <v>484839.38999999873</v>
      </c>
      <c r="AB315" s="193">
        <v>261801.02000000095</v>
      </c>
      <c r="AC315" s="193">
        <v>2486099.0900000073</v>
      </c>
      <c r="AD315" s="193">
        <v>512793.70999999903</v>
      </c>
      <c r="AE315" s="193">
        <v>-84400.829999999958</v>
      </c>
      <c r="AF315" s="193">
        <v>381396.36000000127</v>
      </c>
      <c r="AG315" s="193">
        <v>22661.710000000021</v>
      </c>
      <c r="AH315" s="193">
        <v>4042528.7400000095</v>
      </c>
      <c r="AI315" s="194">
        <v>8.9188795574475748</v>
      </c>
      <c r="AJ315" s="194">
        <v>10.871519073476488</v>
      </c>
      <c r="AK315" s="194">
        <v>14.524988178395814</v>
      </c>
      <c r="AL315" s="194">
        <v>4.122524288182313</v>
      </c>
      <c r="AM315" s="194">
        <v>-17.194147642330687</v>
      </c>
      <c r="AN315" s="194">
        <v>6.4645944208655157</v>
      </c>
      <c r="AO315" s="194">
        <v>5.3572417232487606</v>
      </c>
      <c r="AP315" s="194">
        <v>9.2316837172019142</v>
      </c>
    </row>
    <row r="316" spans="1:42" ht="12" customHeight="1">
      <c r="A316" s="189" t="s">
        <v>823</v>
      </c>
      <c r="B316" s="189"/>
      <c r="C316" s="189" t="s">
        <v>277</v>
      </c>
      <c r="D316" s="189" t="s">
        <v>755</v>
      </c>
      <c r="E316" s="189" t="s">
        <v>873</v>
      </c>
      <c r="F316" s="190" t="s">
        <v>723</v>
      </c>
      <c r="G316" s="189" t="s">
        <v>680</v>
      </c>
      <c r="H316" s="197"/>
      <c r="I316" s="195"/>
      <c r="J316" s="195"/>
      <c r="K316" s="192">
        <v>4859844.12</v>
      </c>
      <c r="L316" s="192">
        <v>2375812.1199999996</v>
      </c>
      <c r="M316" s="192">
        <v>17348508.939999998</v>
      </c>
      <c r="N316" s="192">
        <v>13182452.119999997</v>
      </c>
      <c r="O316" s="192">
        <v>139842.49</v>
      </c>
      <c r="P316" s="192">
        <v>5753159.4500000011</v>
      </c>
      <c r="Q316" s="192">
        <v>383406.84</v>
      </c>
      <c r="R316" s="192">
        <v>43659619.240000002</v>
      </c>
      <c r="S316" s="192">
        <v>4626134.8599999994</v>
      </c>
      <c r="T316" s="192">
        <v>1934529.3699999999</v>
      </c>
      <c r="U316" s="192">
        <v>14632726.210000001</v>
      </c>
      <c r="V316" s="192">
        <v>12266493.540000001</v>
      </c>
      <c r="W316" s="192">
        <v>180248.85</v>
      </c>
      <c r="X316" s="192">
        <v>5183804.870000001</v>
      </c>
      <c r="Y316" s="192">
        <v>386791.51</v>
      </c>
      <c r="Z316" s="192">
        <v>38823937.700000003</v>
      </c>
      <c r="AA316" s="193">
        <v>233709.26000000071</v>
      </c>
      <c r="AB316" s="193">
        <v>441282.74999999977</v>
      </c>
      <c r="AC316" s="193">
        <v>2715782.7299999967</v>
      </c>
      <c r="AD316" s="193">
        <v>915958.57999999635</v>
      </c>
      <c r="AE316" s="193">
        <v>-40406.360000000015</v>
      </c>
      <c r="AF316" s="193">
        <v>569354.58000000007</v>
      </c>
      <c r="AG316" s="193">
        <v>-3384.6699999999837</v>
      </c>
      <c r="AH316" s="193">
        <v>4835681.5399999991</v>
      </c>
      <c r="AI316" s="194">
        <v>5.051933570306697</v>
      </c>
      <c r="AJ316" s="194">
        <v>22.810858126180829</v>
      </c>
      <c r="AK316" s="194">
        <v>18.559649726405951</v>
      </c>
      <c r="AL316" s="194">
        <v>7.4671590297026009</v>
      </c>
      <c r="AM316" s="194">
        <v>-22.416986294226017</v>
      </c>
      <c r="AN316" s="194">
        <v>10.98333356054739</v>
      </c>
      <c r="AO316" s="194">
        <v>-0.87506315741004337</v>
      </c>
      <c r="AP316" s="194">
        <v>12.455412373073118</v>
      </c>
    </row>
    <row r="317" spans="1:42" ht="12" customHeight="1">
      <c r="A317" s="189" t="s">
        <v>601</v>
      </c>
      <c r="B317" s="189"/>
      <c r="C317" s="189" t="s">
        <v>276</v>
      </c>
      <c r="D317" s="189" t="s">
        <v>755</v>
      </c>
      <c r="E317" s="189" t="s">
        <v>874</v>
      </c>
      <c r="F317" s="190" t="s">
        <v>723</v>
      </c>
      <c r="G317" s="189" t="s">
        <v>680</v>
      </c>
      <c r="H317" s="197"/>
      <c r="I317" s="195"/>
      <c r="J317" s="195"/>
      <c r="K317" s="192">
        <v>15405995.309999999</v>
      </c>
      <c r="L317" s="192">
        <v>8406741.2399999984</v>
      </c>
      <c r="M317" s="192">
        <v>60081152.919999994</v>
      </c>
      <c r="N317" s="192">
        <v>54104071.939999998</v>
      </c>
      <c r="O317" s="192">
        <v>556226.89</v>
      </c>
      <c r="P317" s="192">
        <v>20183336.300000004</v>
      </c>
      <c r="Q317" s="192">
        <v>1759096.8600000003</v>
      </c>
      <c r="R317" s="192">
        <v>158737524.59999999</v>
      </c>
      <c r="S317" s="192">
        <v>13696714.809999999</v>
      </c>
      <c r="T317" s="192">
        <v>7932878.830000001</v>
      </c>
      <c r="U317" s="192">
        <v>50072373.510000005</v>
      </c>
      <c r="V317" s="192">
        <v>48863627.949999996</v>
      </c>
      <c r="W317" s="192">
        <v>579813.23</v>
      </c>
      <c r="X317" s="192">
        <v>18089609.91</v>
      </c>
      <c r="Y317" s="192">
        <v>1890657.1400000001</v>
      </c>
      <c r="Z317" s="192">
        <v>139235018.24000001</v>
      </c>
      <c r="AA317" s="193">
        <v>1709280.5</v>
      </c>
      <c r="AB317" s="193">
        <v>473862.40999999736</v>
      </c>
      <c r="AC317" s="193">
        <v>10008779.409999989</v>
      </c>
      <c r="AD317" s="193">
        <v>5240443.9900000021</v>
      </c>
      <c r="AE317" s="193">
        <v>-23586.339999999967</v>
      </c>
      <c r="AF317" s="193">
        <v>2093726.3900000043</v>
      </c>
      <c r="AG317" s="193">
        <v>-131560.2799999998</v>
      </c>
      <c r="AH317" s="193">
        <v>19502506.359999985</v>
      </c>
      <c r="AI317" s="194">
        <v>12.479492518542116</v>
      </c>
      <c r="AJ317" s="194">
        <v>5.9733978062034421</v>
      </c>
      <c r="AK317" s="194">
        <v>19.988625879700162</v>
      </c>
      <c r="AL317" s="194">
        <v>10.72463140756212</v>
      </c>
      <c r="AM317" s="194">
        <v>-4.0679202852960028</v>
      </c>
      <c r="AN317" s="194">
        <v>11.574193144112991</v>
      </c>
      <c r="AO317" s="194">
        <v>-6.9584419732495641</v>
      </c>
      <c r="AP317" s="194">
        <v>14.006897551005043</v>
      </c>
    </row>
    <row r="318" spans="1:42" ht="12" customHeight="1">
      <c r="A318" s="189" t="s">
        <v>824</v>
      </c>
      <c r="B318" s="189"/>
      <c r="C318" s="189" t="s">
        <v>275</v>
      </c>
      <c r="D318" s="189" t="s">
        <v>756</v>
      </c>
      <c r="E318" s="189" t="s">
        <v>877</v>
      </c>
      <c r="F318" s="190" t="s">
        <v>723</v>
      </c>
      <c r="G318" s="189" t="s">
        <v>680</v>
      </c>
      <c r="H318" s="197"/>
      <c r="I318" s="195"/>
      <c r="J318" s="195"/>
      <c r="K318" s="192">
        <v>47703033</v>
      </c>
      <c r="L318" s="192">
        <v>31843810</v>
      </c>
      <c r="M318" s="192">
        <v>163590179</v>
      </c>
      <c r="N318" s="192">
        <v>170468688</v>
      </c>
      <c r="O318" s="192">
        <v>1976330</v>
      </c>
      <c r="P318" s="192">
        <v>55556264</v>
      </c>
      <c r="Q318" s="192">
        <v>6414073</v>
      </c>
      <c r="R318" s="192">
        <v>471138304</v>
      </c>
      <c r="S318" s="192">
        <v>44595706</v>
      </c>
      <c r="T318" s="192">
        <v>32798642</v>
      </c>
      <c r="U318" s="192">
        <v>140488821</v>
      </c>
      <c r="V318" s="192">
        <v>161212224</v>
      </c>
      <c r="W318" s="192">
        <v>2176595</v>
      </c>
      <c r="X318" s="192" t="s">
        <v>987</v>
      </c>
      <c r="Y318" s="192">
        <v>5284849</v>
      </c>
      <c r="Z318" s="192" t="s">
        <v>987</v>
      </c>
      <c r="AA318" s="193">
        <v>3107327</v>
      </c>
      <c r="AB318" s="193">
        <v>-954832</v>
      </c>
      <c r="AC318" s="193">
        <v>23101358</v>
      </c>
      <c r="AD318" s="193">
        <v>9256464</v>
      </c>
      <c r="AE318" s="193">
        <v>-200265</v>
      </c>
      <c r="AF318" s="193" t="s">
        <v>985</v>
      </c>
      <c r="AG318" s="193">
        <v>1129224</v>
      </c>
      <c r="AH318" s="193" t="s">
        <v>985</v>
      </c>
      <c r="AI318" s="194">
        <v>6.9677717401760608</v>
      </c>
      <c r="AJ318" s="194">
        <v>-2.9111937012514115</v>
      </c>
      <c r="AK318" s="194">
        <v>16.443556032120163</v>
      </c>
      <c r="AL318" s="194">
        <v>5.7417879180179288</v>
      </c>
      <c r="AM318" s="194">
        <v>-9.2008389250182052</v>
      </c>
      <c r="AN318" s="194" t="s">
        <v>985</v>
      </c>
      <c r="AO318" s="194">
        <v>21.367195164894966</v>
      </c>
      <c r="AP318" s="194" t="s">
        <v>985</v>
      </c>
    </row>
    <row r="319" spans="1:42" ht="12" customHeight="1">
      <c r="A319" s="189" t="s">
        <v>602</v>
      </c>
      <c r="B319" s="189"/>
      <c r="C319" s="189" t="s">
        <v>279</v>
      </c>
      <c r="D319" s="189" t="s">
        <v>755</v>
      </c>
      <c r="E319" s="189" t="s">
        <v>877</v>
      </c>
      <c r="F319" s="190" t="s">
        <v>723</v>
      </c>
      <c r="G319" s="189" t="s">
        <v>680</v>
      </c>
      <c r="H319" s="197"/>
      <c r="I319" s="195"/>
      <c r="J319" s="195"/>
      <c r="K319" s="192">
        <v>7068691.7999999998</v>
      </c>
      <c r="L319" s="192">
        <v>2726821.6299999994</v>
      </c>
      <c r="M319" s="192">
        <v>23428491.380000003</v>
      </c>
      <c r="N319" s="192">
        <v>19196333.300000004</v>
      </c>
      <c r="O319" s="192">
        <v>247583.75</v>
      </c>
      <c r="P319" s="192">
        <v>7951585.7299999995</v>
      </c>
      <c r="Q319" s="192">
        <v>1160045.18</v>
      </c>
      <c r="R319" s="192">
        <v>60619507.590000004</v>
      </c>
      <c r="S319" s="192">
        <v>6630207.9099999992</v>
      </c>
      <c r="T319" s="192">
        <v>3414853.5399999996</v>
      </c>
      <c r="U319" s="192">
        <v>21085801.050000004</v>
      </c>
      <c r="V319" s="192">
        <v>18714072.289999999</v>
      </c>
      <c r="W319" s="192">
        <v>276774.33</v>
      </c>
      <c r="X319" s="192">
        <v>7486146.3200000003</v>
      </c>
      <c r="Y319" s="192">
        <v>1139490.81</v>
      </c>
      <c r="Z319" s="192">
        <v>57607855.440000005</v>
      </c>
      <c r="AA319" s="193">
        <v>438483.8900000006</v>
      </c>
      <c r="AB319" s="193">
        <v>-688031.91000000015</v>
      </c>
      <c r="AC319" s="193">
        <v>2342690.3299999982</v>
      </c>
      <c r="AD319" s="193">
        <v>482261.01000000536</v>
      </c>
      <c r="AE319" s="193">
        <v>-29190.580000000016</v>
      </c>
      <c r="AF319" s="193">
        <v>465439.40999999922</v>
      </c>
      <c r="AG319" s="193">
        <v>20554.369999999879</v>
      </c>
      <c r="AH319" s="193">
        <v>3011652.1499999985</v>
      </c>
      <c r="AI319" s="194">
        <v>6.6134259430787701</v>
      </c>
      <c r="AJ319" s="194">
        <v>-20.148211392984084</v>
      </c>
      <c r="AK319" s="194">
        <v>11.110274276252824</v>
      </c>
      <c r="AL319" s="194">
        <v>2.5769966179819934</v>
      </c>
      <c r="AM319" s="194">
        <v>-10.546707854012334</v>
      </c>
      <c r="AN319" s="194">
        <v>6.2173432111062343</v>
      </c>
      <c r="AO319" s="194">
        <v>1.8038206029937072</v>
      </c>
      <c r="AP319" s="194">
        <v>5.2278497906187607</v>
      </c>
    </row>
    <row r="320" spans="1:42" ht="12" customHeight="1">
      <c r="A320" s="189" t="s">
        <v>603</v>
      </c>
      <c r="B320" s="189"/>
      <c r="C320" s="189" t="s">
        <v>280</v>
      </c>
      <c r="D320" s="189" t="s">
        <v>755</v>
      </c>
      <c r="E320" s="189" t="s">
        <v>873</v>
      </c>
      <c r="F320" s="190" t="s">
        <v>723</v>
      </c>
      <c r="G320" s="189" t="s">
        <v>680</v>
      </c>
      <c r="H320" s="197"/>
      <c r="I320" s="195"/>
      <c r="J320" s="195"/>
      <c r="K320" s="192">
        <v>5291980.47</v>
      </c>
      <c r="L320" s="192">
        <v>2544023.4</v>
      </c>
      <c r="M320" s="192">
        <v>21258469.990000002</v>
      </c>
      <c r="N320" s="192">
        <v>15552327.299999999</v>
      </c>
      <c r="O320" s="192">
        <v>269495.94</v>
      </c>
      <c r="P320" s="192">
        <v>6721318.3000000007</v>
      </c>
      <c r="Q320" s="192">
        <v>518800.98</v>
      </c>
      <c r="R320" s="192">
        <v>51637615.399999991</v>
      </c>
      <c r="S320" s="192">
        <v>5034207.0599999996</v>
      </c>
      <c r="T320" s="192">
        <v>1766918.4599999995</v>
      </c>
      <c r="U320" s="192">
        <v>17830575.550000001</v>
      </c>
      <c r="V320" s="192">
        <v>13864858.369999999</v>
      </c>
      <c r="W320" s="192">
        <v>306436.26</v>
      </c>
      <c r="X320" s="192">
        <v>6012622.9199999981</v>
      </c>
      <c r="Y320" s="192">
        <v>467275.64</v>
      </c>
      <c r="Z320" s="192">
        <v>44815618.61999999</v>
      </c>
      <c r="AA320" s="193">
        <v>257773.41000000015</v>
      </c>
      <c r="AB320" s="193">
        <v>777104.94000000041</v>
      </c>
      <c r="AC320" s="193">
        <v>3427894.4400000013</v>
      </c>
      <c r="AD320" s="193">
        <v>1687468.9299999997</v>
      </c>
      <c r="AE320" s="193">
        <v>-36940.320000000007</v>
      </c>
      <c r="AF320" s="193">
        <v>708695.38000000268</v>
      </c>
      <c r="AG320" s="193">
        <v>51525.339999999967</v>
      </c>
      <c r="AH320" s="193">
        <v>6821996.7800000012</v>
      </c>
      <c r="AI320" s="194">
        <v>5.1204371796340089</v>
      </c>
      <c r="AJ320" s="194">
        <v>43.980803732165469</v>
      </c>
      <c r="AK320" s="194">
        <v>19.224810945600694</v>
      </c>
      <c r="AL320" s="194">
        <v>12.170834241273248</v>
      </c>
      <c r="AM320" s="194">
        <v>-12.054813617683497</v>
      </c>
      <c r="AN320" s="194">
        <v>11.786792377127867</v>
      </c>
      <c r="AO320" s="194">
        <v>11.026755000538861</v>
      </c>
      <c r="AP320" s="194">
        <v>15.222364412382628</v>
      </c>
    </row>
    <row r="321" spans="1:42" ht="12" customHeight="1">
      <c r="A321" s="189" t="s">
        <v>825</v>
      </c>
      <c r="B321" s="189"/>
      <c r="C321" s="189" t="s">
        <v>266</v>
      </c>
      <c r="D321" s="189" t="s">
        <v>756</v>
      </c>
      <c r="E321" s="189" t="s">
        <v>873</v>
      </c>
      <c r="F321" s="190" t="s">
        <v>723</v>
      </c>
      <c r="G321" s="189" t="s">
        <v>680</v>
      </c>
      <c r="H321" s="197"/>
      <c r="I321" s="195"/>
      <c r="J321" s="195"/>
      <c r="K321" s="192">
        <v>6577018</v>
      </c>
      <c r="L321" s="192">
        <v>1639797</v>
      </c>
      <c r="M321" s="192">
        <v>18432647</v>
      </c>
      <c r="N321" s="192">
        <v>15581195</v>
      </c>
      <c r="O321" s="192">
        <v>261436</v>
      </c>
      <c r="P321" s="192">
        <v>6280342</v>
      </c>
      <c r="Q321" s="192">
        <v>654901</v>
      </c>
      <c r="R321" s="192">
        <v>48772435</v>
      </c>
      <c r="S321" s="192">
        <v>4797505</v>
      </c>
      <c r="T321" s="192">
        <v>2117516</v>
      </c>
      <c r="U321" s="192">
        <v>18499727</v>
      </c>
      <c r="V321" s="192">
        <v>14250862</v>
      </c>
      <c r="W321" s="192">
        <v>272687</v>
      </c>
      <c r="X321" s="192">
        <v>6280342</v>
      </c>
      <c r="Y321" s="192">
        <v>550794</v>
      </c>
      <c r="Z321" s="192">
        <v>46218639</v>
      </c>
      <c r="AA321" s="193">
        <v>1779513</v>
      </c>
      <c r="AB321" s="193">
        <v>-477719</v>
      </c>
      <c r="AC321" s="193">
        <v>-67080</v>
      </c>
      <c r="AD321" s="193">
        <v>1330333</v>
      </c>
      <c r="AE321" s="193">
        <v>-11251</v>
      </c>
      <c r="AF321" s="193">
        <v>0</v>
      </c>
      <c r="AG321" s="193">
        <v>104107</v>
      </c>
      <c r="AH321" s="193">
        <v>2553796</v>
      </c>
      <c r="AI321" s="194">
        <v>37.092467855687488</v>
      </c>
      <c r="AJ321" s="194">
        <v>-22.560349012711121</v>
      </c>
      <c r="AK321" s="194">
        <v>-0.36259994539378876</v>
      </c>
      <c r="AL321" s="194">
        <v>9.3351054834437388</v>
      </c>
      <c r="AM321" s="194">
        <v>-4.1259759357798496</v>
      </c>
      <c r="AN321" s="194">
        <v>0</v>
      </c>
      <c r="AO321" s="194">
        <v>18.901258909864669</v>
      </c>
      <c r="AP321" s="194">
        <v>5.5254677663701868</v>
      </c>
    </row>
    <row r="322" spans="1:42" ht="12" customHeight="1">
      <c r="A322" s="189" t="s">
        <v>604</v>
      </c>
      <c r="B322" s="189"/>
      <c r="C322" s="189" t="s">
        <v>281</v>
      </c>
      <c r="D322" s="189" t="s">
        <v>755</v>
      </c>
      <c r="E322" s="189" t="s">
        <v>874</v>
      </c>
      <c r="F322" s="190" t="s">
        <v>723</v>
      </c>
      <c r="G322" s="189" t="s">
        <v>680</v>
      </c>
      <c r="H322" s="197"/>
      <c r="I322" s="195"/>
      <c r="J322" s="195"/>
      <c r="K322" s="192">
        <v>10015643.100000001</v>
      </c>
      <c r="L322" s="192">
        <v>5502502.4199999999</v>
      </c>
      <c r="M322" s="192">
        <v>34427505.580000006</v>
      </c>
      <c r="N322" s="192">
        <v>26264730.32</v>
      </c>
      <c r="O322" s="192">
        <v>574189.24</v>
      </c>
      <c r="P322" s="192">
        <v>11438919.419999996</v>
      </c>
      <c r="Q322" s="192">
        <v>994350.52000000014</v>
      </c>
      <c r="R322" s="192">
        <v>88223490.080000013</v>
      </c>
      <c r="S322" s="192">
        <v>8897176.2599999998</v>
      </c>
      <c r="T322" s="192">
        <v>4816588.4699999988</v>
      </c>
      <c r="U322" s="192">
        <v>29603365.159999993</v>
      </c>
      <c r="V322" s="192">
        <v>24101585.07</v>
      </c>
      <c r="W322" s="192">
        <v>662819.76</v>
      </c>
      <c r="X322" s="192">
        <v>10564867.720000001</v>
      </c>
      <c r="Y322" s="192">
        <v>964297.17</v>
      </c>
      <c r="Z322" s="192">
        <v>78646402.439999998</v>
      </c>
      <c r="AA322" s="193">
        <v>1118466.8400000017</v>
      </c>
      <c r="AB322" s="193">
        <v>685913.95000000112</v>
      </c>
      <c r="AC322" s="193">
        <v>4824140.420000013</v>
      </c>
      <c r="AD322" s="193">
        <v>2163145.25</v>
      </c>
      <c r="AE322" s="193">
        <v>-88630.520000000019</v>
      </c>
      <c r="AF322" s="193">
        <v>874051.69999999553</v>
      </c>
      <c r="AG322" s="193">
        <v>30053.350000000093</v>
      </c>
      <c r="AH322" s="193">
        <v>9577087.6400000155</v>
      </c>
      <c r="AI322" s="194">
        <v>12.571031609527783</v>
      </c>
      <c r="AJ322" s="194">
        <v>14.240659219117413</v>
      </c>
      <c r="AK322" s="194">
        <v>16.29591904138784</v>
      </c>
      <c r="AL322" s="194">
        <v>8.975116133305832</v>
      </c>
      <c r="AM322" s="194">
        <v>-13.371737740588788</v>
      </c>
      <c r="AN322" s="194">
        <v>8.2731911384499153</v>
      </c>
      <c r="AO322" s="194">
        <v>3.1166066784163737</v>
      </c>
      <c r="AP322" s="194">
        <v>12.177400800127451</v>
      </c>
    </row>
    <row r="323" spans="1:42" ht="12" customHeight="1">
      <c r="A323" s="189" t="s">
        <v>826</v>
      </c>
      <c r="B323" s="189"/>
      <c r="C323" s="189" t="s">
        <v>271</v>
      </c>
      <c r="D323" s="189" t="s">
        <v>756</v>
      </c>
      <c r="E323" s="189" t="s">
        <v>873</v>
      </c>
      <c r="F323" s="190" t="s">
        <v>723</v>
      </c>
      <c r="G323" s="189" t="s">
        <v>680</v>
      </c>
      <c r="H323" s="197"/>
      <c r="I323" s="195"/>
      <c r="J323" s="195"/>
      <c r="K323" s="192">
        <v>5056635</v>
      </c>
      <c r="L323" s="192">
        <v>2195047</v>
      </c>
      <c r="M323" s="192">
        <v>21612532</v>
      </c>
      <c r="N323" s="192">
        <v>15859781</v>
      </c>
      <c r="O323" s="192">
        <v>160749</v>
      </c>
      <c r="P323" s="192">
        <v>6795669</v>
      </c>
      <c r="Q323" s="192">
        <v>486113</v>
      </c>
      <c r="R323" s="192">
        <v>51680413</v>
      </c>
      <c r="S323" s="192">
        <v>4799554</v>
      </c>
      <c r="T323" s="192">
        <v>1895847</v>
      </c>
      <c r="U323" s="192">
        <v>18246222</v>
      </c>
      <c r="V323" s="192">
        <v>13553125</v>
      </c>
      <c r="W323" s="192">
        <v>1080754</v>
      </c>
      <c r="X323" s="192">
        <v>5996923</v>
      </c>
      <c r="Y323" s="192">
        <v>464218</v>
      </c>
      <c r="Z323" s="192">
        <v>45572425</v>
      </c>
      <c r="AA323" s="193">
        <v>257081</v>
      </c>
      <c r="AB323" s="193">
        <v>299200</v>
      </c>
      <c r="AC323" s="193">
        <v>3366310</v>
      </c>
      <c r="AD323" s="193">
        <v>2306656</v>
      </c>
      <c r="AE323" s="193">
        <v>-920005</v>
      </c>
      <c r="AF323" s="193">
        <v>798746</v>
      </c>
      <c r="AG323" s="193">
        <v>21895</v>
      </c>
      <c r="AH323" s="193">
        <v>6107988</v>
      </c>
      <c r="AI323" s="194">
        <v>5.356351861027087</v>
      </c>
      <c r="AJ323" s="194">
        <v>15.78186425381373</v>
      </c>
      <c r="AK323" s="194">
        <v>18.449353515483917</v>
      </c>
      <c r="AL323" s="194">
        <v>17.019366382291906</v>
      </c>
      <c r="AM323" s="194">
        <v>-85.1262174370856</v>
      </c>
      <c r="AN323" s="194">
        <v>13.319263895834579</v>
      </c>
      <c r="AO323" s="194">
        <v>4.7165340421956925</v>
      </c>
      <c r="AP323" s="194">
        <v>13.402815408659951</v>
      </c>
    </row>
    <row r="324" spans="1:42" ht="12" customHeight="1">
      <c r="A324" s="189" t="s">
        <v>827</v>
      </c>
      <c r="B324" s="189"/>
      <c r="C324" s="189" t="s">
        <v>270</v>
      </c>
      <c r="D324" s="189" t="s">
        <v>755</v>
      </c>
      <c r="E324" s="189" t="s">
        <v>873</v>
      </c>
      <c r="F324" s="190" t="s">
        <v>723</v>
      </c>
      <c r="G324" s="189" t="s">
        <v>680</v>
      </c>
      <c r="H324" s="197"/>
      <c r="I324" s="195"/>
      <c r="J324" s="195"/>
      <c r="K324" s="192">
        <v>5060978.2400000012</v>
      </c>
      <c r="L324" s="192">
        <v>1481727.22</v>
      </c>
      <c r="M324" s="192">
        <v>16457423.039999994</v>
      </c>
      <c r="N324" s="192">
        <v>11231698.750000002</v>
      </c>
      <c r="O324" s="192">
        <v>163680.91</v>
      </c>
      <c r="P324" s="192">
        <v>5268927.9300000006</v>
      </c>
      <c r="Q324" s="192">
        <v>373888.05</v>
      </c>
      <c r="R324" s="192">
        <v>39664436.089999989</v>
      </c>
      <c r="S324" s="192">
        <v>4572712.6400000006</v>
      </c>
      <c r="T324" s="192">
        <v>829254.22</v>
      </c>
      <c r="U324" s="192">
        <v>14904781.009999998</v>
      </c>
      <c r="V324" s="192">
        <v>10432049.660000002</v>
      </c>
      <c r="W324" s="192">
        <v>218228.59999999998</v>
      </c>
      <c r="X324" s="192">
        <v>4786950.1300000018</v>
      </c>
      <c r="Y324" s="192">
        <v>309210.60999999993</v>
      </c>
      <c r="Z324" s="192">
        <v>35743976.260000005</v>
      </c>
      <c r="AA324" s="193">
        <v>488265.60000000056</v>
      </c>
      <c r="AB324" s="193">
        <v>652473</v>
      </c>
      <c r="AC324" s="193">
        <v>1552642.0299999956</v>
      </c>
      <c r="AD324" s="193">
        <v>799649.08999999985</v>
      </c>
      <c r="AE324" s="193">
        <v>-54547.689999999973</v>
      </c>
      <c r="AF324" s="193">
        <v>481977.79999999888</v>
      </c>
      <c r="AG324" s="193">
        <v>64677.440000000061</v>
      </c>
      <c r="AH324" s="193">
        <v>3920459.8299999833</v>
      </c>
      <c r="AI324" s="194">
        <v>10.67781070974975</v>
      </c>
      <c r="AJ324" s="194">
        <v>78.68190287895068</v>
      </c>
      <c r="AK324" s="194">
        <v>10.417073749411603</v>
      </c>
      <c r="AL324" s="194">
        <v>7.665311382346311</v>
      </c>
      <c r="AM324" s="194">
        <v>-24.995665096142293</v>
      </c>
      <c r="AN324" s="194">
        <v>10.068577839978431</v>
      </c>
      <c r="AO324" s="194">
        <v>20.916953658220226</v>
      </c>
      <c r="AP324" s="194">
        <v>10.96816929790559</v>
      </c>
    </row>
    <row r="325" spans="1:42" ht="12" customHeight="1">
      <c r="A325" s="189" t="s">
        <v>605</v>
      </c>
      <c r="B325" s="189"/>
      <c r="C325" s="189" t="s">
        <v>282</v>
      </c>
      <c r="D325" s="189" t="s">
        <v>755</v>
      </c>
      <c r="E325" s="189" t="s">
        <v>877</v>
      </c>
      <c r="F325" s="190" t="s">
        <v>724</v>
      </c>
      <c r="G325" s="189" t="s">
        <v>681</v>
      </c>
      <c r="H325" s="197"/>
      <c r="I325" s="195"/>
      <c r="J325" s="195"/>
      <c r="K325" s="192">
        <v>3044737.66</v>
      </c>
      <c r="L325" s="192">
        <v>1278877.8</v>
      </c>
      <c r="M325" s="192">
        <v>8826092.5800000001</v>
      </c>
      <c r="N325" s="192">
        <v>7128965.5500000017</v>
      </c>
      <c r="O325" s="192">
        <v>148988.38999999998</v>
      </c>
      <c r="P325" s="192">
        <v>3160798.1500000004</v>
      </c>
      <c r="Q325" s="192">
        <v>246145.28</v>
      </c>
      <c r="R325" s="192">
        <v>23588460.130000003</v>
      </c>
      <c r="S325" s="192">
        <v>2914845.9999999995</v>
      </c>
      <c r="T325" s="192">
        <v>1094745.53</v>
      </c>
      <c r="U325" s="192">
        <v>8012986.6300000018</v>
      </c>
      <c r="V325" s="192">
        <v>6967141.8599999994</v>
      </c>
      <c r="W325" s="192">
        <v>203664.5</v>
      </c>
      <c r="X325" s="192">
        <v>2970725.36</v>
      </c>
      <c r="Y325" s="192">
        <v>247111.94</v>
      </c>
      <c r="Z325" s="192">
        <v>22164109.879999999</v>
      </c>
      <c r="AA325" s="193">
        <v>129891.66000000061</v>
      </c>
      <c r="AB325" s="193">
        <v>184132.27000000002</v>
      </c>
      <c r="AC325" s="193">
        <v>813105.94999999832</v>
      </c>
      <c r="AD325" s="193">
        <v>161823.69000000227</v>
      </c>
      <c r="AE325" s="193">
        <v>-54676.110000000015</v>
      </c>
      <c r="AF325" s="193">
        <v>190072.7900000005</v>
      </c>
      <c r="AG325" s="193">
        <v>-966.66000000000349</v>
      </c>
      <c r="AH325" s="193">
        <v>1424350.2500000037</v>
      </c>
      <c r="AI325" s="194">
        <v>4.4562100364822239</v>
      </c>
      <c r="AJ325" s="194">
        <v>16.819641181818756</v>
      </c>
      <c r="AK325" s="194">
        <v>10.147351886945531</v>
      </c>
      <c r="AL325" s="194">
        <v>2.3226696578272672</v>
      </c>
      <c r="AM325" s="194">
        <v>-26.846166121243524</v>
      </c>
      <c r="AN325" s="194">
        <v>6.3981946146647664</v>
      </c>
      <c r="AO325" s="194">
        <v>-0.39118304036624191</v>
      </c>
      <c r="AP325" s="194">
        <v>6.4263814685618401</v>
      </c>
    </row>
    <row r="326" spans="1:42" ht="12" customHeight="1">
      <c r="A326" s="189" t="s">
        <v>896</v>
      </c>
      <c r="B326" s="196"/>
      <c r="C326" s="189" t="s">
        <v>322</v>
      </c>
      <c r="D326" s="189" t="s">
        <v>755</v>
      </c>
      <c r="E326" s="189" t="s">
        <v>873</v>
      </c>
      <c r="F326" s="190" t="s">
        <v>724</v>
      </c>
      <c r="G326" s="189" t="s">
        <v>681</v>
      </c>
      <c r="H326" s="197"/>
      <c r="I326" s="195"/>
      <c r="J326" s="195"/>
      <c r="K326" s="192">
        <v>3459053.93</v>
      </c>
      <c r="L326" s="192">
        <v>2118731.7299999995</v>
      </c>
      <c r="M326" s="192">
        <v>11554740.32</v>
      </c>
      <c r="N326" s="192">
        <v>6641994.9299999997</v>
      </c>
      <c r="O326" s="192">
        <v>122991.8</v>
      </c>
      <c r="P326" s="192">
        <v>3913082.09</v>
      </c>
      <c r="Q326" s="192">
        <v>338563.14</v>
      </c>
      <c r="R326" s="192">
        <v>27810594.800000001</v>
      </c>
      <c r="S326" s="192">
        <v>2966289.65</v>
      </c>
      <c r="T326" s="192">
        <v>1288660.7799999998</v>
      </c>
      <c r="U326" s="192">
        <v>10792504.130000003</v>
      </c>
      <c r="V326" s="192">
        <v>6420402.3200000003</v>
      </c>
      <c r="W326" s="192">
        <v>143833.67000000001</v>
      </c>
      <c r="X326" s="192">
        <v>3880470.4000000004</v>
      </c>
      <c r="Y326" s="192">
        <v>296420.62</v>
      </c>
      <c r="Z326" s="192">
        <v>25492160.950000003</v>
      </c>
      <c r="AA326" s="193">
        <v>492764.28000000026</v>
      </c>
      <c r="AB326" s="193">
        <v>830070.94999999972</v>
      </c>
      <c r="AC326" s="193">
        <v>762236.18999999762</v>
      </c>
      <c r="AD326" s="193">
        <v>221592.6099999994</v>
      </c>
      <c r="AE326" s="193">
        <v>-20841.87000000001</v>
      </c>
      <c r="AF326" s="193">
        <v>32611.689999999478</v>
      </c>
      <c r="AG326" s="193">
        <v>42142.520000000019</v>
      </c>
      <c r="AH326" s="193">
        <v>2318433.8499999978</v>
      </c>
      <c r="AI326" s="194">
        <v>16.61214305217969</v>
      </c>
      <c r="AJ326" s="194">
        <v>64.413456425670063</v>
      </c>
      <c r="AK326" s="194">
        <v>7.0626444133683863</v>
      </c>
      <c r="AL326" s="194">
        <v>3.4513819999990187</v>
      </c>
      <c r="AM326" s="194">
        <v>-14.490258087692546</v>
      </c>
      <c r="AN326" s="194">
        <v>0.84040558587947167</v>
      </c>
      <c r="AO326" s="194">
        <v>14.217135096741925</v>
      </c>
      <c r="AP326" s="194">
        <v>9.0946932845251673</v>
      </c>
    </row>
    <row r="327" spans="1:42" ht="12" customHeight="1">
      <c r="A327" s="189" t="s">
        <v>897</v>
      </c>
      <c r="B327" s="196"/>
      <c r="C327" s="189" t="s">
        <v>323</v>
      </c>
      <c r="D327" s="189" t="s">
        <v>755</v>
      </c>
      <c r="E327" s="189" t="s">
        <v>872</v>
      </c>
      <c r="F327" s="190" t="s">
        <v>724</v>
      </c>
      <c r="G327" s="189" t="s">
        <v>681</v>
      </c>
      <c r="H327" s="197"/>
      <c r="I327" s="195"/>
      <c r="J327" s="195"/>
      <c r="K327" s="192">
        <v>2736658.54</v>
      </c>
      <c r="L327" s="192">
        <v>1150702.3600000001</v>
      </c>
      <c r="M327" s="192">
        <v>8989366.8799999971</v>
      </c>
      <c r="N327" s="192">
        <v>5963537.620000001</v>
      </c>
      <c r="O327" s="192">
        <v>63612.12</v>
      </c>
      <c r="P327" s="192">
        <v>3044762.59</v>
      </c>
      <c r="Q327" s="192">
        <v>217895.18000000002</v>
      </c>
      <c r="R327" s="192">
        <v>21948640.109999999</v>
      </c>
      <c r="S327" s="192">
        <v>2468254.7000000002</v>
      </c>
      <c r="T327" s="192">
        <v>806420.92</v>
      </c>
      <c r="U327" s="192">
        <v>7685701.3700000001</v>
      </c>
      <c r="V327" s="192">
        <v>5744656.6099999994</v>
      </c>
      <c r="W327" s="192">
        <v>59517.66</v>
      </c>
      <c r="X327" s="192">
        <v>2821315.5299999993</v>
      </c>
      <c r="Y327" s="192">
        <v>184569.38</v>
      </c>
      <c r="Z327" s="192">
        <v>19585866.789999999</v>
      </c>
      <c r="AA327" s="193">
        <v>268403.83999999985</v>
      </c>
      <c r="AB327" s="193">
        <v>344281.44000000006</v>
      </c>
      <c r="AC327" s="193">
        <v>1303665.509999997</v>
      </c>
      <c r="AD327" s="193">
        <v>218881.01000000164</v>
      </c>
      <c r="AE327" s="193">
        <v>4094.4599999999991</v>
      </c>
      <c r="AF327" s="193">
        <v>223447.06000000052</v>
      </c>
      <c r="AG327" s="193">
        <v>33325.800000000017</v>
      </c>
      <c r="AH327" s="193">
        <v>2362773.3200000003</v>
      </c>
      <c r="AI327" s="194">
        <v>10.87423595304001</v>
      </c>
      <c r="AJ327" s="194">
        <v>42.692523403286714</v>
      </c>
      <c r="AK327" s="194">
        <v>16.962219155283119</v>
      </c>
      <c r="AL327" s="194">
        <v>3.8101669927317316</v>
      </c>
      <c r="AM327" s="194">
        <v>6.8794035249369667</v>
      </c>
      <c r="AN327" s="194">
        <v>7.9199599486130703</v>
      </c>
      <c r="AO327" s="194">
        <v>18.055974398353626</v>
      </c>
      <c r="AP327" s="194">
        <v>12.063664811640438</v>
      </c>
    </row>
    <row r="328" spans="1:42" ht="12" customHeight="1">
      <c r="A328" s="189" t="s">
        <v>828</v>
      </c>
      <c r="B328" s="189"/>
      <c r="C328" s="189" t="s">
        <v>283</v>
      </c>
      <c r="D328" s="189" t="s">
        <v>756</v>
      </c>
      <c r="E328" s="189" t="s">
        <v>872</v>
      </c>
      <c r="F328" s="190" t="s">
        <v>724</v>
      </c>
      <c r="G328" s="189" t="s">
        <v>681</v>
      </c>
      <c r="H328" s="197"/>
      <c r="I328" s="195"/>
      <c r="J328" s="195"/>
      <c r="K328" s="192" t="s">
        <v>987</v>
      </c>
      <c r="L328" s="192">
        <v>622929</v>
      </c>
      <c r="M328" s="192">
        <v>11268172</v>
      </c>
      <c r="N328" s="192">
        <v>5939133</v>
      </c>
      <c r="O328" s="192">
        <v>87568</v>
      </c>
      <c r="P328" s="192">
        <v>3671228</v>
      </c>
      <c r="Q328" s="192">
        <v>259148</v>
      </c>
      <c r="R328" s="192" t="s">
        <v>987</v>
      </c>
      <c r="S328" s="192" t="s">
        <v>987</v>
      </c>
      <c r="T328" s="192">
        <v>516406</v>
      </c>
      <c r="U328" s="192">
        <v>9648922</v>
      </c>
      <c r="V328" s="192">
        <v>5503520</v>
      </c>
      <c r="W328" s="192">
        <v>122156</v>
      </c>
      <c r="X328" s="192">
        <v>3460043</v>
      </c>
      <c r="Y328" s="192">
        <v>247389</v>
      </c>
      <c r="Z328" s="192" t="s">
        <v>987</v>
      </c>
      <c r="AA328" s="193" t="s">
        <v>985</v>
      </c>
      <c r="AB328" s="193">
        <v>106523</v>
      </c>
      <c r="AC328" s="193">
        <v>1619250</v>
      </c>
      <c r="AD328" s="193">
        <v>435613</v>
      </c>
      <c r="AE328" s="193">
        <v>-34588</v>
      </c>
      <c r="AF328" s="193">
        <v>211185</v>
      </c>
      <c r="AG328" s="193">
        <v>11759</v>
      </c>
      <c r="AH328" s="193" t="s">
        <v>985</v>
      </c>
      <c r="AI328" s="194" t="s">
        <v>985</v>
      </c>
      <c r="AJ328" s="194">
        <v>20.627761877282602</v>
      </c>
      <c r="AK328" s="194">
        <v>16.781667423573328</v>
      </c>
      <c r="AL328" s="194">
        <v>7.915170654417536</v>
      </c>
      <c r="AM328" s="194">
        <v>-28.314614100003276</v>
      </c>
      <c r="AN328" s="194">
        <v>6.10353686355921</v>
      </c>
      <c r="AO328" s="194">
        <v>4.7532428685188099</v>
      </c>
      <c r="AP328" s="194" t="s">
        <v>985</v>
      </c>
    </row>
    <row r="329" spans="1:42" ht="12" customHeight="1">
      <c r="A329" s="189" t="s">
        <v>606</v>
      </c>
      <c r="B329" s="189"/>
      <c r="C329" s="189" t="s">
        <v>285</v>
      </c>
      <c r="D329" s="189" t="s">
        <v>755</v>
      </c>
      <c r="E329" s="189" t="s">
        <v>877</v>
      </c>
      <c r="F329" s="190" t="s">
        <v>724</v>
      </c>
      <c r="G329" s="189" t="s">
        <v>681</v>
      </c>
      <c r="H329" s="197"/>
      <c r="I329" s="195"/>
      <c r="J329" s="195"/>
      <c r="K329" s="192">
        <v>6193118.9199999999</v>
      </c>
      <c r="L329" s="192">
        <v>3337736.3899999997</v>
      </c>
      <c r="M329" s="192">
        <v>20480206.949999999</v>
      </c>
      <c r="N329" s="192">
        <v>18181715.970000003</v>
      </c>
      <c r="O329" s="192">
        <v>370086.08</v>
      </c>
      <c r="P329" s="192">
        <v>7024812.9500000002</v>
      </c>
      <c r="Q329" s="192">
        <v>841446.67</v>
      </c>
      <c r="R329" s="192">
        <v>55587677.260000005</v>
      </c>
      <c r="S329" s="192">
        <v>5841457.25</v>
      </c>
      <c r="T329" s="192">
        <v>3088436.03</v>
      </c>
      <c r="U329" s="192">
        <v>17020145.559999999</v>
      </c>
      <c r="V329" s="192">
        <v>15919569.830000002</v>
      </c>
      <c r="W329" s="192">
        <v>336674.52999999997</v>
      </c>
      <c r="X329" s="192">
        <v>6420000.7899999991</v>
      </c>
      <c r="Y329" s="192">
        <v>712038.3899999999</v>
      </c>
      <c r="Z329" s="192">
        <v>48626283.990000002</v>
      </c>
      <c r="AA329" s="193">
        <v>351661.66999999993</v>
      </c>
      <c r="AB329" s="193">
        <v>249300.35999999987</v>
      </c>
      <c r="AC329" s="193">
        <v>3460061.3900000006</v>
      </c>
      <c r="AD329" s="193">
        <v>2262146.1400000006</v>
      </c>
      <c r="AE329" s="193">
        <v>33411.550000000047</v>
      </c>
      <c r="AF329" s="193">
        <v>604812.16000000108</v>
      </c>
      <c r="AG329" s="193">
        <v>129408.28000000014</v>
      </c>
      <c r="AH329" s="193">
        <v>6961393.2700000033</v>
      </c>
      <c r="AI329" s="194">
        <v>6.0201017477274172</v>
      </c>
      <c r="AJ329" s="194">
        <v>8.0720584003807225</v>
      </c>
      <c r="AK329" s="194">
        <v>20.329211508811568</v>
      </c>
      <c r="AL329" s="194">
        <v>14.209844638748006</v>
      </c>
      <c r="AM329" s="194">
        <v>9.9239909832205147</v>
      </c>
      <c r="AN329" s="194">
        <v>9.4207489965122129</v>
      </c>
      <c r="AO329" s="194">
        <v>18.174340290837431</v>
      </c>
      <c r="AP329" s="194">
        <v>14.316111984686335</v>
      </c>
    </row>
    <row r="330" spans="1:42" ht="12" customHeight="1">
      <c r="A330" s="189" t="s">
        <v>607</v>
      </c>
      <c r="B330" s="189"/>
      <c r="C330" s="189" t="s">
        <v>286</v>
      </c>
      <c r="D330" s="189" t="s">
        <v>755</v>
      </c>
      <c r="E330" s="189" t="s">
        <v>872</v>
      </c>
      <c r="F330" s="190" t="s">
        <v>724</v>
      </c>
      <c r="G330" s="189" t="s">
        <v>681</v>
      </c>
      <c r="H330" s="197"/>
      <c r="I330" s="195"/>
      <c r="J330" s="195"/>
      <c r="K330" s="192">
        <v>6798580.1799999997</v>
      </c>
      <c r="L330" s="192">
        <v>2561322.9000000004</v>
      </c>
      <c r="M330" s="192">
        <v>22109150.099999998</v>
      </c>
      <c r="N330" s="192">
        <v>15856570.520000001</v>
      </c>
      <c r="O330" s="192">
        <v>311468.67</v>
      </c>
      <c r="P330" s="192">
        <v>7325311.8799999999</v>
      </c>
      <c r="Q330" s="192">
        <v>767491.85</v>
      </c>
      <c r="R330" s="192">
        <v>54962404.250000007</v>
      </c>
      <c r="S330" s="192">
        <v>5913438.4600000009</v>
      </c>
      <c r="T330" s="192">
        <v>2524129.1000000006</v>
      </c>
      <c r="U330" s="192">
        <v>18199751.729999997</v>
      </c>
      <c r="V330" s="192">
        <v>15567103.6</v>
      </c>
      <c r="W330" s="192">
        <v>360210.72</v>
      </c>
      <c r="X330" s="192">
        <v>6833770.1500000013</v>
      </c>
      <c r="Y330" s="192">
        <v>737920.62</v>
      </c>
      <c r="Z330" s="192">
        <v>49398403.759999998</v>
      </c>
      <c r="AA330" s="193">
        <v>885141.71999999881</v>
      </c>
      <c r="AB330" s="193">
        <v>37193.799999999814</v>
      </c>
      <c r="AC330" s="193">
        <v>3909398.370000001</v>
      </c>
      <c r="AD330" s="193">
        <v>289466.92000000179</v>
      </c>
      <c r="AE330" s="193">
        <v>-48742.049999999988</v>
      </c>
      <c r="AF330" s="193">
        <v>491541.72999999858</v>
      </c>
      <c r="AG330" s="193">
        <v>29571.229999999981</v>
      </c>
      <c r="AH330" s="193">
        <v>5564000.4900000095</v>
      </c>
      <c r="AI330" s="194">
        <v>14.968308641196188</v>
      </c>
      <c r="AJ330" s="194">
        <v>1.4735300187300169</v>
      </c>
      <c r="AK330" s="194">
        <v>21.480503844213715</v>
      </c>
      <c r="AL330" s="194">
        <v>1.8594783425222516</v>
      </c>
      <c r="AM330" s="194">
        <v>-13.531537873164906</v>
      </c>
      <c r="AN330" s="194">
        <v>7.1928338122405027</v>
      </c>
      <c r="AO330" s="194">
        <v>4.0073727713422596</v>
      </c>
      <c r="AP330" s="194">
        <v>11.263522839791474</v>
      </c>
    </row>
    <row r="331" spans="1:42" ht="12" customHeight="1">
      <c r="A331" s="189" t="s">
        <v>608</v>
      </c>
      <c r="B331" s="189"/>
      <c r="C331" s="189" t="s">
        <v>287</v>
      </c>
      <c r="D331" s="189" t="s">
        <v>755</v>
      </c>
      <c r="E331" s="189" t="s">
        <v>872</v>
      </c>
      <c r="F331" s="190" t="s">
        <v>724</v>
      </c>
      <c r="G331" s="189" t="s">
        <v>681</v>
      </c>
      <c r="H331" s="197"/>
      <c r="I331" s="195"/>
      <c r="J331" s="195"/>
      <c r="K331" s="192">
        <v>4801692.4099999992</v>
      </c>
      <c r="L331" s="192">
        <v>2156756.77</v>
      </c>
      <c r="M331" s="192">
        <v>18860417.550000001</v>
      </c>
      <c r="N331" s="192">
        <v>12293273.92</v>
      </c>
      <c r="O331" s="192">
        <v>303296.34000000003</v>
      </c>
      <c r="P331" s="192">
        <v>5959221.4899999993</v>
      </c>
      <c r="Q331" s="192">
        <v>549372.07000000007</v>
      </c>
      <c r="R331" s="192">
        <v>44374658.480000004</v>
      </c>
      <c r="S331" s="192">
        <v>4305792.74</v>
      </c>
      <c r="T331" s="192">
        <v>1927602.83</v>
      </c>
      <c r="U331" s="192">
        <v>14274275.07</v>
      </c>
      <c r="V331" s="192">
        <v>10587902</v>
      </c>
      <c r="W331" s="192">
        <v>234491.06</v>
      </c>
      <c r="X331" s="192">
        <v>5041580.66</v>
      </c>
      <c r="Y331" s="192">
        <v>447234.01999999996</v>
      </c>
      <c r="Z331" s="192">
        <v>36371644.359999999</v>
      </c>
      <c r="AA331" s="193">
        <v>495899.66999999899</v>
      </c>
      <c r="AB331" s="193">
        <v>229153.93999999994</v>
      </c>
      <c r="AC331" s="193">
        <v>4586142.4800000004</v>
      </c>
      <c r="AD331" s="193">
        <v>1705371.92</v>
      </c>
      <c r="AE331" s="193">
        <v>68805.280000000028</v>
      </c>
      <c r="AF331" s="193">
        <v>917640.82999999914</v>
      </c>
      <c r="AG331" s="193">
        <v>102138.0500000001</v>
      </c>
      <c r="AH331" s="193">
        <v>8003014.1200000048</v>
      </c>
      <c r="AI331" s="194">
        <v>11.517035304397837</v>
      </c>
      <c r="AJ331" s="194">
        <v>11.888026746671665</v>
      </c>
      <c r="AK331" s="194">
        <v>32.128724278535294</v>
      </c>
      <c r="AL331" s="194">
        <v>16.10679736174362</v>
      </c>
      <c r="AM331" s="194">
        <v>29.342389428407216</v>
      </c>
      <c r="AN331" s="194">
        <v>18.201450931462418</v>
      </c>
      <c r="AO331" s="194">
        <v>22.837719277258941</v>
      </c>
      <c r="AP331" s="194">
        <v>22.003443233931382</v>
      </c>
    </row>
    <row r="332" spans="1:42" ht="12" customHeight="1">
      <c r="A332" s="189" t="s">
        <v>609</v>
      </c>
      <c r="B332" s="189"/>
      <c r="C332" s="189" t="s">
        <v>291</v>
      </c>
      <c r="D332" s="189" t="s">
        <v>755</v>
      </c>
      <c r="E332" s="189" t="s">
        <v>877</v>
      </c>
      <c r="F332" s="190" t="s">
        <v>724</v>
      </c>
      <c r="G332" s="189" t="s">
        <v>681</v>
      </c>
      <c r="H332" s="197"/>
      <c r="I332" s="195"/>
      <c r="J332" s="195"/>
      <c r="K332" s="192">
        <v>5711582.8399999999</v>
      </c>
      <c r="L332" s="192">
        <v>1427497.1199999999</v>
      </c>
      <c r="M332" s="192">
        <v>14296686.109999999</v>
      </c>
      <c r="N332" s="192">
        <v>10489736.419999998</v>
      </c>
      <c r="O332" s="192">
        <v>217828.45</v>
      </c>
      <c r="P332" s="192">
        <v>5078042.87</v>
      </c>
      <c r="Q332" s="192">
        <v>399278.31999999995</v>
      </c>
      <c r="R332" s="192">
        <v>37221373.809999995</v>
      </c>
      <c r="S332" s="192">
        <v>5229653.93</v>
      </c>
      <c r="T332" s="192">
        <v>1694518.9800000004</v>
      </c>
      <c r="U332" s="192">
        <v>12196517.559999997</v>
      </c>
      <c r="V332" s="192">
        <v>10102641.140000001</v>
      </c>
      <c r="W332" s="192">
        <v>310044.86</v>
      </c>
      <c r="X332" s="192">
        <v>4710114.92</v>
      </c>
      <c r="Y332" s="192">
        <v>359000.57999999996</v>
      </c>
      <c r="Z332" s="192">
        <v>34243491.390000001</v>
      </c>
      <c r="AA332" s="193">
        <v>481928.91000000015</v>
      </c>
      <c r="AB332" s="193">
        <v>-267021.86000000057</v>
      </c>
      <c r="AC332" s="193">
        <v>2100168.5500000026</v>
      </c>
      <c r="AD332" s="193">
        <v>387095.27999999747</v>
      </c>
      <c r="AE332" s="193">
        <v>-92216.409999999974</v>
      </c>
      <c r="AF332" s="193">
        <v>367927.95000000019</v>
      </c>
      <c r="AG332" s="193">
        <v>40277.739999999991</v>
      </c>
      <c r="AH332" s="193">
        <v>2977882.4199999943</v>
      </c>
      <c r="AI332" s="194">
        <v>9.2153116908062831</v>
      </c>
      <c r="AJ332" s="194">
        <v>-15.757973982681534</v>
      </c>
      <c r="AK332" s="194">
        <v>17.219411521923007</v>
      </c>
      <c r="AL332" s="194">
        <v>3.8316245686224333</v>
      </c>
      <c r="AM332" s="194">
        <v>-29.742924943184022</v>
      </c>
      <c r="AN332" s="194">
        <v>7.8114431653824745</v>
      </c>
      <c r="AO332" s="194">
        <v>11.219408057780852</v>
      </c>
      <c r="AP332" s="194">
        <v>8.6961997714684376</v>
      </c>
    </row>
    <row r="333" spans="1:42" ht="12" customHeight="1">
      <c r="A333" s="189" t="s">
        <v>610</v>
      </c>
      <c r="B333" s="189"/>
      <c r="C333" s="189" t="s">
        <v>292</v>
      </c>
      <c r="D333" s="189" t="s">
        <v>755</v>
      </c>
      <c r="E333" s="189" t="s">
        <v>872</v>
      </c>
      <c r="F333" s="190" t="s">
        <v>724</v>
      </c>
      <c r="G333" s="189" t="s">
        <v>681</v>
      </c>
      <c r="H333" s="197"/>
      <c r="I333" s="195"/>
      <c r="J333" s="195"/>
      <c r="K333" s="192">
        <v>3446621.2800000003</v>
      </c>
      <c r="L333" s="192">
        <v>782715.52</v>
      </c>
      <c r="M333" s="192">
        <v>9534074.0399999991</v>
      </c>
      <c r="N333" s="192">
        <v>6002831.5299999993</v>
      </c>
      <c r="O333" s="192">
        <v>147979.18</v>
      </c>
      <c r="P333" s="192">
        <v>3105774.77</v>
      </c>
      <c r="Q333" s="192">
        <v>234058.5</v>
      </c>
      <c r="R333" s="192">
        <v>23019996.319999997</v>
      </c>
      <c r="S333" s="192">
        <v>2972135.6999999997</v>
      </c>
      <c r="T333" s="192">
        <v>587811.91</v>
      </c>
      <c r="U333" s="192">
        <v>8014468.8700000001</v>
      </c>
      <c r="V333" s="192">
        <v>5464498.0799999991</v>
      </c>
      <c r="W333" s="192">
        <v>99669.95</v>
      </c>
      <c r="X333" s="192">
        <v>2817006.0999999996</v>
      </c>
      <c r="Y333" s="192">
        <v>192025.72000000003</v>
      </c>
      <c r="Z333" s="192">
        <v>19955590.609999999</v>
      </c>
      <c r="AA333" s="193">
        <v>474485.58000000054</v>
      </c>
      <c r="AB333" s="193">
        <v>194903.61</v>
      </c>
      <c r="AC333" s="193">
        <v>1519605.169999999</v>
      </c>
      <c r="AD333" s="193">
        <v>538333.45000000019</v>
      </c>
      <c r="AE333" s="193">
        <v>48309.229999999996</v>
      </c>
      <c r="AF333" s="193">
        <v>288768.67000000039</v>
      </c>
      <c r="AG333" s="193">
        <v>42032.77999999997</v>
      </c>
      <c r="AH333" s="193">
        <v>3064405.7099999972</v>
      </c>
      <c r="AI333" s="194">
        <v>15.964465552498178</v>
      </c>
      <c r="AJ333" s="194">
        <v>33.157478894907044</v>
      </c>
      <c r="AK333" s="194">
        <v>18.960772006841658</v>
      </c>
      <c r="AL333" s="194">
        <v>9.8514711162639887</v>
      </c>
      <c r="AM333" s="194">
        <v>48.469202603191832</v>
      </c>
      <c r="AN333" s="194">
        <v>10.250906804923158</v>
      </c>
      <c r="AO333" s="194">
        <v>21.889140683862536</v>
      </c>
      <c r="AP333" s="194">
        <v>15.356126360221003</v>
      </c>
    </row>
    <row r="334" spans="1:42" ht="12" customHeight="1">
      <c r="A334" s="189" t="s">
        <v>611</v>
      </c>
      <c r="B334" s="189"/>
      <c r="C334" s="189" t="s">
        <v>293</v>
      </c>
      <c r="D334" s="189" t="s">
        <v>755</v>
      </c>
      <c r="E334" s="189" t="s">
        <v>875</v>
      </c>
      <c r="F334" s="190" t="s">
        <v>724</v>
      </c>
      <c r="G334" s="189" t="s">
        <v>681</v>
      </c>
      <c r="H334" s="197"/>
      <c r="I334" s="195"/>
      <c r="J334" s="195"/>
      <c r="K334" s="192">
        <v>3435102.24</v>
      </c>
      <c r="L334" s="192">
        <v>548564.83000000007</v>
      </c>
      <c r="M334" s="192">
        <v>9049938.7499999981</v>
      </c>
      <c r="N334" s="192">
        <v>5487233.5</v>
      </c>
      <c r="O334" s="192">
        <v>109824.65000000001</v>
      </c>
      <c r="P334" s="192">
        <v>3026949.91</v>
      </c>
      <c r="Q334" s="192">
        <v>195788.93</v>
      </c>
      <c r="R334" s="192">
        <v>21657613.879999999</v>
      </c>
      <c r="S334" s="192">
        <v>3278685.26</v>
      </c>
      <c r="T334" s="192">
        <v>580543.05000000005</v>
      </c>
      <c r="U334" s="192">
        <v>7321619.049999998</v>
      </c>
      <c r="V334" s="192">
        <v>4963851.16</v>
      </c>
      <c r="W334" s="192">
        <v>87575.09</v>
      </c>
      <c r="X334" s="192">
        <v>2664514.1200000006</v>
      </c>
      <c r="Y334" s="192">
        <v>158883.07999999999</v>
      </c>
      <c r="Z334" s="192">
        <v>18896787.729999997</v>
      </c>
      <c r="AA334" s="193">
        <v>156416.98000000045</v>
      </c>
      <c r="AB334" s="193">
        <v>-31978.219999999972</v>
      </c>
      <c r="AC334" s="193">
        <v>1728319.7000000002</v>
      </c>
      <c r="AD334" s="193">
        <v>523382.33999999985</v>
      </c>
      <c r="AE334" s="193">
        <v>22249.560000000012</v>
      </c>
      <c r="AF334" s="193">
        <v>362435.78999999957</v>
      </c>
      <c r="AG334" s="193">
        <v>36905.850000000006</v>
      </c>
      <c r="AH334" s="193">
        <v>2760826.1500000022</v>
      </c>
      <c r="AI334" s="194">
        <v>4.7707226402085467</v>
      </c>
      <c r="AJ334" s="194">
        <v>-5.5083287966327337</v>
      </c>
      <c r="AK334" s="194">
        <v>23.605703713852751</v>
      </c>
      <c r="AL334" s="194">
        <v>10.543876581504911</v>
      </c>
      <c r="AM334" s="194">
        <v>25.406265640149517</v>
      </c>
      <c r="AN334" s="194">
        <v>13.602321987319755</v>
      </c>
      <c r="AO334" s="194">
        <v>23.228307255876466</v>
      </c>
      <c r="AP334" s="194">
        <v>14.610028907807404</v>
      </c>
    </row>
    <row r="335" spans="1:42" ht="12" customHeight="1">
      <c r="A335" s="189" t="s">
        <v>829</v>
      </c>
      <c r="B335" s="189"/>
      <c r="C335" s="189" t="s">
        <v>298</v>
      </c>
      <c r="D335" s="189" t="s">
        <v>755</v>
      </c>
      <c r="E335" s="189" t="s">
        <v>876</v>
      </c>
      <c r="F335" s="190" t="s">
        <v>724</v>
      </c>
      <c r="G335" s="189" t="s">
        <v>681</v>
      </c>
      <c r="H335" s="197"/>
      <c r="I335" s="195"/>
      <c r="J335" s="195"/>
      <c r="K335" s="192">
        <v>5044277.4499999993</v>
      </c>
      <c r="L335" s="192">
        <v>1897808.0100000002</v>
      </c>
      <c r="M335" s="192">
        <v>16749427.329999998</v>
      </c>
      <c r="N335" s="192">
        <v>10727255.17</v>
      </c>
      <c r="O335" s="192">
        <v>156316.60999999999</v>
      </c>
      <c r="P335" s="192">
        <v>5351136.1100000013</v>
      </c>
      <c r="Q335" s="192">
        <v>516073.29999999993</v>
      </c>
      <c r="R335" s="192">
        <v>39926220.68</v>
      </c>
      <c r="S335" s="192">
        <v>4816895.7700000005</v>
      </c>
      <c r="T335" s="192">
        <v>2329465.6800000002</v>
      </c>
      <c r="U335" s="192">
        <v>13591617.040000003</v>
      </c>
      <c r="V335" s="192">
        <v>10152425.680000002</v>
      </c>
      <c r="W335" s="192">
        <v>178881.56</v>
      </c>
      <c r="X335" s="192">
        <v>4867870.6900000013</v>
      </c>
      <c r="Y335" s="192">
        <v>543257.79999999993</v>
      </c>
      <c r="Z335" s="192">
        <v>35937156.420000002</v>
      </c>
      <c r="AA335" s="193">
        <v>227381.67999999877</v>
      </c>
      <c r="AB335" s="193">
        <v>-431657.66999999993</v>
      </c>
      <c r="AC335" s="193">
        <v>3157810.2899999954</v>
      </c>
      <c r="AD335" s="193">
        <v>574829.48999999836</v>
      </c>
      <c r="AE335" s="193">
        <v>-22564.950000000012</v>
      </c>
      <c r="AF335" s="193">
        <v>483265.41999999993</v>
      </c>
      <c r="AG335" s="193">
        <v>-27184.5</v>
      </c>
      <c r="AH335" s="193">
        <v>3989064.2599999979</v>
      </c>
      <c r="AI335" s="194">
        <v>4.7205023911073489</v>
      </c>
      <c r="AJ335" s="194">
        <v>-18.530329667703018</v>
      </c>
      <c r="AK335" s="194">
        <v>23.233514310376677</v>
      </c>
      <c r="AL335" s="194">
        <v>5.661991607901121</v>
      </c>
      <c r="AM335" s="194">
        <v>-12.614464006239668</v>
      </c>
      <c r="AN335" s="194">
        <v>9.9276552475554727</v>
      </c>
      <c r="AO335" s="194">
        <v>-5.0039778536083617</v>
      </c>
      <c r="AP335" s="194">
        <v>11.10011101985792</v>
      </c>
    </row>
    <row r="336" spans="1:42" ht="12" customHeight="1">
      <c r="A336" s="189" t="s">
        <v>830</v>
      </c>
      <c r="B336" s="189"/>
      <c r="C336" s="189" t="s">
        <v>299</v>
      </c>
      <c r="D336" s="189" t="s">
        <v>755</v>
      </c>
      <c r="E336" s="189" t="s">
        <v>875</v>
      </c>
      <c r="F336" s="190" t="s">
        <v>724</v>
      </c>
      <c r="G336" s="189" t="s">
        <v>681</v>
      </c>
      <c r="H336" s="197"/>
      <c r="I336" s="195"/>
      <c r="J336" s="195"/>
      <c r="K336" s="192">
        <v>4164175.5900000003</v>
      </c>
      <c r="L336" s="192">
        <v>1272666.8899999999</v>
      </c>
      <c r="M336" s="192">
        <v>13314161.510000002</v>
      </c>
      <c r="N336" s="192">
        <v>7565210.5999999987</v>
      </c>
      <c r="O336" s="192">
        <v>140210.93</v>
      </c>
      <c r="P336" s="192">
        <v>4257487.13</v>
      </c>
      <c r="Q336" s="192">
        <v>275255.08</v>
      </c>
      <c r="R336" s="192">
        <v>30713912.649999999</v>
      </c>
      <c r="S336" s="192">
        <v>3660246.91</v>
      </c>
      <c r="T336" s="192">
        <v>1004192.23</v>
      </c>
      <c r="U336" s="192">
        <v>10811150.789999997</v>
      </c>
      <c r="V336" s="192">
        <v>6977269.2699999996</v>
      </c>
      <c r="W336" s="192">
        <v>167662.35</v>
      </c>
      <c r="X336" s="192">
        <v>3884066.9699999997</v>
      </c>
      <c r="Y336" s="192">
        <v>241042.97000000006</v>
      </c>
      <c r="Z336" s="192">
        <v>26504588.519999996</v>
      </c>
      <c r="AA336" s="193">
        <v>503928.68000000017</v>
      </c>
      <c r="AB336" s="193">
        <v>268474.65999999992</v>
      </c>
      <c r="AC336" s="193">
        <v>2503010.7200000044</v>
      </c>
      <c r="AD336" s="193">
        <v>587941.32999999914</v>
      </c>
      <c r="AE336" s="193">
        <v>-27451.420000000013</v>
      </c>
      <c r="AF336" s="193">
        <v>373420.16000000015</v>
      </c>
      <c r="AG336" s="193">
        <v>34212.109999999957</v>
      </c>
      <c r="AH336" s="193">
        <v>4209324.1300000027</v>
      </c>
      <c r="AI336" s="194">
        <v>13.767614382058181</v>
      </c>
      <c r="AJ336" s="194">
        <v>26.735385116453241</v>
      </c>
      <c r="AK336" s="194">
        <v>23.152121070360216</v>
      </c>
      <c r="AL336" s="194">
        <v>8.4265248659379779</v>
      </c>
      <c r="AM336" s="194">
        <v>-16.373037834671894</v>
      </c>
      <c r="AN336" s="194">
        <v>9.614153486133123</v>
      </c>
      <c r="AO336" s="194">
        <v>14.193365606140659</v>
      </c>
      <c r="AP336" s="194">
        <v>15.881492092675595</v>
      </c>
    </row>
    <row r="337" spans="1:42" ht="12" customHeight="1">
      <c r="A337" s="189" t="s">
        <v>831</v>
      </c>
      <c r="B337" s="189"/>
      <c r="C337" s="189" t="s">
        <v>300</v>
      </c>
      <c r="D337" s="189" t="s">
        <v>755</v>
      </c>
      <c r="E337" s="189" t="s">
        <v>876</v>
      </c>
      <c r="F337" s="190" t="s">
        <v>724</v>
      </c>
      <c r="G337" s="189" t="s">
        <v>681</v>
      </c>
      <c r="H337" s="197"/>
      <c r="I337" s="195"/>
      <c r="J337" s="195"/>
      <c r="K337" s="192">
        <v>5041416.66</v>
      </c>
      <c r="L337" s="192">
        <v>1117486.23</v>
      </c>
      <c r="M337" s="192">
        <v>14287355.289999999</v>
      </c>
      <c r="N337" s="192">
        <v>8537131.2599999998</v>
      </c>
      <c r="O337" s="192">
        <v>154439.31999999998</v>
      </c>
      <c r="P337" s="192">
        <v>4610050.8500000015</v>
      </c>
      <c r="Q337" s="192">
        <v>505055.32</v>
      </c>
      <c r="R337" s="192">
        <v>33747879.609999999</v>
      </c>
      <c r="S337" s="192">
        <v>4535057.25</v>
      </c>
      <c r="T337" s="192">
        <v>1068194.8300000003</v>
      </c>
      <c r="U337" s="192">
        <v>12101618.869999997</v>
      </c>
      <c r="V337" s="192">
        <v>7847697</v>
      </c>
      <c r="W337" s="192">
        <v>175506.84</v>
      </c>
      <c r="X337" s="192">
        <v>4187152.6100000003</v>
      </c>
      <c r="Y337" s="192">
        <v>419806.64</v>
      </c>
      <c r="Z337" s="192">
        <v>29915227.399999995</v>
      </c>
      <c r="AA337" s="193">
        <v>506359.41000000015</v>
      </c>
      <c r="AB337" s="193">
        <v>49291.399999999674</v>
      </c>
      <c r="AC337" s="193">
        <v>2185736.4200000018</v>
      </c>
      <c r="AD337" s="193">
        <v>689434.25999999978</v>
      </c>
      <c r="AE337" s="193">
        <v>-21067.520000000019</v>
      </c>
      <c r="AF337" s="193">
        <v>422898.24000000115</v>
      </c>
      <c r="AG337" s="193">
        <v>85248.68</v>
      </c>
      <c r="AH337" s="193">
        <v>3832652.2100000046</v>
      </c>
      <c r="AI337" s="194">
        <v>11.165446919110011</v>
      </c>
      <c r="AJ337" s="194">
        <v>4.6144578325659618</v>
      </c>
      <c r="AK337" s="194">
        <v>18.061520888072742</v>
      </c>
      <c r="AL337" s="194">
        <v>8.7851793972167851</v>
      </c>
      <c r="AM337" s="194">
        <v>-12.003817059209783</v>
      </c>
      <c r="AN337" s="194">
        <v>10.09990032343247</v>
      </c>
      <c r="AO337" s="194">
        <v>20.30665355840965</v>
      </c>
      <c r="AP337" s="194">
        <v>12.811710099185159</v>
      </c>
    </row>
    <row r="338" spans="1:42" ht="12" customHeight="1">
      <c r="A338" s="189" t="s">
        <v>612</v>
      </c>
      <c r="B338" s="189"/>
      <c r="C338" s="189" t="s">
        <v>294</v>
      </c>
      <c r="D338" s="189" t="s">
        <v>755</v>
      </c>
      <c r="E338" s="189" t="s">
        <v>877</v>
      </c>
      <c r="F338" s="190" t="s">
        <v>724</v>
      </c>
      <c r="G338" s="189" t="s">
        <v>681</v>
      </c>
      <c r="H338" s="197"/>
      <c r="I338" s="195"/>
      <c r="J338" s="195"/>
      <c r="K338" s="192">
        <v>3920723.4200000009</v>
      </c>
      <c r="L338" s="192">
        <v>1317577.69</v>
      </c>
      <c r="M338" s="192">
        <v>11809111.050000004</v>
      </c>
      <c r="N338" s="192">
        <v>8342104.6799999969</v>
      </c>
      <c r="O338" s="192">
        <v>197959.44</v>
      </c>
      <c r="P338" s="192">
        <v>4040599.67</v>
      </c>
      <c r="Q338" s="192">
        <v>431683.09</v>
      </c>
      <c r="R338" s="192">
        <v>29628075.950000003</v>
      </c>
      <c r="S338" s="192">
        <v>3480787.1599999997</v>
      </c>
      <c r="T338" s="192">
        <v>1489904.4200000002</v>
      </c>
      <c r="U338" s="192">
        <v>9809189.2799999975</v>
      </c>
      <c r="V338" s="192">
        <v>7656011.7400000002</v>
      </c>
      <c r="W338" s="192">
        <v>245805.8</v>
      </c>
      <c r="X338" s="192">
        <v>3622986.23</v>
      </c>
      <c r="Y338" s="192">
        <v>387775.93999999994</v>
      </c>
      <c r="Z338" s="192">
        <v>26304684.629999999</v>
      </c>
      <c r="AA338" s="193">
        <v>439936.26000000117</v>
      </c>
      <c r="AB338" s="193">
        <v>-172326.73000000021</v>
      </c>
      <c r="AC338" s="193">
        <v>1999921.770000007</v>
      </c>
      <c r="AD338" s="193">
        <v>686092.93999999668</v>
      </c>
      <c r="AE338" s="193">
        <v>-47846.359999999986</v>
      </c>
      <c r="AF338" s="193">
        <v>417613.43999999994</v>
      </c>
      <c r="AG338" s="193">
        <v>43907.150000000081</v>
      </c>
      <c r="AH338" s="193">
        <v>3323391.320000004</v>
      </c>
      <c r="AI338" s="194">
        <v>12.638987670823321</v>
      </c>
      <c r="AJ338" s="194">
        <v>-11.566294299603474</v>
      </c>
      <c r="AK338" s="194">
        <v>20.38824731497084</v>
      </c>
      <c r="AL338" s="194">
        <v>8.9614927889334286</v>
      </c>
      <c r="AM338" s="194">
        <v>-19.465106193588593</v>
      </c>
      <c r="AN338" s="194">
        <v>11.526774143991156</v>
      </c>
      <c r="AO338" s="194">
        <v>11.32281440669065</v>
      </c>
      <c r="AP338" s="194">
        <v>12.634218454798498</v>
      </c>
    </row>
    <row r="339" spans="1:42" ht="12" customHeight="1">
      <c r="A339" s="189" t="s">
        <v>613</v>
      </c>
      <c r="B339" s="189"/>
      <c r="C339" s="189" t="s">
        <v>295</v>
      </c>
      <c r="D339" s="189" t="s">
        <v>755</v>
      </c>
      <c r="E339" s="189" t="s">
        <v>875</v>
      </c>
      <c r="F339" s="190" t="s">
        <v>724</v>
      </c>
      <c r="G339" s="189" t="s">
        <v>681</v>
      </c>
      <c r="H339" s="197"/>
      <c r="I339" s="195"/>
      <c r="J339" s="195"/>
      <c r="K339" s="192">
        <v>3414118.89</v>
      </c>
      <c r="L339" s="192">
        <v>1231381.6000000001</v>
      </c>
      <c r="M339" s="192">
        <v>10498853.950000003</v>
      </c>
      <c r="N339" s="192">
        <v>6016906.3300000001</v>
      </c>
      <c r="O339" s="192">
        <v>119991.11</v>
      </c>
      <c r="P339" s="192">
        <v>3446920.3200000003</v>
      </c>
      <c r="Q339" s="192">
        <v>281510.58999999997</v>
      </c>
      <c r="R339" s="192">
        <v>24728172.200000003</v>
      </c>
      <c r="S339" s="192">
        <v>3304031.2899999991</v>
      </c>
      <c r="T339" s="192">
        <v>1244117.0000000002</v>
      </c>
      <c r="U339" s="192">
        <v>8090094.0599999987</v>
      </c>
      <c r="V339" s="192">
        <v>5430949.9099999992</v>
      </c>
      <c r="W339" s="192">
        <v>84192.12999999999</v>
      </c>
      <c r="X339" s="192">
        <v>3057849.2499999991</v>
      </c>
      <c r="Y339" s="192">
        <v>260315.44999999998</v>
      </c>
      <c r="Z339" s="192">
        <v>21211233.639999997</v>
      </c>
      <c r="AA339" s="193">
        <v>110087.60000000102</v>
      </c>
      <c r="AB339" s="193">
        <v>-12735.40000000014</v>
      </c>
      <c r="AC339" s="193">
        <v>2408759.8900000043</v>
      </c>
      <c r="AD339" s="193">
        <v>585956.42000000086</v>
      </c>
      <c r="AE339" s="193">
        <v>35798.98000000001</v>
      </c>
      <c r="AF339" s="193">
        <v>389071.07000000123</v>
      </c>
      <c r="AG339" s="193">
        <v>21195.139999999985</v>
      </c>
      <c r="AH339" s="193">
        <v>3516938.5600000061</v>
      </c>
      <c r="AI339" s="194">
        <v>3.3319175981532867</v>
      </c>
      <c r="AJ339" s="194">
        <v>-1.0236497049714888</v>
      </c>
      <c r="AK339" s="194">
        <v>29.774188929516658</v>
      </c>
      <c r="AL339" s="194">
        <v>10.789206855343672</v>
      </c>
      <c r="AM339" s="194">
        <v>42.520577635938203</v>
      </c>
      <c r="AN339" s="194">
        <v>12.723683811424038</v>
      </c>
      <c r="AO339" s="194">
        <v>8.142098365655972</v>
      </c>
      <c r="AP339" s="194">
        <v>16.58054698604511</v>
      </c>
    </row>
    <row r="340" spans="1:42" ht="12" customHeight="1">
      <c r="A340" s="189" t="s">
        <v>614</v>
      </c>
      <c r="B340" s="189"/>
      <c r="C340" s="189" t="s">
        <v>296</v>
      </c>
      <c r="D340" s="189" t="s">
        <v>755</v>
      </c>
      <c r="E340" s="189" t="s">
        <v>875</v>
      </c>
      <c r="F340" s="190" t="s">
        <v>724</v>
      </c>
      <c r="G340" s="189" t="s">
        <v>681</v>
      </c>
      <c r="H340" s="197"/>
      <c r="I340" s="195"/>
      <c r="J340" s="195"/>
      <c r="K340" s="192">
        <v>2249111.04</v>
      </c>
      <c r="L340" s="192">
        <v>686751.51</v>
      </c>
      <c r="M340" s="192">
        <v>6527918.8700000001</v>
      </c>
      <c r="N340" s="192">
        <v>3380208.86</v>
      </c>
      <c r="O340" s="192">
        <v>40964.03</v>
      </c>
      <c r="P340" s="192">
        <v>2089494.4899999993</v>
      </c>
      <c r="Q340" s="192">
        <v>127073.62000000001</v>
      </c>
      <c r="R340" s="192">
        <v>14974448.799999997</v>
      </c>
      <c r="S340" s="192">
        <v>2154955.06</v>
      </c>
      <c r="T340" s="192">
        <v>602952.54</v>
      </c>
      <c r="U340" s="192">
        <v>5730985.379999999</v>
      </c>
      <c r="V340" s="192">
        <v>3200946.33</v>
      </c>
      <c r="W340" s="192">
        <v>61573.71</v>
      </c>
      <c r="X340" s="192">
        <v>1954739.36</v>
      </c>
      <c r="Y340" s="192">
        <v>135728.53</v>
      </c>
      <c r="Z340" s="192">
        <v>13706152.379999999</v>
      </c>
      <c r="AA340" s="193">
        <v>94155.979999999981</v>
      </c>
      <c r="AB340" s="193">
        <v>83798.969999999972</v>
      </c>
      <c r="AC340" s="193">
        <v>796933.49000000115</v>
      </c>
      <c r="AD340" s="193">
        <v>179262.5299999998</v>
      </c>
      <c r="AE340" s="193">
        <v>-20609.68</v>
      </c>
      <c r="AF340" s="193">
        <v>134755.12999999919</v>
      </c>
      <c r="AG340" s="193">
        <v>-8654.9099999999889</v>
      </c>
      <c r="AH340" s="193">
        <v>1268296.4199999981</v>
      </c>
      <c r="AI340" s="194">
        <v>4.3692781231363584</v>
      </c>
      <c r="AJ340" s="194">
        <v>13.898103820907689</v>
      </c>
      <c r="AK340" s="194">
        <v>13.905697487575885</v>
      </c>
      <c r="AL340" s="194">
        <v>5.6002978969035011</v>
      </c>
      <c r="AM340" s="194">
        <v>-33.471557910023613</v>
      </c>
      <c r="AN340" s="194">
        <v>6.8937645988772225</v>
      </c>
      <c r="AO340" s="194">
        <v>-6.3766328273060866</v>
      </c>
      <c r="AP340" s="194">
        <v>9.2534825590491359</v>
      </c>
    </row>
    <row r="341" spans="1:42" ht="12" customHeight="1">
      <c r="A341" s="189" t="s">
        <v>615</v>
      </c>
      <c r="B341" s="189"/>
      <c r="C341" s="189" t="s">
        <v>297</v>
      </c>
      <c r="D341" s="189" t="s">
        <v>755</v>
      </c>
      <c r="E341" s="189" t="s">
        <v>875</v>
      </c>
      <c r="F341" s="190" t="s">
        <v>724</v>
      </c>
      <c r="G341" s="189" t="s">
        <v>681</v>
      </c>
      <c r="H341" s="197"/>
      <c r="I341" s="195"/>
      <c r="J341" s="195"/>
      <c r="K341" s="192">
        <v>2942095.91</v>
      </c>
      <c r="L341" s="192">
        <v>637013.09000000008</v>
      </c>
      <c r="M341" s="192">
        <v>8292671.1600000011</v>
      </c>
      <c r="N341" s="192">
        <v>4737693.8099999996</v>
      </c>
      <c r="O341" s="192">
        <v>62479.09</v>
      </c>
      <c r="P341" s="192">
        <v>2682833.4000000004</v>
      </c>
      <c r="Q341" s="192">
        <v>188394.88</v>
      </c>
      <c r="R341" s="192">
        <v>19354786.460000001</v>
      </c>
      <c r="S341" s="192">
        <v>2699338.23</v>
      </c>
      <c r="T341" s="192">
        <v>611612.27999999991</v>
      </c>
      <c r="U341" s="192">
        <v>6989676.6800000006</v>
      </c>
      <c r="V341" s="192">
        <v>4595306.2499999991</v>
      </c>
      <c r="W341" s="192">
        <v>87768.89</v>
      </c>
      <c r="X341" s="192">
        <v>2459006.98</v>
      </c>
      <c r="Y341" s="192">
        <v>156131.67000000004</v>
      </c>
      <c r="Z341" s="192">
        <v>17442709.310000002</v>
      </c>
      <c r="AA341" s="193">
        <v>242757.68000000017</v>
      </c>
      <c r="AB341" s="193">
        <v>25400.810000000172</v>
      </c>
      <c r="AC341" s="193">
        <v>1302994.4800000004</v>
      </c>
      <c r="AD341" s="193">
        <v>142387.56000000052</v>
      </c>
      <c r="AE341" s="193">
        <v>-25289.800000000003</v>
      </c>
      <c r="AF341" s="193">
        <v>223826.42000000039</v>
      </c>
      <c r="AG341" s="193">
        <v>32263.209999999963</v>
      </c>
      <c r="AH341" s="193">
        <v>1912077.1499999985</v>
      </c>
      <c r="AI341" s="194">
        <v>8.9932294257174341</v>
      </c>
      <c r="AJ341" s="194">
        <v>4.1530902551531792</v>
      </c>
      <c r="AK341" s="194">
        <v>18.641698888996398</v>
      </c>
      <c r="AL341" s="194">
        <v>3.0985434322250134</v>
      </c>
      <c r="AM341" s="194">
        <v>-28.81408207395582</v>
      </c>
      <c r="AN341" s="194">
        <v>9.1023092581868301</v>
      </c>
      <c r="AO341" s="194">
        <v>20.664103573605505</v>
      </c>
      <c r="AP341" s="194">
        <v>10.962042169124461</v>
      </c>
    </row>
    <row r="342" spans="1:42" ht="12" customHeight="1">
      <c r="A342" s="189" t="s">
        <v>832</v>
      </c>
      <c r="B342" s="189"/>
      <c r="C342" s="189" t="s">
        <v>288</v>
      </c>
      <c r="D342" s="189" t="s">
        <v>755</v>
      </c>
      <c r="E342" s="189" t="s">
        <v>877</v>
      </c>
      <c r="F342" s="190" t="s">
        <v>724</v>
      </c>
      <c r="G342" s="189" t="s">
        <v>681</v>
      </c>
      <c r="H342" s="197"/>
      <c r="I342" s="195"/>
      <c r="J342" s="195"/>
      <c r="K342" s="192">
        <v>4865727.0600000005</v>
      </c>
      <c r="L342" s="192">
        <v>2074627.0199999998</v>
      </c>
      <c r="M342" s="192">
        <v>13395096.52</v>
      </c>
      <c r="N342" s="192">
        <v>9858179.4400000013</v>
      </c>
      <c r="O342" s="192">
        <v>124352.54000000001</v>
      </c>
      <c r="P342" s="192">
        <v>4582610.9799999995</v>
      </c>
      <c r="Q342" s="192">
        <v>314108.17999999993</v>
      </c>
      <c r="R342" s="192">
        <v>34900593.560000002</v>
      </c>
      <c r="S342" s="192">
        <v>4787947.74</v>
      </c>
      <c r="T342" s="192">
        <v>1761614.5599999996</v>
      </c>
      <c r="U342" s="192">
        <v>11823982.369999999</v>
      </c>
      <c r="V342" s="192">
        <v>9843177.7000000011</v>
      </c>
      <c r="W342" s="192">
        <v>150197.26</v>
      </c>
      <c r="X342" s="192">
        <v>4409549.1100000003</v>
      </c>
      <c r="Y342" s="192">
        <v>307116.53999999992</v>
      </c>
      <c r="Z342" s="192">
        <v>32776468.739999998</v>
      </c>
      <c r="AA342" s="193">
        <v>77779.320000000298</v>
      </c>
      <c r="AB342" s="193">
        <v>313012.4600000002</v>
      </c>
      <c r="AC342" s="193">
        <v>1571114.1500000004</v>
      </c>
      <c r="AD342" s="193">
        <v>15001.740000000224</v>
      </c>
      <c r="AE342" s="193">
        <v>-25844.720000000001</v>
      </c>
      <c r="AF342" s="193">
        <v>173061.86999999918</v>
      </c>
      <c r="AG342" s="193">
        <v>6991.640000000014</v>
      </c>
      <c r="AH342" s="193">
        <v>2124124.820000004</v>
      </c>
      <c r="AI342" s="194">
        <v>1.6244813900161803</v>
      </c>
      <c r="AJ342" s="194">
        <v>17.768498689066252</v>
      </c>
      <c r="AK342" s="194">
        <v>13.28752108076765</v>
      </c>
      <c r="AL342" s="194">
        <v>0.15240748930094211</v>
      </c>
      <c r="AM342" s="194">
        <v>-17.207184738256874</v>
      </c>
      <c r="AN342" s="194">
        <v>3.9247067145148353</v>
      </c>
      <c r="AO342" s="194">
        <v>2.2765429696492463</v>
      </c>
      <c r="AP342" s="194">
        <v>6.4806396224366543</v>
      </c>
    </row>
    <row r="343" spans="1:42" ht="12" customHeight="1">
      <c r="A343" s="189" t="s">
        <v>833</v>
      </c>
      <c r="B343" s="189"/>
      <c r="C343" s="189" t="s">
        <v>289</v>
      </c>
      <c r="D343" s="189" t="s">
        <v>755</v>
      </c>
      <c r="E343" s="189" t="s">
        <v>872</v>
      </c>
      <c r="F343" s="190" t="s">
        <v>724</v>
      </c>
      <c r="G343" s="189" t="s">
        <v>681</v>
      </c>
      <c r="H343" s="197"/>
      <c r="I343" s="195"/>
      <c r="J343" s="195"/>
      <c r="K343" s="192">
        <v>3547876.1800000006</v>
      </c>
      <c r="L343" s="192">
        <v>1595734.7</v>
      </c>
      <c r="M343" s="192">
        <v>12016477.550000001</v>
      </c>
      <c r="N343" s="192">
        <v>6882161.2999999989</v>
      </c>
      <c r="O343" s="192">
        <v>74541.75</v>
      </c>
      <c r="P343" s="192">
        <v>4116956.45</v>
      </c>
      <c r="Q343" s="192">
        <v>258311.42</v>
      </c>
      <c r="R343" s="192">
        <v>28233747.929999996</v>
      </c>
      <c r="S343" s="192">
        <v>3344190.4799999995</v>
      </c>
      <c r="T343" s="192">
        <v>1048139.9900000002</v>
      </c>
      <c r="U343" s="192">
        <v>9670486.2800000012</v>
      </c>
      <c r="V343" s="192">
        <v>6786917.7899999991</v>
      </c>
      <c r="W343" s="192">
        <v>68990.38</v>
      </c>
      <c r="X343" s="192">
        <v>3602516.7899999996</v>
      </c>
      <c r="Y343" s="192">
        <v>221573.5</v>
      </c>
      <c r="Z343" s="192">
        <v>24521241.709999997</v>
      </c>
      <c r="AA343" s="193">
        <v>203685.70000000112</v>
      </c>
      <c r="AB343" s="193">
        <v>547594.70999999973</v>
      </c>
      <c r="AC343" s="193">
        <v>2345991.2699999996</v>
      </c>
      <c r="AD343" s="193">
        <v>95243.509999999776</v>
      </c>
      <c r="AE343" s="193">
        <v>5551.3699999999953</v>
      </c>
      <c r="AF343" s="193">
        <v>514439.66000000061</v>
      </c>
      <c r="AG343" s="193">
        <v>36737.920000000013</v>
      </c>
      <c r="AH343" s="193">
        <v>3712506.2199999988</v>
      </c>
      <c r="AI343" s="194">
        <v>6.0907326068340799</v>
      </c>
      <c r="AJ343" s="194">
        <v>52.244424907401886</v>
      </c>
      <c r="AK343" s="194">
        <v>24.25928957524977</v>
      </c>
      <c r="AL343" s="194">
        <v>1.4033396741645192</v>
      </c>
      <c r="AM343" s="194">
        <v>8.0465856254161743</v>
      </c>
      <c r="AN343" s="194">
        <v>14.280007283463645</v>
      </c>
      <c r="AO343" s="194">
        <v>16.580466526908683</v>
      </c>
      <c r="AP343" s="194">
        <v>15.139960137034999</v>
      </c>
    </row>
    <row r="344" spans="1:42" ht="12" customHeight="1">
      <c r="A344" s="189" t="s">
        <v>834</v>
      </c>
      <c r="B344" s="189"/>
      <c r="C344" s="189" t="s">
        <v>290</v>
      </c>
      <c r="D344" s="189" t="s">
        <v>755</v>
      </c>
      <c r="E344" s="189" t="s">
        <v>872</v>
      </c>
      <c r="F344" s="190" t="s">
        <v>724</v>
      </c>
      <c r="G344" s="189" t="s">
        <v>681</v>
      </c>
      <c r="H344" s="197"/>
      <c r="I344" s="195"/>
      <c r="J344" s="195"/>
      <c r="K344" s="192">
        <v>4227399.3099999987</v>
      </c>
      <c r="L344" s="192">
        <v>1552388.1400000004</v>
      </c>
      <c r="M344" s="192">
        <v>13223737.750000004</v>
      </c>
      <c r="N344" s="192">
        <v>7247618.1299999999</v>
      </c>
      <c r="O344" s="192">
        <v>134952.81</v>
      </c>
      <c r="P344" s="192">
        <v>4446566.28</v>
      </c>
      <c r="Q344" s="192">
        <v>348692.97</v>
      </c>
      <c r="R344" s="192">
        <v>30832662.420000002</v>
      </c>
      <c r="S344" s="192">
        <v>3773571.8299999996</v>
      </c>
      <c r="T344" s="192">
        <v>1266005.3699999999</v>
      </c>
      <c r="U344" s="192">
        <v>10970740.529999999</v>
      </c>
      <c r="V344" s="192">
        <v>7233317.9599999981</v>
      </c>
      <c r="W344" s="192">
        <v>114537.58</v>
      </c>
      <c r="X344" s="192">
        <v>4026266.8099999996</v>
      </c>
      <c r="Y344" s="192">
        <v>308300.14999999997</v>
      </c>
      <c r="Z344" s="192">
        <v>27384440.079999994</v>
      </c>
      <c r="AA344" s="193">
        <v>453827.47999999905</v>
      </c>
      <c r="AB344" s="193">
        <v>286382.77000000048</v>
      </c>
      <c r="AC344" s="193">
        <v>2252997.2200000044</v>
      </c>
      <c r="AD344" s="193">
        <v>14300.170000001788</v>
      </c>
      <c r="AE344" s="193">
        <v>20415.229999999996</v>
      </c>
      <c r="AF344" s="193">
        <v>420299.47000000067</v>
      </c>
      <c r="AG344" s="193">
        <v>40392.820000000007</v>
      </c>
      <c r="AH344" s="193">
        <v>3448222.3400000073</v>
      </c>
      <c r="AI344" s="194">
        <v>12.026469892319476</v>
      </c>
      <c r="AJ344" s="194">
        <v>22.620975928403883</v>
      </c>
      <c r="AK344" s="194">
        <v>20.536418793599932</v>
      </c>
      <c r="AL344" s="194">
        <v>0.19769862294290452</v>
      </c>
      <c r="AM344" s="194">
        <v>17.824045173645185</v>
      </c>
      <c r="AN344" s="194">
        <v>10.438937353980291</v>
      </c>
      <c r="AO344" s="194">
        <v>13.101784089303885</v>
      </c>
      <c r="AP344" s="194">
        <v>12.591903759676972</v>
      </c>
    </row>
    <row r="345" spans="1:42" ht="12" customHeight="1">
      <c r="A345" s="189" t="s">
        <v>898</v>
      </c>
      <c r="B345" s="196"/>
      <c r="C345" s="189" t="s">
        <v>303</v>
      </c>
      <c r="D345" s="189" t="s">
        <v>755</v>
      </c>
      <c r="E345" s="189" t="s">
        <v>879</v>
      </c>
      <c r="F345" s="190" t="s">
        <v>724</v>
      </c>
      <c r="G345" s="189" t="s">
        <v>681</v>
      </c>
      <c r="H345" s="197"/>
      <c r="I345" s="195"/>
      <c r="J345" s="195"/>
      <c r="K345" s="192">
        <v>10833212.559999999</v>
      </c>
      <c r="L345" s="192">
        <v>4257018.01</v>
      </c>
      <c r="M345" s="192">
        <v>33293495.549999997</v>
      </c>
      <c r="N345" s="192">
        <v>24185344.159999996</v>
      </c>
      <c r="O345" s="192">
        <v>183015.69</v>
      </c>
      <c r="P345" s="192">
        <v>10855210.039999999</v>
      </c>
      <c r="Q345" s="192">
        <v>1266187.92</v>
      </c>
      <c r="R345" s="192">
        <v>83607296.00999999</v>
      </c>
      <c r="S345" s="192">
        <v>10022110.73</v>
      </c>
      <c r="T345" s="192">
        <v>4745003.2100000009</v>
      </c>
      <c r="U345" s="192">
        <v>28481617.79000001</v>
      </c>
      <c r="V345" s="192">
        <v>23264487.809999999</v>
      </c>
      <c r="W345" s="192">
        <v>185787.93</v>
      </c>
      <c r="X345" s="192">
        <v>9878646.8800000008</v>
      </c>
      <c r="Y345" s="192">
        <v>1137541.1199999999</v>
      </c>
      <c r="Z345" s="192">
        <v>76577654.350000009</v>
      </c>
      <c r="AA345" s="193">
        <v>811101.82999999821</v>
      </c>
      <c r="AB345" s="193">
        <v>-487985.20000000112</v>
      </c>
      <c r="AC345" s="193">
        <v>4811877.7599999867</v>
      </c>
      <c r="AD345" s="193">
        <v>920856.34999999776</v>
      </c>
      <c r="AE345" s="193">
        <v>-2772.2399999999907</v>
      </c>
      <c r="AF345" s="193">
        <v>976563.15999999829</v>
      </c>
      <c r="AG345" s="193">
        <v>128646.80000000005</v>
      </c>
      <c r="AH345" s="193">
        <v>7029641.6599999815</v>
      </c>
      <c r="AI345" s="194">
        <v>8.0931238124526104</v>
      </c>
      <c r="AJ345" s="194">
        <v>-10.284191145995052</v>
      </c>
      <c r="AK345" s="194">
        <v>16.894678509763068</v>
      </c>
      <c r="AL345" s="194">
        <v>3.9582059898356206</v>
      </c>
      <c r="AM345" s="194">
        <v>-1.4921529078880371</v>
      </c>
      <c r="AN345" s="194">
        <v>9.8855963965785385</v>
      </c>
      <c r="AO345" s="194">
        <v>11.309199969843734</v>
      </c>
      <c r="AP345" s="194">
        <v>9.1797557912531964</v>
      </c>
    </row>
    <row r="346" spans="1:42" ht="12" customHeight="1">
      <c r="A346" s="189" t="s">
        <v>899</v>
      </c>
      <c r="B346" s="196"/>
      <c r="C346" s="189" t="s">
        <v>304</v>
      </c>
      <c r="D346" s="189" t="s">
        <v>755</v>
      </c>
      <c r="E346" s="189" t="s">
        <v>872</v>
      </c>
      <c r="F346" s="190" t="s">
        <v>724</v>
      </c>
      <c r="G346" s="189" t="s">
        <v>681</v>
      </c>
      <c r="H346" s="197"/>
      <c r="I346" s="195"/>
      <c r="J346" s="195"/>
      <c r="K346" s="192">
        <v>3435006.4</v>
      </c>
      <c r="L346" s="192">
        <v>1760033.09</v>
      </c>
      <c r="M346" s="192">
        <v>10285629.09</v>
      </c>
      <c r="N346" s="192">
        <v>7987832.0300000003</v>
      </c>
      <c r="O346" s="192">
        <v>41437.519999999997</v>
      </c>
      <c r="P346" s="192">
        <v>3423682.8599999994</v>
      </c>
      <c r="Q346" s="192">
        <v>300276.88</v>
      </c>
      <c r="R346" s="192">
        <v>26933620.989999998</v>
      </c>
      <c r="S346" s="192">
        <v>3225577.62</v>
      </c>
      <c r="T346" s="192">
        <v>1247275.94</v>
      </c>
      <c r="U346" s="192">
        <v>9557854.5100000035</v>
      </c>
      <c r="V346" s="192">
        <v>7988763.5500000017</v>
      </c>
      <c r="W346" s="192">
        <v>40462.06</v>
      </c>
      <c r="X346" s="192">
        <v>3432355.25</v>
      </c>
      <c r="Y346" s="192">
        <v>302160.90000000002</v>
      </c>
      <c r="Z346" s="192">
        <v>25492288.930000003</v>
      </c>
      <c r="AA346" s="193">
        <v>209428.7799999998</v>
      </c>
      <c r="AB346" s="193">
        <v>512757.15000000014</v>
      </c>
      <c r="AC346" s="193">
        <v>727774.57999999635</v>
      </c>
      <c r="AD346" s="193">
        <v>-931.52000000141561</v>
      </c>
      <c r="AE346" s="193">
        <v>975.45999999999913</v>
      </c>
      <c r="AF346" s="193">
        <v>-8672.390000000596</v>
      </c>
      <c r="AG346" s="193">
        <v>-1884.0200000000186</v>
      </c>
      <c r="AH346" s="193">
        <v>1441332.0599999949</v>
      </c>
      <c r="AI346" s="194">
        <v>6.4927527615968454</v>
      </c>
      <c r="AJ346" s="194">
        <v>41.110161236654669</v>
      </c>
      <c r="AK346" s="194">
        <v>7.6144136661481374</v>
      </c>
      <c r="AL346" s="194">
        <v>-1.1660377656332254E-2</v>
      </c>
      <c r="AM346" s="194">
        <v>2.4108016250284812</v>
      </c>
      <c r="AN346" s="194">
        <v>-0.25266586260267188</v>
      </c>
      <c r="AO346" s="194">
        <v>-0.62351548463087658</v>
      </c>
      <c r="AP346" s="194">
        <v>5.6539923266905898</v>
      </c>
    </row>
    <row r="347" spans="1:42" ht="12" customHeight="1">
      <c r="A347" s="189" t="s">
        <v>900</v>
      </c>
      <c r="B347" s="196"/>
      <c r="C347" s="189" t="s">
        <v>301</v>
      </c>
      <c r="D347" s="189" t="s">
        <v>756</v>
      </c>
      <c r="E347" s="189" t="s">
        <v>874</v>
      </c>
      <c r="F347" s="190" t="s">
        <v>724</v>
      </c>
      <c r="G347" s="189" t="s">
        <v>681</v>
      </c>
      <c r="H347" s="197"/>
      <c r="I347" s="195"/>
      <c r="J347" s="195"/>
      <c r="K347" s="192">
        <v>7105148</v>
      </c>
      <c r="L347" s="192">
        <v>2284195</v>
      </c>
      <c r="M347" s="192">
        <v>19175634</v>
      </c>
      <c r="N347" s="192">
        <v>14579201</v>
      </c>
      <c r="O347" s="192">
        <v>317904</v>
      </c>
      <c r="P347" s="192">
        <v>6221937</v>
      </c>
      <c r="Q347" s="192">
        <v>1697080</v>
      </c>
      <c r="R347" s="192">
        <v>49684019</v>
      </c>
      <c r="S347" s="192">
        <v>6139083</v>
      </c>
      <c r="T347" s="192">
        <v>2197024</v>
      </c>
      <c r="U347" s="192">
        <v>16079759</v>
      </c>
      <c r="V347" s="192">
        <v>15240541</v>
      </c>
      <c r="W347" s="192">
        <v>329506</v>
      </c>
      <c r="X347" s="192">
        <v>6020289</v>
      </c>
      <c r="Y347" s="192">
        <v>1560149</v>
      </c>
      <c r="Z347" s="192">
        <v>46006202</v>
      </c>
      <c r="AA347" s="193">
        <v>966065</v>
      </c>
      <c r="AB347" s="193">
        <v>87171</v>
      </c>
      <c r="AC347" s="193">
        <v>3095875</v>
      </c>
      <c r="AD347" s="193">
        <v>-661340</v>
      </c>
      <c r="AE347" s="193">
        <v>-11602</v>
      </c>
      <c r="AF347" s="193">
        <v>201648</v>
      </c>
      <c r="AG347" s="193">
        <v>136931</v>
      </c>
      <c r="AH347" s="193">
        <v>3677817</v>
      </c>
      <c r="AI347" s="194">
        <v>15.73630784923416</v>
      </c>
      <c r="AJ347" s="194">
        <v>3.9676853780386558</v>
      </c>
      <c r="AK347" s="194">
        <v>19.253242539269401</v>
      </c>
      <c r="AL347" s="194">
        <v>-4.3393472712025112</v>
      </c>
      <c r="AM347" s="194">
        <v>-3.5210284486473689</v>
      </c>
      <c r="AN347" s="194">
        <v>3.3494737544991611</v>
      </c>
      <c r="AO347" s="194">
        <v>8.7767899091689312</v>
      </c>
      <c r="AP347" s="194">
        <v>7.9941765242868783</v>
      </c>
    </row>
    <row r="348" spans="1:42" ht="12" customHeight="1">
      <c r="A348" s="189" t="s">
        <v>901</v>
      </c>
      <c r="B348" s="196"/>
      <c r="C348" s="189" t="s">
        <v>302</v>
      </c>
      <c r="D348" s="189" t="s">
        <v>755</v>
      </c>
      <c r="E348" s="189" t="s">
        <v>872</v>
      </c>
      <c r="F348" s="190" t="s">
        <v>724</v>
      </c>
      <c r="G348" s="189" t="s">
        <v>681</v>
      </c>
      <c r="H348" s="197"/>
      <c r="I348" s="195"/>
      <c r="J348" s="195"/>
      <c r="K348" s="192">
        <v>3527033.8400000003</v>
      </c>
      <c r="L348" s="192">
        <v>1205878.8900000001</v>
      </c>
      <c r="M348" s="192">
        <v>11706592.460000001</v>
      </c>
      <c r="N348" s="192">
        <v>7990884.8799999999</v>
      </c>
      <c r="O348" s="192">
        <v>42424.58</v>
      </c>
      <c r="P348" s="192">
        <v>3983989.4700000007</v>
      </c>
      <c r="Q348" s="192">
        <v>365736.63</v>
      </c>
      <c r="R348" s="192">
        <v>28456804.119999997</v>
      </c>
      <c r="S348" s="192">
        <v>3008374.5100000002</v>
      </c>
      <c r="T348" s="192">
        <v>1083247.98</v>
      </c>
      <c r="U348" s="192">
        <v>10690222.670000002</v>
      </c>
      <c r="V348" s="192">
        <v>7973711.3099999996</v>
      </c>
      <c r="W348" s="192">
        <v>93085.09</v>
      </c>
      <c r="X348" s="192">
        <v>3764529.37</v>
      </c>
      <c r="Y348" s="192">
        <v>361276.62</v>
      </c>
      <c r="Z348" s="192">
        <v>26613170.930000003</v>
      </c>
      <c r="AA348" s="193">
        <v>518659.33000000007</v>
      </c>
      <c r="AB348" s="193">
        <v>122630.91000000015</v>
      </c>
      <c r="AC348" s="193">
        <v>1016369.7899999991</v>
      </c>
      <c r="AD348" s="193">
        <v>17173.570000000298</v>
      </c>
      <c r="AE348" s="193">
        <v>-50660.509999999995</v>
      </c>
      <c r="AF348" s="193">
        <v>219460.10000000056</v>
      </c>
      <c r="AG348" s="193">
        <v>4460.0100000000093</v>
      </c>
      <c r="AH348" s="193">
        <v>1843633.1899999939</v>
      </c>
      <c r="AI348" s="194">
        <v>17.240517371622062</v>
      </c>
      <c r="AJ348" s="194">
        <v>11.320668237018097</v>
      </c>
      <c r="AK348" s="194">
        <v>9.5074707176328523</v>
      </c>
      <c r="AL348" s="194">
        <v>0.21537737362603737</v>
      </c>
      <c r="AM348" s="194">
        <v>-54.423871750029996</v>
      </c>
      <c r="AN348" s="194">
        <v>5.8296822372779245</v>
      </c>
      <c r="AO348" s="194">
        <v>1.2345138747146187</v>
      </c>
      <c r="AP348" s="194">
        <v>6.9275216953637679</v>
      </c>
    </row>
    <row r="349" spans="1:42" ht="12" customHeight="1">
      <c r="A349" s="189" t="s">
        <v>902</v>
      </c>
      <c r="B349" s="196"/>
      <c r="C349" s="189" t="s">
        <v>284</v>
      </c>
      <c r="D349" s="189" t="s">
        <v>755</v>
      </c>
      <c r="E349" s="189" t="s">
        <v>872</v>
      </c>
      <c r="F349" s="190" t="s">
        <v>724</v>
      </c>
      <c r="G349" s="189" t="s">
        <v>681</v>
      </c>
      <c r="H349" s="197"/>
      <c r="I349" s="195"/>
      <c r="J349" s="195"/>
      <c r="K349" s="192">
        <v>3096655.58</v>
      </c>
      <c r="L349" s="192">
        <v>1209284.06</v>
      </c>
      <c r="M349" s="192">
        <v>9634138.9799999986</v>
      </c>
      <c r="N349" s="192">
        <v>6424110.8099999996</v>
      </c>
      <c r="O349" s="192">
        <v>146611.40999999997</v>
      </c>
      <c r="P349" s="192">
        <v>3327270.59</v>
      </c>
      <c r="Q349" s="192">
        <v>245788.75</v>
      </c>
      <c r="R349" s="192">
        <v>23838071.43</v>
      </c>
      <c r="S349" s="192">
        <v>2771950.05</v>
      </c>
      <c r="T349" s="192">
        <v>866518.58</v>
      </c>
      <c r="U349" s="192">
        <v>8156314.9400000004</v>
      </c>
      <c r="V349" s="192">
        <v>5609566.8600000003</v>
      </c>
      <c r="W349" s="192">
        <v>165944.25</v>
      </c>
      <c r="X349" s="192">
        <v>3028637.34</v>
      </c>
      <c r="Y349" s="192">
        <v>228333.08</v>
      </c>
      <c r="Z349" s="192">
        <v>20598932.02</v>
      </c>
      <c r="AA349" s="193">
        <v>324705.53000000026</v>
      </c>
      <c r="AB349" s="193">
        <v>342765.4800000001</v>
      </c>
      <c r="AC349" s="193">
        <v>1477824.0399999982</v>
      </c>
      <c r="AD349" s="193">
        <v>814543.94999999925</v>
      </c>
      <c r="AE349" s="193">
        <v>-19332.840000000026</v>
      </c>
      <c r="AF349" s="193">
        <v>298633.25</v>
      </c>
      <c r="AG349" s="193">
        <v>17455.670000000013</v>
      </c>
      <c r="AH349" s="193">
        <v>3239139.41</v>
      </c>
      <c r="AI349" s="194">
        <v>11.713974788254221</v>
      </c>
      <c r="AJ349" s="194">
        <v>39.556622086510842</v>
      </c>
      <c r="AK349" s="194">
        <v>18.118771171432943</v>
      </c>
      <c r="AL349" s="194">
        <v>14.520621116190766</v>
      </c>
      <c r="AM349" s="194">
        <v>-11.650201799700818</v>
      </c>
      <c r="AN349" s="194">
        <v>9.8603172474919045</v>
      </c>
      <c r="AO349" s="194">
        <v>7.64482745995456</v>
      </c>
      <c r="AP349" s="194">
        <v>15.724792949726915</v>
      </c>
    </row>
    <row r="350" spans="1:42" ht="12" customHeight="1">
      <c r="A350" s="189" t="s">
        <v>616</v>
      </c>
      <c r="B350" s="189"/>
      <c r="C350" s="189" t="s">
        <v>305</v>
      </c>
      <c r="D350" s="189" t="s">
        <v>755</v>
      </c>
      <c r="E350" s="189" t="s">
        <v>877</v>
      </c>
      <c r="F350" s="190" t="s">
        <v>724</v>
      </c>
      <c r="G350" s="189" t="s">
        <v>681</v>
      </c>
      <c r="H350" s="197"/>
      <c r="I350" s="195"/>
      <c r="J350" s="195"/>
      <c r="K350" s="192">
        <v>49549593.870000005</v>
      </c>
      <c r="L350" s="192">
        <v>29470141.560000002</v>
      </c>
      <c r="M350" s="192">
        <v>173193602.84</v>
      </c>
      <c r="N350" s="192">
        <v>140374124.78000003</v>
      </c>
      <c r="O350" s="192">
        <v>2661184.08</v>
      </c>
      <c r="P350" s="192">
        <v>57190750.439999998</v>
      </c>
      <c r="Q350" s="192">
        <v>6427090.96</v>
      </c>
      <c r="R350" s="192">
        <v>452439397.57000005</v>
      </c>
      <c r="S350" s="192">
        <v>47831052</v>
      </c>
      <c r="T350" s="192">
        <v>28557750.659999989</v>
      </c>
      <c r="U350" s="192">
        <v>146970778.70000005</v>
      </c>
      <c r="V350" s="192">
        <v>128062538.74000001</v>
      </c>
      <c r="W350" s="192">
        <v>3709810.59</v>
      </c>
      <c r="X350" s="192">
        <v>51456360.310000002</v>
      </c>
      <c r="Y350" s="192">
        <v>5873633.2400000002</v>
      </c>
      <c r="Z350" s="192">
        <v>406588291</v>
      </c>
      <c r="AA350" s="193">
        <v>1718541.8700000048</v>
      </c>
      <c r="AB350" s="193">
        <v>912390.90000001341</v>
      </c>
      <c r="AC350" s="193">
        <v>26222824.139999956</v>
      </c>
      <c r="AD350" s="193">
        <v>12311586.040000021</v>
      </c>
      <c r="AE350" s="193">
        <v>-1048626.5099999998</v>
      </c>
      <c r="AF350" s="193">
        <v>5734390.1299999952</v>
      </c>
      <c r="AG350" s="193">
        <v>553457.71999999974</v>
      </c>
      <c r="AH350" s="193">
        <v>45851106.570000052</v>
      </c>
      <c r="AI350" s="194">
        <v>3.5929418194690865</v>
      </c>
      <c r="AJ350" s="194">
        <v>3.1948976334399219</v>
      </c>
      <c r="AK350" s="194">
        <v>17.842202628269771</v>
      </c>
      <c r="AL350" s="194">
        <v>9.613729480246926</v>
      </c>
      <c r="AM350" s="194">
        <v>-28.266308604181322</v>
      </c>
      <c r="AN350" s="194">
        <v>11.144181390702787</v>
      </c>
      <c r="AO350" s="194">
        <v>9.4227490445079223</v>
      </c>
      <c r="AP350" s="194">
        <v>11.277035661117957</v>
      </c>
    </row>
    <row r="351" spans="1:42" ht="12" customHeight="1">
      <c r="A351" s="189" t="s">
        <v>617</v>
      </c>
      <c r="B351" s="189"/>
      <c r="C351" s="189" t="s">
        <v>306</v>
      </c>
      <c r="D351" s="189" t="s">
        <v>755</v>
      </c>
      <c r="E351" s="189" t="s">
        <v>872</v>
      </c>
      <c r="F351" s="190" t="s">
        <v>724</v>
      </c>
      <c r="G351" s="189" t="s">
        <v>681</v>
      </c>
      <c r="H351" s="197"/>
      <c r="I351" s="195"/>
      <c r="J351" s="195"/>
      <c r="K351" s="192">
        <v>5061891.2200000007</v>
      </c>
      <c r="L351" s="192">
        <v>1876195.2099999997</v>
      </c>
      <c r="M351" s="192">
        <v>16131031.029999999</v>
      </c>
      <c r="N351" s="192">
        <v>11333487.490000002</v>
      </c>
      <c r="O351" s="192">
        <v>81561.62000000001</v>
      </c>
      <c r="P351" s="192">
        <v>5644785.6100000003</v>
      </c>
      <c r="Q351" s="192">
        <v>513806.1</v>
      </c>
      <c r="R351" s="192">
        <v>40128952.18</v>
      </c>
      <c r="S351" s="192">
        <v>4671347.99</v>
      </c>
      <c r="T351" s="192">
        <v>1492949.3599999999</v>
      </c>
      <c r="U351" s="192">
        <v>14005244.039999997</v>
      </c>
      <c r="V351" s="192">
        <v>11048401.880000003</v>
      </c>
      <c r="W351" s="192">
        <v>118487.27</v>
      </c>
      <c r="X351" s="192">
        <v>5168643.63</v>
      </c>
      <c r="Y351" s="192">
        <v>445941.48</v>
      </c>
      <c r="Z351" s="192">
        <v>36505074.170000002</v>
      </c>
      <c r="AA351" s="193">
        <v>390543.23000000045</v>
      </c>
      <c r="AB351" s="193">
        <v>383245.84999999986</v>
      </c>
      <c r="AC351" s="193">
        <v>2125786.9900000021</v>
      </c>
      <c r="AD351" s="193">
        <v>285085.6099999994</v>
      </c>
      <c r="AE351" s="193">
        <v>-36925.649999999994</v>
      </c>
      <c r="AF351" s="193">
        <v>476141.98000000045</v>
      </c>
      <c r="AG351" s="193">
        <v>67864.62</v>
      </c>
      <c r="AH351" s="193">
        <v>3623878.0099999979</v>
      </c>
      <c r="AI351" s="194">
        <v>8.3603968455366662</v>
      </c>
      <c r="AJ351" s="194">
        <v>25.670385095982084</v>
      </c>
      <c r="AK351" s="194">
        <v>15.178507307181507</v>
      </c>
      <c r="AL351" s="194">
        <v>2.5803334554300204</v>
      </c>
      <c r="AM351" s="194">
        <v>-31.164233929940316</v>
      </c>
      <c r="AN351" s="194">
        <v>9.2121263156229727</v>
      </c>
      <c r="AO351" s="194">
        <v>15.218279313240831</v>
      </c>
      <c r="AP351" s="194">
        <v>9.9270528615392148</v>
      </c>
    </row>
    <row r="352" spans="1:42" ht="12" customHeight="1">
      <c r="A352" s="189" t="s">
        <v>618</v>
      </c>
      <c r="B352" s="189"/>
      <c r="C352" s="189" t="s">
        <v>307</v>
      </c>
      <c r="D352" s="189" t="s">
        <v>755</v>
      </c>
      <c r="E352" s="189" t="s">
        <v>874</v>
      </c>
      <c r="F352" s="190" t="s">
        <v>724</v>
      </c>
      <c r="G352" s="189" t="s">
        <v>681</v>
      </c>
      <c r="H352" s="197"/>
      <c r="I352" s="195"/>
      <c r="J352" s="195"/>
      <c r="K352" s="192">
        <v>2110100.42</v>
      </c>
      <c r="L352" s="192">
        <v>1083519.2499999998</v>
      </c>
      <c r="M352" s="192">
        <v>6890229.4100000011</v>
      </c>
      <c r="N352" s="192">
        <v>5199009.9900000012</v>
      </c>
      <c r="O352" s="192">
        <v>44307.350000000006</v>
      </c>
      <c r="P352" s="192">
        <v>2372473.4700000002</v>
      </c>
      <c r="Q352" s="192">
        <v>177211.36</v>
      </c>
      <c r="R352" s="192">
        <v>17699639.890000004</v>
      </c>
      <c r="S352" s="192">
        <v>1991160.29</v>
      </c>
      <c r="T352" s="192">
        <v>929705.48</v>
      </c>
      <c r="U352" s="192">
        <v>5982651.459999999</v>
      </c>
      <c r="V352" s="192">
        <v>4789072.1399999997</v>
      </c>
      <c r="W352" s="192">
        <v>63740.509999999995</v>
      </c>
      <c r="X352" s="192">
        <v>2222624.73</v>
      </c>
      <c r="Y352" s="192">
        <v>153560.1</v>
      </c>
      <c r="Z352" s="192">
        <v>15978954.609999998</v>
      </c>
      <c r="AA352" s="193">
        <v>118940.12999999989</v>
      </c>
      <c r="AB352" s="193">
        <v>153813.76999999979</v>
      </c>
      <c r="AC352" s="193">
        <v>907577.95000000205</v>
      </c>
      <c r="AD352" s="193">
        <v>409937.85000000149</v>
      </c>
      <c r="AE352" s="193">
        <v>-19433.159999999989</v>
      </c>
      <c r="AF352" s="193">
        <v>149848.74000000022</v>
      </c>
      <c r="AG352" s="193">
        <v>23651.25999999998</v>
      </c>
      <c r="AH352" s="193">
        <v>1720685.2800000068</v>
      </c>
      <c r="AI352" s="194">
        <v>5.9734080976474218</v>
      </c>
      <c r="AJ352" s="194">
        <v>16.544354455133444</v>
      </c>
      <c r="AK352" s="194">
        <v>15.170162528572275</v>
      </c>
      <c r="AL352" s="194">
        <v>8.5598595722970572</v>
      </c>
      <c r="AM352" s="194">
        <v>-30.487926751762718</v>
      </c>
      <c r="AN352" s="194">
        <v>6.7419721366998475</v>
      </c>
      <c r="AO352" s="194">
        <v>15.401956628056363</v>
      </c>
      <c r="AP352" s="194">
        <v>10.768447135603992</v>
      </c>
    </row>
    <row r="353" spans="1:42" ht="12" customHeight="1">
      <c r="A353" s="189" t="s">
        <v>619</v>
      </c>
      <c r="B353" s="189"/>
      <c r="C353" s="189" t="s">
        <v>308</v>
      </c>
      <c r="D353" s="189" t="s">
        <v>755</v>
      </c>
      <c r="E353" s="189" t="s">
        <v>873</v>
      </c>
      <c r="F353" s="190" t="s">
        <v>724</v>
      </c>
      <c r="G353" s="189" t="s">
        <v>681</v>
      </c>
      <c r="H353" s="197"/>
      <c r="I353" s="195"/>
      <c r="J353" s="195"/>
      <c r="K353" s="192">
        <v>3132970.8200000003</v>
      </c>
      <c r="L353" s="192">
        <v>1125846.43</v>
      </c>
      <c r="M353" s="192">
        <v>11444912.370000003</v>
      </c>
      <c r="N353" s="192">
        <v>6466795.1400000006</v>
      </c>
      <c r="O353" s="192">
        <v>80488.31</v>
      </c>
      <c r="P353" s="192">
        <v>3553404.38</v>
      </c>
      <c r="Q353" s="192">
        <v>268996.69</v>
      </c>
      <c r="R353" s="192">
        <v>25804417.450000003</v>
      </c>
      <c r="S353" s="192">
        <v>2545049.75</v>
      </c>
      <c r="T353" s="192">
        <v>563492.31999999995</v>
      </c>
      <c r="U353" s="192">
        <v>9589837.8100000024</v>
      </c>
      <c r="V353" s="192">
        <v>5843702.3400000008</v>
      </c>
      <c r="W353" s="192">
        <v>140842.74</v>
      </c>
      <c r="X353" s="192">
        <v>3163170.8199999994</v>
      </c>
      <c r="Y353" s="192">
        <v>236246.25</v>
      </c>
      <c r="Z353" s="192">
        <v>21846095.780000001</v>
      </c>
      <c r="AA353" s="193">
        <v>587921.0700000003</v>
      </c>
      <c r="AB353" s="193">
        <v>562354.11</v>
      </c>
      <c r="AC353" s="193">
        <v>1855074.5600000005</v>
      </c>
      <c r="AD353" s="193">
        <v>623092.79999999981</v>
      </c>
      <c r="AE353" s="193">
        <v>-60354.429999999993</v>
      </c>
      <c r="AF353" s="193">
        <v>390233.56000000052</v>
      </c>
      <c r="AG353" s="193">
        <v>32750.440000000002</v>
      </c>
      <c r="AH353" s="193">
        <v>3958321.6700000018</v>
      </c>
      <c r="AI353" s="194">
        <v>23.10057278841014</v>
      </c>
      <c r="AJ353" s="194">
        <v>99.798007894765988</v>
      </c>
      <c r="AK353" s="194">
        <v>19.344170326484385</v>
      </c>
      <c r="AL353" s="194">
        <v>10.662637549742133</v>
      </c>
      <c r="AM353" s="194">
        <v>-42.852354335054827</v>
      </c>
      <c r="AN353" s="194">
        <v>12.336784265100189</v>
      </c>
      <c r="AO353" s="194">
        <v>13.862840150901867</v>
      </c>
      <c r="AP353" s="194">
        <v>18.119126226773329</v>
      </c>
    </row>
    <row r="354" spans="1:42" ht="12" customHeight="1">
      <c r="A354" s="189" t="s">
        <v>620</v>
      </c>
      <c r="B354" s="189"/>
      <c r="C354" s="189" t="s">
        <v>309</v>
      </c>
      <c r="D354" s="189" t="s">
        <v>755</v>
      </c>
      <c r="E354" s="189" t="s">
        <v>877</v>
      </c>
      <c r="F354" s="190" t="s">
        <v>724</v>
      </c>
      <c r="G354" s="189" t="s">
        <v>681</v>
      </c>
      <c r="H354" s="197"/>
      <c r="I354" s="195"/>
      <c r="J354" s="195"/>
      <c r="K354" s="192">
        <v>9519885.3399999999</v>
      </c>
      <c r="L354" s="192">
        <v>5090390.21</v>
      </c>
      <c r="M354" s="192">
        <v>30993237.649999995</v>
      </c>
      <c r="N354" s="192">
        <v>26891349.360000003</v>
      </c>
      <c r="O354" s="192">
        <v>628823.69999999995</v>
      </c>
      <c r="P354" s="192">
        <v>10381178.480000002</v>
      </c>
      <c r="Q354" s="192">
        <v>1245290.27</v>
      </c>
      <c r="R354" s="192">
        <v>83504864.74000001</v>
      </c>
      <c r="S354" s="192">
        <v>9073698.1199999992</v>
      </c>
      <c r="T354" s="192">
        <v>3816456.7700000005</v>
      </c>
      <c r="U354" s="192">
        <v>27092865.810000002</v>
      </c>
      <c r="V354" s="192">
        <v>25809753.77</v>
      </c>
      <c r="W354" s="192">
        <v>693610.72</v>
      </c>
      <c r="X354" s="192">
        <v>9631098.8499999996</v>
      </c>
      <c r="Y354" s="192">
        <v>1234744.72</v>
      </c>
      <c r="Z354" s="192">
        <v>76117484.039999992</v>
      </c>
      <c r="AA354" s="193">
        <v>446187.22000000067</v>
      </c>
      <c r="AB354" s="193">
        <v>1273933.4399999995</v>
      </c>
      <c r="AC354" s="193">
        <v>3900371.8399999924</v>
      </c>
      <c r="AD354" s="193">
        <v>1081595.5900000036</v>
      </c>
      <c r="AE354" s="193">
        <v>-64787.020000000019</v>
      </c>
      <c r="AF354" s="193">
        <v>750079.63000000268</v>
      </c>
      <c r="AG354" s="193">
        <v>10545.550000000047</v>
      </c>
      <c r="AH354" s="193">
        <v>7387380.7000000179</v>
      </c>
      <c r="AI354" s="194">
        <v>4.9173690164600794</v>
      </c>
      <c r="AJ354" s="194">
        <v>33.380004458952619</v>
      </c>
      <c r="AK354" s="194">
        <v>14.396305903380519</v>
      </c>
      <c r="AL354" s="194">
        <v>4.1906466820198709</v>
      </c>
      <c r="AM354" s="194">
        <v>-9.3405447943480482</v>
      </c>
      <c r="AN354" s="194">
        <v>7.788100212469554</v>
      </c>
      <c r="AO354" s="194">
        <v>0.85406722775862898</v>
      </c>
      <c r="AP354" s="194">
        <v>9.7052349971498337</v>
      </c>
    </row>
    <row r="355" spans="1:42" ht="12" customHeight="1">
      <c r="A355" s="189" t="s">
        <v>621</v>
      </c>
      <c r="B355" s="189"/>
      <c r="C355" s="189" t="s">
        <v>310</v>
      </c>
      <c r="D355" s="189" t="s">
        <v>755</v>
      </c>
      <c r="E355" s="189" t="s">
        <v>872</v>
      </c>
      <c r="F355" s="190" t="s">
        <v>724</v>
      </c>
      <c r="G355" s="189" t="s">
        <v>681</v>
      </c>
      <c r="H355" s="197"/>
      <c r="I355" s="195"/>
      <c r="J355" s="195"/>
      <c r="K355" s="192">
        <v>4822943.5399999991</v>
      </c>
      <c r="L355" s="192">
        <v>2531265.2900000005</v>
      </c>
      <c r="M355" s="192">
        <v>20253343.790000003</v>
      </c>
      <c r="N355" s="192">
        <v>14000431.169999998</v>
      </c>
      <c r="O355" s="192">
        <v>259982.05000000002</v>
      </c>
      <c r="P355" s="192">
        <v>6702877.5699999994</v>
      </c>
      <c r="Q355" s="192">
        <v>660836.32999999996</v>
      </c>
      <c r="R355" s="192">
        <v>48570843.410000004</v>
      </c>
      <c r="S355" s="192">
        <v>4391306.49</v>
      </c>
      <c r="T355" s="192">
        <v>2237336.0699999998</v>
      </c>
      <c r="U355" s="192">
        <v>16945003.080000006</v>
      </c>
      <c r="V355" s="192">
        <v>13467287.090000002</v>
      </c>
      <c r="W355" s="192">
        <v>371168.35</v>
      </c>
      <c r="X355" s="192">
        <v>5978529.4799999995</v>
      </c>
      <c r="Y355" s="192">
        <v>530721</v>
      </c>
      <c r="Z355" s="192">
        <v>43390630.56000001</v>
      </c>
      <c r="AA355" s="193">
        <v>431637.04999999888</v>
      </c>
      <c r="AB355" s="193">
        <v>293929.22000000067</v>
      </c>
      <c r="AC355" s="193">
        <v>3308340.7099999972</v>
      </c>
      <c r="AD355" s="193">
        <v>533144.07999999635</v>
      </c>
      <c r="AE355" s="193">
        <v>-111186.29999999996</v>
      </c>
      <c r="AF355" s="193">
        <v>724348.08999999985</v>
      </c>
      <c r="AG355" s="193">
        <v>130115.32999999996</v>
      </c>
      <c r="AH355" s="193">
        <v>5180212.849999994</v>
      </c>
      <c r="AI355" s="194">
        <v>9.8293537693835358</v>
      </c>
      <c r="AJ355" s="194">
        <v>13.137463966242708</v>
      </c>
      <c r="AK355" s="194">
        <v>19.523990018655084</v>
      </c>
      <c r="AL355" s="194">
        <v>3.9588083066549991</v>
      </c>
      <c r="AM355" s="194">
        <v>-29.955759967141589</v>
      </c>
      <c r="AN355" s="194">
        <v>12.1158236724125</v>
      </c>
      <c r="AO355" s="194">
        <v>24.516710286572412</v>
      </c>
      <c r="AP355" s="194">
        <v>11.938551671510885</v>
      </c>
    </row>
    <row r="356" spans="1:42" ht="12" customHeight="1">
      <c r="A356" s="189" t="s">
        <v>622</v>
      </c>
      <c r="B356" s="189"/>
      <c r="C356" s="189" t="s">
        <v>311</v>
      </c>
      <c r="D356" s="189" t="s">
        <v>755</v>
      </c>
      <c r="E356" s="189" t="s">
        <v>873</v>
      </c>
      <c r="F356" s="190" t="s">
        <v>724</v>
      </c>
      <c r="G356" s="189" t="s">
        <v>681</v>
      </c>
      <c r="H356" s="197"/>
      <c r="I356" s="195"/>
      <c r="J356" s="195"/>
      <c r="K356" s="192">
        <v>2928046.2800000003</v>
      </c>
      <c r="L356" s="192">
        <v>1456052.1299999997</v>
      </c>
      <c r="M356" s="192">
        <v>11301156.069999997</v>
      </c>
      <c r="N356" s="192">
        <v>6103364.9900000012</v>
      </c>
      <c r="O356" s="192">
        <v>75509.350000000006</v>
      </c>
      <c r="P356" s="192">
        <v>3596129.35</v>
      </c>
      <c r="Q356" s="192">
        <v>259108.41999999998</v>
      </c>
      <c r="R356" s="192">
        <v>25460258.170000002</v>
      </c>
      <c r="S356" s="192">
        <v>2578867.42</v>
      </c>
      <c r="T356" s="192">
        <v>1075443.9400000002</v>
      </c>
      <c r="U356" s="192">
        <v>9186798.4300000016</v>
      </c>
      <c r="V356" s="192">
        <v>5578571.7800000003</v>
      </c>
      <c r="W356" s="192">
        <v>54443.39</v>
      </c>
      <c r="X356" s="192">
        <v>3113139.7899999996</v>
      </c>
      <c r="Y356" s="192">
        <v>227868.41</v>
      </c>
      <c r="Z356" s="192">
        <v>21587264.750000004</v>
      </c>
      <c r="AA356" s="193">
        <v>349178.86000000034</v>
      </c>
      <c r="AB356" s="193">
        <v>380608.18999999948</v>
      </c>
      <c r="AC356" s="193">
        <v>2114357.639999995</v>
      </c>
      <c r="AD356" s="193">
        <v>524793.21000000089</v>
      </c>
      <c r="AE356" s="193">
        <v>21065.960000000006</v>
      </c>
      <c r="AF356" s="193">
        <v>482989.56000000052</v>
      </c>
      <c r="AG356" s="193">
        <v>31240.00999999998</v>
      </c>
      <c r="AH356" s="193">
        <v>3872993.4199999981</v>
      </c>
      <c r="AI356" s="194">
        <v>13.540008194760178</v>
      </c>
      <c r="AJ356" s="194">
        <v>35.390797776032791</v>
      </c>
      <c r="AK356" s="194">
        <v>23.015173959792591</v>
      </c>
      <c r="AL356" s="194">
        <v>9.4073040680674165</v>
      </c>
      <c r="AM356" s="194">
        <v>38.693328978963301</v>
      </c>
      <c r="AN356" s="194">
        <v>15.514547774290616</v>
      </c>
      <c r="AO356" s="194">
        <v>13.709671296692674</v>
      </c>
      <c r="AP356" s="194">
        <v>17.941103075599223</v>
      </c>
    </row>
    <row r="357" spans="1:42" ht="12" customHeight="1">
      <c r="A357" s="189" t="s">
        <v>623</v>
      </c>
      <c r="B357" s="189"/>
      <c r="C357" s="189" t="s">
        <v>312</v>
      </c>
      <c r="D357" s="189" t="s">
        <v>755</v>
      </c>
      <c r="E357" s="189" t="s">
        <v>873</v>
      </c>
      <c r="F357" s="190" t="s">
        <v>724</v>
      </c>
      <c r="G357" s="189" t="s">
        <v>681</v>
      </c>
      <c r="H357" s="197"/>
      <c r="I357" s="195"/>
      <c r="J357" s="195"/>
      <c r="K357" s="192">
        <v>6675391.5500000007</v>
      </c>
      <c r="L357" s="192">
        <v>1676774.58</v>
      </c>
      <c r="M357" s="192">
        <v>19903766.259999994</v>
      </c>
      <c r="N357" s="192">
        <v>10909585.609999996</v>
      </c>
      <c r="O357" s="192">
        <v>328444.61</v>
      </c>
      <c r="P357" s="192">
        <v>6363062.0100000007</v>
      </c>
      <c r="Q357" s="192">
        <v>514178.31000000006</v>
      </c>
      <c r="R357" s="192">
        <v>45857024.619999982</v>
      </c>
      <c r="S357" s="192">
        <v>6147231.6799999997</v>
      </c>
      <c r="T357" s="192">
        <v>1298739.6099999999</v>
      </c>
      <c r="U357" s="192">
        <v>16516504.289999995</v>
      </c>
      <c r="V357" s="192">
        <v>10130344.029999999</v>
      </c>
      <c r="W357" s="192">
        <v>376349.88</v>
      </c>
      <c r="X357" s="192">
        <v>5639939.7999999998</v>
      </c>
      <c r="Y357" s="192">
        <v>443257.59000000008</v>
      </c>
      <c r="Z357" s="192">
        <v>40109109.289999992</v>
      </c>
      <c r="AA357" s="193">
        <v>528159.87000000104</v>
      </c>
      <c r="AB357" s="193">
        <v>378034.9700000002</v>
      </c>
      <c r="AC357" s="193">
        <v>3387261.9699999988</v>
      </c>
      <c r="AD357" s="193">
        <v>779241.57999999635</v>
      </c>
      <c r="AE357" s="193">
        <v>-47905.270000000019</v>
      </c>
      <c r="AF357" s="193">
        <v>723122.21000000089</v>
      </c>
      <c r="AG357" s="193">
        <v>70920.719999999972</v>
      </c>
      <c r="AH357" s="193">
        <v>5747915.3299999908</v>
      </c>
      <c r="AI357" s="194">
        <v>8.591832836207681</v>
      </c>
      <c r="AJ357" s="194">
        <v>29.107834017628846</v>
      </c>
      <c r="AK357" s="194">
        <v>20.508346745326943</v>
      </c>
      <c r="AL357" s="194">
        <v>7.6921531755718311</v>
      </c>
      <c r="AM357" s="194">
        <v>-12.728918632842401</v>
      </c>
      <c r="AN357" s="194">
        <v>12.82145263323557</v>
      </c>
      <c r="AO357" s="194">
        <v>15.999888462146798</v>
      </c>
      <c r="AP357" s="194">
        <v>14.330698017851676</v>
      </c>
    </row>
    <row r="358" spans="1:42" ht="12" customHeight="1">
      <c r="A358" s="189" t="s">
        <v>624</v>
      </c>
      <c r="B358" s="189"/>
      <c r="C358" s="189" t="s">
        <v>313</v>
      </c>
      <c r="D358" s="189" t="s">
        <v>755</v>
      </c>
      <c r="E358" s="189" t="s">
        <v>873</v>
      </c>
      <c r="F358" s="190" t="s">
        <v>724</v>
      </c>
      <c r="G358" s="189" t="s">
        <v>681</v>
      </c>
      <c r="H358" s="197"/>
      <c r="I358" s="195"/>
      <c r="J358" s="195"/>
      <c r="K358" s="192">
        <v>4394256.0999999996</v>
      </c>
      <c r="L358" s="192">
        <v>971205.89999999991</v>
      </c>
      <c r="M358" s="192">
        <v>12392895.900000002</v>
      </c>
      <c r="N358" s="192">
        <v>7129207.2100000009</v>
      </c>
      <c r="O358" s="192">
        <v>145133.99000000002</v>
      </c>
      <c r="P358" s="192">
        <v>4072067.0700000003</v>
      </c>
      <c r="Q358" s="192">
        <v>256294.7</v>
      </c>
      <c r="R358" s="192">
        <v>29104766.170000002</v>
      </c>
      <c r="S358" s="192">
        <v>3556926.04</v>
      </c>
      <c r="T358" s="192">
        <v>913399.96000000008</v>
      </c>
      <c r="U358" s="192">
        <v>10735699.300000001</v>
      </c>
      <c r="V358" s="192">
        <v>6779164.3399999999</v>
      </c>
      <c r="W358" s="192">
        <v>171098.96</v>
      </c>
      <c r="X358" s="192">
        <v>3702580.8900000006</v>
      </c>
      <c r="Y358" s="192">
        <v>241862.59000000003</v>
      </c>
      <c r="Z358" s="192">
        <v>25858869.490000002</v>
      </c>
      <c r="AA358" s="193">
        <v>837330.05999999959</v>
      </c>
      <c r="AB358" s="193">
        <v>57805.939999999828</v>
      </c>
      <c r="AC358" s="193">
        <v>1657196.6000000015</v>
      </c>
      <c r="AD358" s="193">
        <v>350042.87000000104</v>
      </c>
      <c r="AE358" s="193">
        <v>-25964.969999999972</v>
      </c>
      <c r="AF358" s="193">
        <v>369486.1799999997</v>
      </c>
      <c r="AG358" s="193">
        <v>14432.109999999986</v>
      </c>
      <c r="AH358" s="193">
        <v>3245896.6799999997</v>
      </c>
      <c r="AI358" s="194">
        <v>23.540834152401988</v>
      </c>
      <c r="AJ358" s="194">
        <v>6.3286558497331029</v>
      </c>
      <c r="AK358" s="194">
        <v>15.436317222484067</v>
      </c>
      <c r="AL358" s="194">
        <v>5.163510610512815</v>
      </c>
      <c r="AM358" s="194">
        <v>-15.175410768130895</v>
      </c>
      <c r="AN358" s="194">
        <v>9.9791521367680271</v>
      </c>
      <c r="AO358" s="194">
        <v>5.9670699796938358</v>
      </c>
      <c r="AP358" s="194">
        <v>12.552353385963894</v>
      </c>
    </row>
    <row r="359" spans="1:42" ht="12" customHeight="1">
      <c r="A359" s="189" t="s">
        <v>625</v>
      </c>
      <c r="B359" s="189"/>
      <c r="C359" s="189" t="s">
        <v>314</v>
      </c>
      <c r="D359" s="189" t="s">
        <v>755</v>
      </c>
      <c r="E359" s="189" t="s">
        <v>873</v>
      </c>
      <c r="F359" s="190" t="s">
        <v>724</v>
      </c>
      <c r="G359" s="189" t="s">
        <v>681</v>
      </c>
      <c r="H359" s="197"/>
      <c r="I359" s="195"/>
      <c r="J359" s="195"/>
      <c r="K359" s="192">
        <v>4978968.9400000004</v>
      </c>
      <c r="L359" s="192">
        <v>1762250.6500000001</v>
      </c>
      <c r="M359" s="192">
        <v>17192091.329999998</v>
      </c>
      <c r="N359" s="192">
        <v>10615650.52</v>
      </c>
      <c r="O359" s="192">
        <v>207105.52</v>
      </c>
      <c r="P359" s="192">
        <v>5582450.2599999998</v>
      </c>
      <c r="Q359" s="192">
        <v>505707.50000000006</v>
      </c>
      <c r="R359" s="192">
        <v>40338517.219999999</v>
      </c>
      <c r="S359" s="192">
        <v>4427408.07</v>
      </c>
      <c r="T359" s="192">
        <v>1650537.2099999997</v>
      </c>
      <c r="U359" s="192">
        <v>14762028.040000001</v>
      </c>
      <c r="V359" s="192">
        <v>9822245.8200000003</v>
      </c>
      <c r="W359" s="192">
        <v>265984.45</v>
      </c>
      <c r="X359" s="192">
        <v>5325240.9200000009</v>
      </c>
      <c r="Y359" s="192">
        <v>455535.94</v>
      </c>
      <c r="Z359" s="192">
        <v>36253444.509999998</v>
      </c>
      <c r="AA359" s="193">
        <v>551560.87000000011</v>
      </c>
      <c r="AB359" s="193">
        <v>111713.44000000041</v>
      </c>
      <c r="AC359" s="193">
        <v>2430063.2899999972</v>
      </c>
      <c r="AD359" s="193">
        <v>793404.69999999925</v>
      </c>
      <c r="AE359" s="193">
        <v>-58878.930000000022</v>
      </c>
      <c r="AF359" s="193">
        <v>257209.33999999892</v>
      </c>
      <c r="AG359" s="193">
        <v>50171.560000000056</v>
      </c>
      <c r="AH359" s="193">
        <v>4085072.7100000009</v>
      </c>
      <c r="AI359" s="194">
        <v>12.457872897177966</v>
      </c>
      <c r="AJ359" s="194">
        <v>6.7683078771668796</v>
      </c>
      <c r="AK359" s="194">
        <v>16.461581589029397</v>
      </c>
      <c r="AL359" s="194">
        <v>8.0776302542181675</v>
      </c>
      <c r="AM359" s="194">
        <v>-22.136230144281001</v>
      </c>
      <c r="AN359" s="194">
        <v>4.8300038226251534</v>
      </c>
      <c r="AO359" s="194">
        <v>11.013743503970302</v>
      </c>
      <c r="AP359" s="194">
        <v>11.26809539124811</v>
      </c>
    </row>
    <row r="360" spans="1:42" ht="12" customHeight="1">
      <c r="A360" s="189" t="s">
        <v>626</v>
      </c>
      <c r="B360" s="189"/>
      <c r="C360" s="189" t="s">
        <v>315</v>
      </c>
      <c r="D360" s="189" t="s">
        <v>755</v>
      </c>
      <c r="E360" s="189" t="s">
        <v>875</v>
      </c>
      <c r="F360" s="190" t="s">
        <v>724</v>
      </c>
      <c r="G360" s="189" t="s">
        <v>681</v>
      </c>
      <c r="H360" s="197"/>
      <c r="I360" s="195"/>
      <c r="J360" s="195"/>
      <c r="K360" s="192">
        <v>3847269.4499999997</v>
      </c>
      <c r="L360" s="192">
        <v>1268538.2499999998</v>
      </c>
      <c r="M360" s="192">
        <v>12747540.539999997</v>
      </c>
      <c r="N360" s="192">
        <v>7642798.8800000008</v>
      </c>
      <c r="O360" s="192">
        <v>95558.66</v>
      </c>
      <c r="P360" s="192">
        <v>4095217.55</v>
      </c>
      <c r="Q360" s="192">
        <v>134520.78</v>
      </c>
      <c r="R360" s="192">
        <v>29696923.329999998</v>
      </c>
      <c r="S360" s="192">
        <v>3593230.8899999997</v>
      </c>
      <c r="T360" s="192">
        <v>972427.66999999993</v>
      </c>
      <c r="U360" s="192">
        <v>10158359.68</v>
      </c>
      <c r="V360" s="192">
        <v>7156656.5899999999</v>
      </c>
      <c r="W360" s="192">
        <v>130209.38</v>
      </c>
      <c r="X360" s="192">
        <v>3681255.0500000003</v>
      </c>
      <c r="Y360" s="192">
        <v>245637.33000000002</v>
      </c>
      <c r="Z360" s="192">
        <v>25692139.259999998</v>
      </c>
      <c r="AA360" s="193">
        <v>254038.56000000006</v>
      </c>
      <c r="AB360" s="193">
        <v>296110.57999999984</v>
      </c>
      <c r="AC360" s="193">
        <v>2589180.8599999975</v>
      </c>
      <c r="AD360" s="193">
        <v>486142.29000000097</v>
      </c>
      <c r="AE360" s="193">
        <v>-34650.720000000001</v>
      </c>
      <c r="AF360" s="193">
        <v>413962.49999999953</v>
      </c>
      <c r="AG360" s="193">
        <v>-111116.55000000002</v>
      </c>
      <c r="AH360" s="193">
        <v>4004784.0700000003</v>
      </c>
      <c r="AI360" s="194">
        <v>7.0699202967165879</v>
      </c>
      <c r="AJ360" s="194">
        <v>30.450653466082457</v>
      </c>
      <c r="AK360" s="194">
        <v>25.48817861901103</v>
      </c>
      <c r="AL360" s="194">
        <v>6.7928687633173261</v>
      </c>
      <c r="AM360" s="194">
        <v>-26.611539045804534</v>
      </c>
      <c r="AN360" s="194">
        <v>11.245145864044371</v>
      </c>
      <c r="AO360" s="194">
        <v>-45.236019297229788</v>
      </c>
      <c r="AP360" s="194">
        <v>15.587585095473285</v>
      </c>
    </row>
    <row r="361" spans="1:42" ht="12" customHeight="1">
      <c r="A361" s="189" t="s">
        <v>627</v>
      </c>
      <c r="B361" s="189"/>
      <c r="C361" s="189" t="s">
        <v>316</v>
      </c>
      <c r="D361" s="189" t="s">
        <v>755</v>
      </c>
      <c r="E361" s="189" t="s">
        <v>872</v>
      </c>
      <c r="F361" s="190" t="s">
        <v>724</v>
      </c>
      <c r="G361" s="189" t="s">
        <v>681</v>
      </c>
      <c r="H361" s="197"/>
      <c r="I361" s="195"/>
      <c r="J361" s="195"/>
      <c r="K361" s="192">
        <v>2398963.46</v>
      </c>
      <c r="L361" s="192">
        <v>1037769.65</v>
      </c>
      <c r="M361" s="192">
        <v>7717307.4900000021</v>
      </c>
      <c r="N361" s="192">
        <v>4261408.1599999992</v>
      </c>
      <c r="O361" s="192">
        <v>51184.67</v>
      </c>
      <c r="P361" s="192">
        <v>2620336.4499999997</v>
      </c>
      <c r="Q361" s="192">
        <v>183895.56</v>
      </c>
      <c r="R361" s="192">
        <v>18086969.880000003</v>
      </c>
      <c r="S361" s="192">
        <v>2558280.9800000004</v>
      </c>
      <c r="T361" s="192">
        <v>554846.12</v>
      </c>
      <c r="U361" s="192">
        <v>6256633.0800000001</v>
      </c>
      <c r="V361" s="192">
        <v>4200536.4800000004</v>
      </c>
      <c r="W361" s="192">
        <v>79145.079999999987</v>
      </c>
      <c r="X361" s="192">
        <v>2331729.71</v>
      </c>
      <c r="Y361" s="192">
        <v>167564.83000000002</v>
      </c>
      <c r="Z361" s="192">
        <v>15981171.449999999</v>
      </c>
      <c r="AA361" s="193">
        <v>-159317.52000000048</v>
      </c>
      <c r="AB361" s="193">
        <v>482923.53</v>
      </c>
      <c r="AC361" s="193">
        <v>1460674.410000002</v>
      </c>
      <c r="AD361" s="193">
        <v>60871.679999998771</v>
      </c>
      <c r="AE361" s="193">
        <v>-27960.409999999989</v>
      </c>
      <c r="AF361" s="193">
        <v>288606.73999999976</v>
      </c>
      <c r="AG361" s="193">
        <v>16330.729999999981</v>
      </c>
      <c r="AH361" s="193">
        <v>2105798.4300000034</v>
      </c>
      <c r="AI361" s="194">
        <v>-6.2275223576106349</v>
      </c>
      <c r="AJ361" s="194">
        <v>87.037380742610225</v>
      </c>
      <c r="AK361" s="194">
        <v>23.34601360385356</v>
      </c>
      <c r="AL361" s="194">
        <v>1.4491406107250082</v>
      </c>
      <c r="AM361" s="194">
        <v>-35.328045659944998</v>
      </c>
      <c r="AN361" s="194">
        <v>12.377366843260738</v>
      </c>
      <c r="AO361" s="194">
        <v>9.7459174458029061</v>
      </c>
      <c r="AP361" s="194">
        <v>13.176746376749518</v>
      </c>
    </row>
    <row r="362" spans="1:42" ht="12" customHeight="1">
      <c r="A362" s="189" t="s">
        <v>628</v>
      </c>
      <c r="B362" s="189"/>
      <c r="C362" s="189" t="s">
        <v>317</v>
      </c>
      <c r="D362" s="189" t="s">
        <v>755</v>
      </c>
      <c r="E362" s="189" t="s">
        <v>875</v>
      </c>
      <c r="F362" s="190" t="s">
        <v>724</v>
      </c>
      <c r="G362" s="189" t="s">
        <v>681</v>
      </c>
      <c r="H362" s="197"/>
      <c r="I362" s="195"/>
      <c r="J362" s="195"/>
      <c r="K362" s="192">
        <v>2740793.42</v>
      </c>
      <c r="L362" s="192">
        <v>917473.08000000007</v>
      </c>
      <c r="M362" s="192">
        <v>8528068.2199999988</v>
      </c>
      <c r="N362" s="192">
        <v>4881369.45</v>
      </c>
      <c r="O362" s="192">
        <v>84856.19</v>
      </c>
      <c r="P362" s="192">
        <v>2804444.4000000008</v>
      </c>
      <c r="Q362" s="192">
        <v>157609.80000000002</v>
      </c>
      <c r="R362" s="192">
        <v>19957004.760000002</v>
      </c>
      <c r="S362" s="192">
        <v>2409137.9999999995</v>
      </c>
      <c r="T362" s="192">
        <v>482330.92000000004</v>
      </c>
      <c r="U362" s="192">
        <v>6652965.370000001</v>
      </c>
      <c r="V362" s="192">
        <v>4338889.83</v>
      </c>
      <c r="W362" s="192">
        <v>82656.609999999986</v>
      </c>
      <c r="X362" s="192">
        <v>2433735.0699999994</v>
      </c>
      <c r="Y362" s="192">
        <v>134773.00999999998</v>
      </c>
      <c r="Z362" s="192">
        <v>16399715.800000001</v>
      </c>
      <c r="AA362" s="193">
        <v>331655.42000000039</v>
      </c>
      <c r="AB362" s="193">
        <v>435142.16000000003</v>
      </c>
      <c r="AC362" s="193">
        <v>1875102.8499999978</v>
      </c>
      <c r="AD362" s="193">
        <v>542479.62000000011</v>
      </c>
      <c r="AE362" s="193">
        <v>2199.5800000000163</v>
      </c>
      <c r="AF362" s="193">
        <v>370709.33000000147</v>
      </c>
      <c r="AG362" s="193">
        <v>22836.790000000037</v>
      </c>
      <c r="AH362" s="193">
        <v>3557288.9600000009</v>
      </c>
      <c r="AI362" s="194">
        <v>13.766559657437657</v>
      </c>
      <c r="AJ362" s="194">
        <v>90.216517738485436</v>
      </c>
      <c r="AK362" s="194">
        <v>28.184467312205435</v>
      </c>
      <c r="AL362" s="194">
        <v>12.502728606962583</v>
      </c>
      <c r="AM362" s="194">
        <v>2.6611059901924561</v>
      </c>
      <c r="AN362" s="194">
        <v>15.232115219509145</v>
      </c>
      <c r="AO362" s="194">
        <v>16.944631569777986</v>
      </c>
      <c r="AP362" s="194">
        <v>21.691162233433342</v>
      </c>
    </row>
    <row r="363" spans="1:42" ht="12" customHeight="1">
      <c r="A363" s="189" t="s">
        <v>629</v>
      </c>
      <c r="B363" s="189"/>
      <c r="C363" s="189" t="s">
        <v>318</v>
      </c>
      <c r="D363" s="189" t="s">
        <v>756</v>
      </c>
      <c r="E363" s="189" t="s">
        <v>877</v>
      </c>
      <c r="F363" s="190" t="s">
        <v>724</v>
      </c>
      <c r="G363" s="189" t="s">
        <v>681</v>
      </c>
      <c r="H363" s="197"/>
      <c r="I363" s="195"/>
      <c r="J363" s="195"/>
      <c r="K363" s="192" t="s">
        <v>987</v>
      </c>
      <c r="L363" s="192">
        <v>1671504</v>
      </c>
      <c r="M363" s="192">
        <v>18716762</v>
      </c>
      <c r="N363" s="192">
        <v>13061903</v>
      </c>
      <c r="O363" s="192">
        <v>305916</v>
      </c>
      <c r="P363" s="192">
        <v>5518282</v>
      </c>
      <c r="Q363" s="192">
        <v>879500</v>
      </c>
      <c r="R363" s="192" t="s">
        <v>987</v>
      </c>
      <c r="S363" s="192" t="s">
        <v>987</v>
      </c>
      <c r="T363" s="192">
        <v>1855219</v>
      </c>
      <c r="U363" s="192">
        <v>14915440</v>
      </c>
      <c r="V363" s="192">
        <v>12691841</v>
      </c>
      <c r="W363" s="192">
        <v>288106</v>
      </c>
      <c r="X363" s="192">
        <v>5188866</v>
      </c>
      <c r="Y363" s="192">
        <v>603533</v>
      </c>
      <c r="Z363" s="192" t="s">
        <v>987</v>
      </c>
      <c r="AA363" s="193" t="s">
        <v>985</v>
      </c>
      <c r="AB363" s="193">
        <v>-183715</v>
      </c>
      <c r="AC363" s="193">
        <v>3801322</v>
      </c>
      <c r="AD363" s="193">
        <v>370062</v>
      </c>
      <c r="AE363" s="193">
        <v>17810</v>
      </c>
      <c r="AF363" s="193">
        <v>329416</v>
      </c>
      <c r="AG363" s="193">
        <v>275967</v>
      </c>
      <c r="AH363" s="193" t="s">
        <v>985</v>
      </c>
      <c r="AI363" s="194" t="s">
        <v>985</v>
      </c>
      <c r="AJ363" s="194">
        <v>-9.9026044903593604</v>
      </c>
      <c r="AK363" s="194">
        <v>25.485818722075916</v>
      </c>
      <c r="AL363" s="194">
        <v>2.9157472111413938</v>
      </c>
      <c r="AM363" s="194">
        <v>6.1817525494088983</v>
      </c>
      <c r="AN363" s="194">
        <v>6.3485162268595881</v>
      </c>
      <c r="AO363" s="194">
        <v>45.725254459988101</v>
      </c>
      <c r="AP363" s="194" t="s">
        <v>985</v>
      </c>
    </row>
    <row r="364" spans="1:42" ht="12" customHeight="1">
      <c r="A364" s="189" t="s">
        <v>630</v>
      </c>
      <c r="B364" s="189"/>
      <c r="C364" s="189" t="s">
        <v>319</v>
      </c>
      <c r="D364" s="189" t="s">
        <v>755</v>
      </c>
      <c r="E364" s="189" t="s">
        <v>872</v>
      </c>
      <c r="F364" s="190" t="s">
        <v>724</v>
      </c>
      <c r="G364" s="189" t="s">
        <v>681</v>
      </c>
      <c r="H364" s="197"/>
      <c r="I364" s="195"/>
      <c r="J364" s="195"/>
      <c r="K364" s="192">
        <v>3291460.1300000004</v>
      </c>
      <c r="L364" s="192">
        <v>782052.65999999992</v>
      </c>
      <c r="M364" s="192">
        <v>8764542.4800000004</v>
      </c>
      <c r="N364" s="192">
        <v>5353446.4400000004</v>
      </c>
      <c r="O364" s="192">
        <v>118228.5</v>
      </c>
      <c r="P364" s="192">
        <v>2936274.49</v>
      </c>
      <c r="Q364" s="192">
        <v>233691.92</v>
      </c>
      <c r="R364" s="192">
        <v>21246004.700000003</v>
      </c>
      <c r="S364" s="192">
        <v>2993749.32</v>
      </c>
      <c r="T364" s="192">
        <v>683612.7699999999</v>
      </c>
      <c r="U364" s="192">
        <v>7692547.0999999996</v>
      </c>
      <c r="V364" s="192">
        <v>5281252.0999999987</v>
      </c>
      <c r="W364" s="192">
        <v>161509.97</v>
      </c>
      <c r="X364" s="192">
        <v>2786306.1300000004</v>
      </c>
      <c r="Y364" s="192">
        <v>229132.69999999998</v>
      </c>
      <c r="Z364" s="192">
        <v>19598977.389999997</v>
      </c>
      <c r="AA364" s="193">
        <v>297710.81000000052</v>
      </c>
      <c r="AB364" s="193">
        <v>98439.890000000014</v>
      </c>
      <c r="AC364" s="193">
        <v>1071995.3800000008</v>
      </c>
      <c r="AD364" s="193">
        <v>72194.340000001714</v>
      </c>
      <c r="AE364" s="193">
        <v>-43281.47</v>
      </c>
      <c r="AF364" s="193">
        <v>149968.35999999987</v>
      </c>
      <c r="AG364" s="193">
        <v>4559.2200000000303</v>
      </c>
      <c r="AH364" s="193">
        <v>1647027.3100000061</v>
      </c>
      <c r="AI364" s="194">
        <v>9.9444134487519662</v>
      </c>
      <c r="AJ364" s="194">
        <v>14.39994896525997</v>
      </c>
      <c r="AK364" s="194">
        <v>13.935506225239763</v>
      </c>
      <c r="AL364" s="194">
        <v>1.3669928765567114</v>
      </c>
      <c r="AM364" s="194">
        <v>-26.798017484617205</v>
      </c>
      <c r="AN364" s="194">
        <v>5.382336075182085</v>
      </c>
      <c r="AO364" s="194">
        <v>1.98977273867939</v>
      </c>
      <c r="AP364" s="194">
        <v>8.4036390125148586</v>
      </c>
    </row>
    <row r="365" spans="1:42" ht="12" customHeight="1">
      <c r="A365" s="189" t="s">
        <v>631</v>
      </c>
      <c r="B365" s="189"/>
      <c r="C365" s="189" t="s">
        <v>320</v>
      </c>
      <c r="D365" s="189" t="s">
        <v>755</v>
      </c>
      <c r="E365" s="189" t="s">
        <v>876</v>
      </c>
      <c r="F365" s="190" t="s">
        <v>724</v>
      </c>
      <c r="G365" s="189" t="s">
        <v>681</v>
      </c>
      <c r="H365" s="197"/>
      <c r="I365" s="195"/>
      <c r="J365" s="195"/>
      <c r="K365" s="192">
        <v>6832084.6200000001</v>
      </c>
      <c r="L365" s="192">
        <v>2424557.6</v>
      </c>
      <c r="M365" s="192">
        <v>21151087.369999994</v>
      </c>
      <c r="N365" s="192">
        <v>12347988.200000001</v>
      </c>
      <c r="O365" s="192">
        <v>161155.66</v>
      </c>
      <c r="P365" s="192">
        <v>6825644.0399999991</v>
      </c>
      <c r="Q365" s="192">
        <v>759525.03</v>
      </c>
      <c r="R365" s="192">
        <v>49742517.489999995</v>
      </c>
      <c r="S365" s="192">
        <v>6710198.6100000003</v>
      </c>
      <c r="T365" s="192">
        <v>1992134.22</v>
      </c>
      <c r="U365" s="192">
        <v>17878317.93</v>
      </c>
      <c r="V365" s="192">
        <v>11005940.810000004</v>
      </c>
      <c r="W365" s="192">
        <v>201030.6</v>
      </c>
      <c r="X365" s="192">
        <v>6165581.3499999987</v>
      </c>
      <c r="Y365" s="192">
        <v>635594.16999999993</v>
      </c>
      <c r="Z365" s="192">
        <v>43953203.520000003</v>
      </c>
      <c r="AA365" s="193">
        <v>121886.00999999978</v>
      </c>
      <c r="AB365" s="193">
        <v>432423.38000000012</v>
      </c>
      <c r="AC365" s="193">
        <v>3272769.4399999939</v>
      </c>
      <c r="AD365" s="193">
        <v>1342047.3899999969</v>
      </c>
      <c r="AE365" s="193">
        <v>-39874.94</v>
      </c>
      <c r="AF365" s="193">
        <v>660062.69000000041</v>
      </c>
      <c r="AG365" s="193">
        <v>123930.8600000001</v>
      </c>
      <c r="AH365" s="193">
        <v>5789313.9699999914</v>
      </c>
      <c r="AI365" s="194">
        <v>1.8164292457507418</v>
      </c>
      <c r="AJ365" s="194">
        <v>21.706538427917778</v>
      </c>
      <c r="AK365" s="194">
        <v>18.305801769573936</v>
      </c>
      <c r="AL365" s="194">
        <v>12.193845243839689</v>
      </c>
      <c r="AM365" s="194">
        <v>-19.835258910832483</v>
      </c>
      <c r="AN365" s="194">
        <v>10.705603454571246</v>
      </c>
      <c r="AO365" s="194">
        <v>19.498426173418192</v>
      </c>
      <c r="AP365" s="194">
        <v>13.171540425638561</v>
      </c>
    </row>
    <row r="366" spans="1:42" ht="12" customHeight="1">
      <c r="A366" s="189" t="s">
        <v>632</v>
      </c>
      <c r="B366" s="189"/>
      <c r="C366" s="189" t="s">
        <v>321</v>
      </c>
      <c r="D366" s="189" t="s">
        <v>755</v>
      </c>
      <c r="E366" s="189" t="s">
        <v>875</v>
      </c>
      <c r="F366" s="190" t="s">
        <v>724</v>
      </c>
      <c r="G366" s="189" t="s">
        <v>681</v>
      </c>
      <c r="H366" s="197"/>
      <c r="I366" s="195"/>
      <c r="J366" s="195"/>
      <c r="K366" s="192">
        <v>2763472.86</v>
      </c>
      <c r="L366" s="192">
        <v>1021872.6</v>
      </c>
      <c r="M366" s="192">
        <v>8259782.1399999987</v>
      </c>
      <c r="N366" s="192">
        <v>4240282.1100000003</v>
      </c>
      <c r="O366" s="192">
        <v>59154.93</v>
      </c>
      <c r="P366" s="192">
        <v>2701197.6</v>
      </c>
      <c r="Q366" s="192">
        <v>266727.75</v>
      </c>
      <c r="R366" s="192">
        <v>19045762.239999998</v>
      </c>
      <c r="S366" s="192">
        <v>2693046.73</v>
      </c>
      <c r="T366" s="192">
        <v>357864.29</v>
      </c>
      <c r="U366" s="192">
        <v>7507514.4899999993</v>
      </c>
      <c r="V366" s="192">
        <v>4022058.149999999</v>
      </c>
      <c r="W366" s="192">
        <v>66951.009999999995</v>
      </c>
      <c r="X366" s="192">
        <v>2564088.1800000002</v>
      </c>
      <c r="Y366" s="192">
        <v>145132.26999999999</v>
      </c>
      <c r="Z366" s="192">
        <v>17211522.849999998</v>
      </c>
      <c r="AA366" s="193">
        <v>70426.129999999888</v>
      </c>
      <c r="AB366" s="193">
        <v>664008.31000000006</v>
      </c>
      <c r="AC366" s="193">
        <v>752267.64999999944</v>
      </c>
      <c r="AD366" s="193">
        <v>218223.96000000136</v>
      </c>
      <c r="AE366" s="193">
        <v>-7796.0799999999945</v>
      </c>
      <c r="AF366" s="193">
        <v>137109.41999999993</v>
      </c>
      <c r="AG366" s="193">
        <v>121595.48000000001</v>
      </c>
      <c r="AH366" s="193">
        <v>1834239.3900000006</v>
      </c>
      <c r="AI366" s="194">
        <v>2.6151098388107021</v>
      </c>
      <c r="AJ366" s="194">
        <v>185.54751858588631</v>
      </c>
      <c r="AK366" s="194">
        <v>10.020195778536547</v>
      </c>
      <c r="AL366" s="194">
        <v>5.4256788902965365</v>
      </c>
      <c r="AM366" s="194">
        <v>-11.644454654231497</v>
      </c>
      <c r="AN366" s="194">
        <v>5.3472973772688244</v>
      </c>
      <c r="AO366" s="194">
        <v>83.782524727271209</v>
      </c>
      <c r="AP366" s="194">
        <v>10.657042993729057</v>
      </c>
    </row>
    <row r="367" spans="1:42" ht="12" customHeight="1">
      <c r="A367" s="189" t="s">
        <v>633</v>
      </c>
      <c r="B367" s="189"/>
      <c r="C367" s="189" t="s">
        <v>324</v>
      </c>
      <c r="D367" s="189" t="s">
        <v>755</v>
      </c>
      <c r="E367" s="189" t="s">
        <v>872</v>
      </c>
      <c r="F367" s="190" t="s">
        <v>724</v>
      </c>
      <c r="G367" s="189" t="s">
        <v>681</v>
      </c>
      <c r="H367" s="197"/>
      <c r="I367" s="195"/>
      <c r="J367" s="195"/>
      <c r="K367" s="192">
        <v>2931870.7</v>
      </c>
      <c r="L367" s="192">
        <v>614145.66999999981</v>
      </c>
      <c r="M367" s="192">
        <v>7794773.04</v>
      </c>
      <c r="N367" s="192">
        <v>4842650.55</v>
      </c>
      <c r="O367" s="192">
        <v>47949.749999999993</v>
      </c>
      <c r="P367" s="192">
        <v>2744305.83</v>
      </c>
      <c r="Q367" s="192">
        <v>205994.27</v>
      </c>
      <c r="R367" s="192">
        <v>18975695.539999999</v>
      </c>
      <c r="S367" s="192">
        <v>2532969.9600000004</v>
      </c>
      <c r="T367" s="192">
        <v>486278.66</v>
      </c>
      <c r="U367" s="192">
        <v>6907085.9900000012</v>
      </c>
      <c r="V367" s="192">
        <v>4812960.24</v>
      </c>
      <c r="W367" s="192">
        <v>73932.169999999984</v>
      </c>
      <c r="X367" s="192">
        <v>2550117.0800000005</v>
      </c>
      <c r="Y367" s="192">
        <v>197273.02999999997</v>
      </c>
      <c r="Z367" s="192">
        <v>17363344.100000001</v>
      </c>
      <c r="AA367" s="193">
        <v>398900.73999999976</v>
      </c>
      <c r="AB367" s="193">
        <v>127867.00999999983</v>
      </c>
      <c r="AC367" s="193">
        <v>887687.04999999888</v>
      </c>
      <c r="AD367" s="193">
        <v>29690.30999999959</v>
      </c>
      <c r="AE367" s="193">
        <v>-25982.419999999991</v>
      </c>
      <c r="AF367" s="193">
        <v>194188.74999999953</v>
      </c>
      <c r="AG367" s="193">
        <v>8721.2400000000198</v>
      </c>
      <c r="AH367" s="193">
        <v>1612351.4399999976</v>
      </c>
      <c r="AI367" s="194">
        <v>15.748340734368588</v>
      </c>
      <c r="AJ367" s="194">
        <v>26.295007475754712</v>
      </c>
      <c r="AK367" s="194">
        <v>12.851831456640065</v>
      </c>
      <c r="AL367" s="194">
        <v>0.61688251137515293</v>
      </c>
      <c r="AM367" s="194">
        <v>-35.143591754441935</v>
      </c>
      <c r="AN367" s="194">
        <v>7.6148954698189577</v>
      </c>
      <c r="AO367" s="194">
        <v>4.420898284980983</v>
      </c>
      <c r="AP367" s="194">
        <v>9.2859499340337184</v>
      </c>
    </row>
    <row r="368" spans="1:42" ht="12" customHeight="1">
      <c r="A368" s="189" t="s">
        <v>634</v>
      </c>
      <c r="B368" s="189"/>
      <c r="C368" s="189" t="s">
        <v>325</v>
      </c>
      <c r="D368" s="189" t="s">
        <v>755</v>
      </c>
      <c r="E368" s="189" t="s">
        <v>877</v>
      </c>
      <c r="F368" s="190" t="s">
        <v>724</v>
      </c>
      <c r="G368" s="189" t="s">
        <v>681</v>
      </c>
      <c r="H368" s="197"/>
      <c r="I368" s="195"/>
      <c r="J368" s="195"/>
      <c r="K368" s="192">
        <v>8998844.4900000002</v>
      </c>
      <c r="L368" s="192">
        <v>2302507.5099999998</v>
      </c>
      <c r="M368" s="192">
        <v>22454263.569999997</v>
      </c>
      <c r="N368" s="192">
        <v>18000669.059999995</v>
      </c>
      <c r="O368" s="192">
        <v>295945.06</v>
      </c>
      <c r="P368" s="192">
        <v>7741556.2200000016</v>
      </c>
      <c r="Q368" s="192">
        <v>796501.63</v>
      </c>
      <c r="R368" s="192">
        <v>59793785.909999989</v>
      </c>
      <c r="S368" s="192">
        <v>8407954.2899999991</v>
      </c>
      <c r="T368" s="192">
        <v>2276419.52</v>
      </c>
      <c r="U368" s="192">
        <v>19528336.860000003</v>
      </c>
      <c r="V368" s="192">
        <v>17430299.580000002</v>
      </c>
      <c r="W368" s="192">
        <v>368239.39999999997</v>
      </c>
      <c r="X368" s="192">
        <v>7294162.3600000003</v>
      </c>
      <c r="Y368" s="192">
        <v>798989.55000000016</v>
      </c>
      <c r="Z368" s="192">
        <v>55305412.009999998</v>
      </c>
      <c r="AA368" s="193">
        <v>590890.20000000112</v>
      </c>
      <c r="AB368" s="193">
        <v>26087.989999999758</v>
      </c>
      <c r="AC368" s="193">
        <v>2925926.7099999934</v>
      </c>
      <c r="AD368" s="193">
        <v>570369.479999993</v>
      </c>
      <c r="AE368" s="193">
        <v>-72294.339999999967</v>
      </c>
      <c r="AF368" s="193">
        <v>447393.86000000127</v>
      </c>
      <c r="AG368" s="193">
        <v>-2487.9200000001583</v>
      </c>
      <c r="AH368" s="193">
        <v>4488373.8999999911</v>
      </c>
      <c r="AI368" s="194">
        <v>7.0277522881252619</v>
      </c>
      <c r="AJ368" s="194">
        <v>1.1460097653704779</v>
      </c>
      <c r="AK368" s="194">
        <v>14.98297950806648</v>
      </c>
      <c r="AL368" s="194">
        <v>3.2722873028209474</v>
      </c>
      <c r="AM368" s="194">
        <v>-19.632429338088205</v>
      </c>
      <c r="AN368" s="194">
        <v>6.1335879011061838</v>
      </c>
      <c r="AO368" s="194">
        <v>-0.31138329656503738</v>
      </c>
      <c r="AP368" s="194">
        <v>8.1156142534268252</v>
      </c>
    </row>
    <row r="369" spans="1:42" ht="12" customHeight="1">
      <c r="A369" s="189" t="s">
        <v>635</v>
      </c>
      <c r="B369" s="189"/>
      <c r="C369" s="189" t="s">
        <v>326</v>
      </c>
      <c r="D369" s="189" t="s">
        <v>756</v>
      </c>
      <c r="E369" s="189" t="s">
        <v>872</v>
      </c>
      <c r="F369" s="190" t="s">
        <v>724</v>
      </c>
      <c r="G369" s="189" t="s">
        <v>681</v>
      </c>
      <c r="H369" s="197"/>
      <c r="I369" s="195"/>
      <c r="J369" s="195"/>
      <c r="K369" s="192">
        <v>4801147</v>
      </c>
      <c r="L369" s="192">
        <v>1085279</v>
      </c>
      <c r="M369" s="192">
        <v>14802626</v>
      </c>
      <c r="N369" s="192">
        <v>9686417</v>
      </c>
      <c r="O369" s="192">
        <v>299195</v>
      </c>
      <c r="P369" s="192">
        <v>4902834</v>
      </c>
      <c r="Q369" s="192">
        <v>445304</v>
      </c>
      <c r="R369" s="192">
        <v>35577498</v>
      </c>
      <c r="S369" s="192">
        <v>4466406</v>
      </c>
      <c r="T369" s="192">
        <v>1068576</v>
      </c>
      <c r="U369" s="192">
        <v>12124708</v>
      </c>
      <c r="V369" s="192">
        <v>9255332</v>
      </c>
      <c r="W369" s="192">
        <v>279221</v>
      </c>
      <c r="X369" s="192">
        <v>4415421</v>
      </c>
      <c r="Y369" s="192">
        <v>394038</v>
      </c>
      <c r="Z369" s="192">
        <v>31609664</v>
      </c>
      <c r="AA369" s="193">
        <v>334741</v>
      </c>
      <c r="AB369" s="193">
        <v>16703</v>
      </c>
      <c r="AC369" s="193">
        <v>2677918</v>
      </c>
      <c r="AD369" s="193">
        <v>431085</v>
      </c>
      <c r="AE369" s="193">
        <v>19974</v>
      </c>
      <c r="AF369" s="193">
        <v>487413</v>
      </c>
      <c r="AG369" s="193">
        <v>51266</v>
      </c>
      <c r="AH369" s="193">
        <v>3967834</v>
      </c>
      <c r="AI369" s="194">
        <v>7.4946388662383141</v>
      </c>
      <c r="AJ369" s="194">
        <v>1.5631082861677599</v>
      </c>
      <c r="AK369" s="194">
        <v>22.08645354593282</v>
      </c>
      <c r="AL369" s="194">
        <v>4.6576935327657614</v>
      </c>
      <c r="AM369" s="194">
        <v>7.1534734135326499</v>
      </c>
      <c r="AN369" s="194">
        <v>11.038879418293297</v>
      </c>
      <c r="AO369" s="194">
        <v>13.010420314791974</v>
      </c>
      <c r="AP369" s="194">
        <v>12.552597838433208</v>
      </c>
    </row>
    <row r="370" spans="1:42" ht="12" customHeight="1">
      <c r="A370" s="189" t="s">
        <v>636</v>
      </c>
      <c r="B370" s="189"/>
      <c r="C370" s="189" t="s">
        <v>327</v>
      </c>
      <c r="D370" s="189" t="s">
        <v>755</v>
      </c>
      <c r="E370" s="189" t="s">
        <v>872</v>
      </c>
      <c r="F370" s="190" t="s">
        <v>724</v>
      </c>
      <c r="G370" s="189" t="s">
        <v>681</v>
      </c>
      <c r="H370" s="197"/>
      <c r="I370" s="195"/>
      <c r="J370" s="195"/>
      <c r="K370" s="192">
        <v>3338445.3700000006</v>
      </c>
      <c r="L370" s="192">
        <v>1218300.5699999998</v>
      </c>
      <c r="M370" s="192">
        <v>10822364.900000004</v>
      </c>
      <c r="N370" s="192">
        <v>6328507.46</v>
      </c>
      <c r="O370" s="192">
        <v>185628.27000000002</v>
      </c>
      <c r="P370" s="192">
        <v>3536929.7100000004</v>
      </c>
      <c r="Q370" s="192">
        <v>276582.34999999998</v>
      </c>
      <c r="R370" s="192">
        <v>25430176.280000005</v>
      </c>
      <c r="S370" s="192">
        <v>3054671.87</v>
      </c>
      <c r="T370" s="192">
        <v>908298.74000000011</v>
      </c>
      <c r="U370" s="192">
        <v>8814777.1199999992</v>
      </c>
      <c r="V370" s="192">
        <v>6063566.5699999994</v>
      </c>
      <c r="W370" s="192">
        <v>189340.15</v>
      </c>
      <c r="X370" s="192">
        <v>3178088.1499999994</v>
      </c>
      <c r="Y370" s="192">
        <v>213317.19</v>
      </c>
      <c r="Z370" s="192">
        <v>22208742.599999998</v>
      </c>
      <c r="AA370" s="193">
        <v>283773.50000000047</v>
      </c>
      <c r="AB370" s="193">
        <v>310001.82999999973</v>
      </c>
      <c r="AC370" s="193">
        <v>2007587.7800000049</v>
      </c>
      <c r="AD370" s="193">
        <v>264940.8900000006</v>
      </c>
      <c r="AE370" s="193">
        <v>-3711.8799999999756</v>
      </c>
      <c r="AF370" s="193">
        <v>358841.56000000099</v>
      </c>
      <c r="AG370" s="193">
        <v>63265.159999999974</v>
      </c>
      <c r="AH370" s="193">
        <v>3221433.6800000072</v>
      </c>
      <c r="AI370" s="194">
        <v>9.2898194004713339</v>
      </c>
      <c r="AJ370" s="194">
        <v>34.129941653337504</v>
      </c>
      <c r="AK370" s="194">
        <v>22.775252881266329</v>
      </c>
      <c r="AL370" s="194">
        <v>4.369390307526559</v>
      </c>
      <c r="AM370" s="194">
        <v>-1.9604294176380317</v>
      </c>
      <c r="AN370" s="194">
        <v>11.291114124697927</v>
      </c>
      <c r="AO370" s="194">
        <v>29.65778801042709</v>
      </c>
      <c r="AP370" s="194">
        <v>14.505250198180997</v>
      </c>
    </row>
    <row r="371" spans="1:42" ht="12" customHeight="1">
      <c r="A371" s="189" t="s">
        <v>637</v>
      </c>
      <c r="B371" s="189"/>
      <c r="C371" s="189" t="s">
        <v>328</v>
      </c>
      <c r="D371" s="189" t="s">
        <v>755</v>
      </c>
      <c r="E371" s="189" t="s">
        <v>872</v>
      </c>
      <c r="F371" s="190" t="s">
        <v>724</v>
      </c>
      <c r="G371" s="189" t="s">
        <v>681</v>
      </c>
      <c r="H371" s="197"/>
      <c r="I371" s="195"/>
      <c r="J371" s="195"/>
      <c r="K371" s="192">
        <v>3150356.69</v>
      </c>
      <c r="L371" s="192">
        <v>1725976.21</v>
      </c>
      <c r="M371" s="192">
        <v>12550595.619999999</v>
      </c>
      <c r="N371" s="192">
        <v>7605095.629999999</v>
      </c>
      <c r="O371" s="192">
        <v>100257.84</v>
      </c>
      <c r="P371" s="192">
        <v>4033665.4299999992</v>
      </c>
      <c r="Q371" s="192">
        <v>475702.9</v>
      </c>
      <c r="R371" s="192">
        <v>29165947.419999998</v>
      </c>
      <c r="S371" s="192">
        <v>2844097.2</v>
      </c>
      <c r="T371" s="192">
        <v>1117551.3299999998</v>
      </c>
      <c r="U371" s="192">
        <v>10638384.789999997</v>
      </c>
      <c r="V371" s="192">
        <v>7081135.5299999993</v>
      </c>
      <c r="W371" s="192">
        <v>102155.02</v>
      </c>
      <c r="X371" s="192">
        <v>3693250.53</v>
      </c>
      <c r="Y371" s="192">
        <v>426777.27</v>
      </c>
      <c r="Z371" s="192">
        <v>25476574.399999995</v>
      </c>
      <c r="AA371" s="193">
        <v>306259.48999999976</v>
      </c>
      <c r="AB371" s="193">
        <v>608424.88000000012</v>
      </c>
      <c r="AC371" s="193">
        <v>1912210.8300000019</v>
      </c>
      <c r="AD371" s="193">
        <v>523960.09999999963</v>
      </c>
      <c r="AE371" s="193">
        <v>-1897.1800000000076</v>
      </c>
      <c r="AF371" s="193">
        <v>340414.89999999944</v>
      </c>
      <c r="AG371" s="193">
        <v>48925.630000000005</v>
      </c>
      <c r="AH371" s="193">
        <v>3689373.0200000033</v>
      </c>
      <c r="AI371" s="194">
        <v>10.768249763053097</v>
      </c>
      <c r="AJ371" s="194">
        <v>54.442678708994976</v>
      </c>
      <c r="AK371" s="194">
        <v>17.974634944559121</v>
      </c>
      <c r="AL371" s="194">
        <v>7.39937963028932</v>
      </c>
      <c r="AM371" s="194">
        <v>-1.8571578763334464</v>
      </c>
      <c r="AN371" s="194">
        <v>9.2172165747986625</v>
      </c>
      <c r="AO371" s="194">
        <v>11.463972764997536</v>
      </c>
      <c r="AP371" s="194">
        <v>14.481432872702085</v>
      </c>
    </row>
    <row r="372" spans="1:42" ht="12" customHeight="1">
      <c r="A372" s="189" t="s">
        <v>638</v>
      </c>
      <c r="B372" s="189"/>
      <c r="C372" s="189" t="s">
        <v>329</v>
      </c>
      <c r="D372" s="189" t="s">
        <v>755</v>
      </c>
      <c r="E372" s="189" t="s">
        <v>877</v>
      </c>
      <c r="F372" s="190" t="s">
        <v>724</v>
      </c>
      <c r="G372" s="189" t="s">
        <v>681</v>
      </c>
      <c r="H372" s="197"/>
      <c r="I372" s="195"/>
      <c r="J372" s="195"/>
      <c r="K372" s="192">
        <v>23895690.120000005</v>
      </c>
      <c r="L372" s="192">
        <v>10373934.26</v>
      </c>
      <c r="M372" s="192">
        <v>72786623.62999998</v>
      </c>
      <c r="N372" s="192">
        <v>61053786.720000006</v>
      </c>
      <c r="O372" s="192">
        <v>939332.74</v>
      </c>
      <c r="P372" s="192">
        <v>24161134.849999994</v>
      </c>
      <c r="Q372" s="192">
        <v>2487013.2800000003</v>
      </c>
      <c r="R372" s="192">
        <v>193210502.31999999</v>
      </c>
      <c r="S372" s="192">
        <v>22512511.469999999</v>
      </c>
      <c r="T372" s="192">
        <v>10740940.269999996</v>
      </c>
      <c r="U372" s="192">
        <v>62867445.410000019</v>
      </c>
      <c r="V372" s="192">
        <v>56127401.670000002</v>
      </c>
      <c r="W372" s="192">
        <v>1024456.9</v>
      </c>
      <c r="X372" s="192">
        <v>22562004.429999996</v>
      </c>
      <c r="Y372" s="192">
        <v>2202085.4900000002</v>
      </c>
      <c r="Z372" s="192">
        <v>175834760.15000001</v>
      </c>
      <c r="AA372" s="193">
        <v>1383178.650000006</v>
      </c>
      <c r="AB372" s="193">
        <v>-367006.00999999605</v>
      </c>
      <c r="AC372" s="193">
        <v>9919178.2199999616</v>
      </c>
      <c r="AD372" s="193">
        <v>4926385.0500000045</v>
      </c>
      <c r="AE372" s="193">
        <v>-85124.160000000033</v>
      </c>
      <c r="AF372" s="193">
        <v>1599130.4199999981</v>
      </c>
      <c r="AG372" s="193">
        <v>284927.79000000004</v>
      </c>
      <c r="AH372" s="193">
        <v>17375742.169999987</v>
      </c>
      <c r="AI372" s="194">
        <v>6.1440441766935656</v>
      </c>
      <c r="AJ372" s="194">
        <v>-3.4168890318202672</v>
      </c>
      <c r="AK372" s="194">
        <v>15.77792473562504</v>
      </c>
      <c r="AL372" s="194">
        <v>8.7771478875230908</v>
      </c>
      <c r="AM372" s="194">
        <v>-8.3091987569218411</v>
      </c>
      <c r="AN372" s="194">
        <v>7.0877143250343666</v>
      </c>
      <c r="AO372" s="194">
        <v>12.938997658987345</v>
      </c>
      <c r="AP372" s="194">
        <v>9.8818584875807254</v>
      </c>
    </row>
    <row r="373" spans="1:42" ht="12" customHeight="1">
      <c r="A373" s="189" t="s">
        <v>639</v>
      </c>
      <c r="B373" s="189"/>
      <c r="C373" s="189" t="s">
        <v>330</v>
      </c>
      <c r="D373" s="189" t="s">
        <v>755</v>
      </c>
      <c r="E373" s="189" t="s">
        <v>872</v>
      </c>
      <c r="F373" s="190" t="s">
        <v>724</v>
      </c>
      <c r="G373" s="189" t="s">
        <v>681</v>
      </c>
      <c r="H373" s="197"/>
      <c r="I373" s="195"/>
      <c r="J373" s="195"/>
      <c r="K373" s="192">
        <v>7365444.4299999997</v>
      </c>
      <c r="L373" s="192">
        <v>4601198</v>
      </c>
      <c r="M373" s="192">
        <v>27973199.150000006</v>
      </c>
      <c r="N373" s="192">
        <v>21056573.520000003</v>
      </c>
      <c r="O373" s="192">
        <v>377256.39999999997</v>
      </c>
      <c r="P373" s="192">
        <v>9246312.629999999</v>
      </c>
      <c r="Q373" s="192">
        <v>1109759.57</v>
      </c>
      <c r="R373" s="192">
        <v>70619984.13000001</v>
      </c>
      <c r="S373" s="192">
        <v>6717579.7499999981</v>
      </c>
      <c r="T373" s="192">
        <v>3493608.09</v>
      </c>
      <c r="U373" s="192">
        <v>24171216.540000003</v>
      </c>
      <c r="V373" s="192">
        <v>19792697.599999998</v>
      </c>
      <c r="W373" s="192">
        <v>416791.36</v>
      </c>
      <c r="X373" s="192">
        <v>8508099.5699999984</v>
      </c>
      <c r="Y373" s="192">
        <v>908711.78999999992</v>
      </c>
      <c r="Z373" s="192">
        <v>63099992.910000004</v>
      </c>
      <c r="AA373" s="193">
        <v>647864.68000000156</v>
      </c>
      <c r="AB373" s="193">
        <v>1107589.9100000001</v>
      </c>
      <c r="AC373" s="193">
        <v>3801982.6100000031</v>
      </c>
      <c r="AD373" s="193">
        <v>1263875.9200000055</v>
      </c>
      <c r="AE373" s="193">
        <v>-39534.960000000021</v>
      </c>
      <c r="AF373" s="193">
        <v>738213.06000000052</v>
      </c>
      <c r="AG373" s="193">
        <v>201047.78000000014</v>
      </c>
      <c r="AH373" s="193">
        <v>7519991.2200000063</v>
      </c>
      <c r="AI373" s="194">
        <v>9.6443169133943183</v>
      </c>
      <c r="AJ373" s="194">
        <v>31.703324513425894</v>
      </c>
      <c r="AK373" s="194">
        <v>15.729380454261582</v>
      </c>
      <c r="AL373" s="194">
        <v>6.3855667657955113</v>
      </c>
      <c r="AM373" s="194">
        <v>-9.4855517158513134</v>
      </c>
      <c r="AN373" s="194">
        <v>8.6765916868554083</v>
      </c>
      <c r="AO373" s="194">
        <v>22.124482395017694</v>
      </c>
      <c r="AP373" s="194">
        <v>11.917578549851546</v>
      </c>
    </row>
    <row r="374" spans="1:42" ht="12" customHeight="1">
      <c r="A374" s="189" t="s">
        <v>640</v>
      </c>
      <c r="B374" s="189"/>
      <c r="C374" s="189" t="s">
        <v>331</v>
      </c>
      <c r="D374" s="189" t="s">
        <v>755</v>
      </c>
      <c r="E374" s="189" t="s">
        <v>873</v>
      </c>
      <c r="F374" s="190" t="s">
        <v>724</v>
      </c>
      <c r="G374" s="189" t="s">
        <v>681</v>
      </c>
      <c r="H374" s="197"/>
      <c r="I374" s="195"/>
      <c r="J374" s="195"/>
      <c r="K374" s="192">
        <v>4305037.2699999996</v>
      </c>
      <c r="L374" s="192">
        <v>1385376.2799999998</v>
      </c>
      <c r="M374" s="192">
        <v>11955185.300000001</v>
      </c>
      <c r="N374" s="192">
        <v>8140405.2800000003</v>
      </c>
      <c r="O374" s="192">
        <v>69931.62</v>
      </c>
      <c r="P374" s="192">
        <v>3959870.5200000005</v>
      </c>
      <c r="Q374" s="192">
        <v>288974.11</v>
      </c>
      <c r="R374" s="192">
        <v>29815806.270000003</v>
      </c>
      <c r="S374" s="192">
        <v>4137851.6900000004</v>
      </c>
      <c r="T374" s="192">
        <v>1163434.0499999998</v>
      </c>
      <c r="U374" s="192">
        <v>10888941.290000001</v>
      </c>
      <c r="V374" s="192">
        <v>8201343.7699999996</v>
      </c>
      <c r="W374" s="192">
        <v>80733.459999999992</v>
      </c>
      <c r="X374" s="192">
        <v>3822156.11</v>
      </c>
      <c r="Y374" s="192">
        <v>266858.71000000002</v>
      </c>
      <c r="Z374" s="192">
        <v>28294460.370000001</v>
      </c>
      <c r="AA374" s="193">
        <v>167185.57999999914</v>
      </c>
      <c r="AB374" s="193">
        <v>221942.22999999998</v>
      </c>
      <c r="AC374" s="193">
        <v>1066244.0099999998</v>
      </c>
      <c r="AD374" s="193">
        <v>-60938.489999999292</v>
      </c>
      <c r="AE374" s="193">
        <v>-10801.839999999997</v>
      </c>
      <c r="AF374" s="193">
        <v>137714.41000000061</v>
      </c>
      <c r="AG374" s="193">
        <v>22115.399999999965</v>
      </c>
      <c r="AH374" s="193">
        <v>1521345.9000000022</v>
      </c>
      <c r="AI374" s="194">
        <v>4.0403956575833471</v>
      </c>
      <c r="AJ374" s="194">
        <v>19.076477089526477</v>
      </c>
      <c r="AK374" s="194">
        <v>9.791989704078933</v>
      </c>
      <c r="AL374" s="194">
        <v>-0.74303055339429214</v>
      </c>
      <c r="AM374" s="194">
        <v>-13.379632187199702</v>
      </c>
      <c r="AN374" s="194">
        <v>3.6030556062243257</v>
      </c>
      <c r="AO374" s="194">
        <v>8.2873067924220898</v>
      </c>
      <c r="AP374" s="194">
        <v>5.3768330623935565</v>
      </c>
    </row>
    <row r="375" spans="1:42" ht="12" customHeight="1">
      <c r="A375" s="189" t="s">
        <v>641</v>
      </c>
      <c r="B375" s="189"/>
      <c r="C375" s="189" t="s">
        <v>332</v>
      </c>
      <c r="D375" s="189" t="s">
        <v>755</v>
      </c>
      <c r="E375" s="189" t="s">
        <v>873</v>
      </c>
      <c r="F375" s="190" t="s">
        <v>724</v>
      </c>
      <c r="G375" s="189" t="s">
        <v>681</v>
      </c>
      <c r="H375" s="197"/>
      <c r="I375" s="195"/>
      <c r="J375" s="195"/>
      <c r="K375" s="192">
        <v>3114896.8000000003</v>
      </c>
      <c r="L375" s="192">
        <v>763076.01</v>
      </c>
      <c r="M375" s="192">
        <v>9620774.6699999999</v>
      </c>
      <c r="N375" s="192">
        <v>6206891.0100000007</v>
      </c>
      <c r="O375" s="192">
        <v>246065.63</v>
      </c>
      <c r="P375" s="192">
        <v>3042350.66</v>
      </c>
      <c r="Q375" s="192">
        <v>265443</v>
      </c>
      <c r="R375" s="192">
        <v>22994054.780000001</v>
      </c>
      <c r="S375" s="192">
        <v>2852953.5299999993</v>
      </c>
      <c r="T375" s="192">
        <v>788289.08000000007</v>
      </c>
      <c r="U375" s="192">
        <v>8261910.9199999999</v>
      </c>
      <c r="V375" s="192">
        <v>5308492.4699999988</v>
      </c>
      <c r="W375" s="192">
        <v>188630.80000000002</v>
      </c>
      <c r="X375" s="192">
        <v>2748500.7900000005</v>
      </c>
      <c r="Y375" s="192">
        <v>199196.53999999998</v>
      </c>
      <c r="Z375" s="192">
        <v>20148777.59</v>
      </c>
      <c r="AA375" s="193">
        <v>261943.27000000095</v>
      </c>
      <c r="AB375" s="193">
        <v>-25213.070000000065</v>
      </c>
      <c r="AC375" s="193">
        <v>1358863.75</v>
      </c>
      <c r="AD375" s="193">
        <v>898398.5400000019</v>
      </c>
      <c r="AE375" s="193">
        <v>57434.829999999987</v>
      </c>
      <c r="AF375" s="193">
        <v>293849.86999999965</v>
      </c>
      <c r="AG375" s="193">
        <v>66246.460000000021</v>
      </c>
      <c r="AH375" s="193">
        <v>2845277.1900000013</v>
      </c>
      <c r="AI375" s="194">
        <v>9.1814769236707825</v>
      </c>
      <c r="AJ375" s="194">
        <v>-3.1984548105119082</v>
      </c>
      <c r="AK375" s="194">
        <v>16.447329959834523</v>
      </c>
      <c r="AL375" s="194">
        <v>16.923797953508299</v>
      </c>
      <c r="AM375" s="194">
        <v>30.448277799807872</v>
      </c>
      <c r="AN375" s="194">
        <v>10.691278353243609</v>
      </c>
      <c r="AO375" s="194">
        <v>33.256832673900874</v>
      </c>
      <c r="AP375" s="194">
        <v>14.121339010720607</v>
      </c>
    </row>
    <row r="376" spans="1:42" ht="12" customHeight="1">
      <c r="A376" s="189" t="s">
        <v>642</v>
      </c>
      <c r="B376" s="189"/>
      <c r="C376" s="189" t="s">
        <v>333</v>
      </c>
      <c r="D376" s="189" t="s">
        <v>755</v>
      </c>
      <c r="E376" s="189" t="s">
        <v>873</v>
      </c>
      <c r="F376" s="190" t="s">
        <v>724</v>
      </c>
      <c r="G376" s="189" t="s">
        <v>681</v>
      </c>
      <c r="H376" s="197"/>
      <c r="I376" s="195"/>
      <c r="J376" s="195"/>
      <c r="K376" s="192">
        <v>6329070.5599999996</v>
      </c>
      <c r="L376" s="192">
        <v>2161180.02</v>
      </c>
      <c r="M376" s="192">
        <v>19981457.68</v>
      </c>
      <c r="N376" s="192">
        <v>13100417.010000002</v>
      </c>
      <c r="O376" s="192">
        <v>291556.18</v>
      </c>
      <c r="P376" s="192">
        <v>6404047.2500000009</v>
      </c>
      <c r="Q376" s="192">
        <v>516493.97000000003</v>
      </c>
      <c r="R376" s="192">
        <v>48267728.699999996</v>
      </c>
      <c r="S376" s="192">
        <v>5751791.1699999999</v>
      </c>
      <c r="T376" s="192">
        <v>2352478.19</v>
      </c>
      <c r="U376" s="192">
        <v>16702526.539999997</v>
      </c>
      <c r="V376" s="192">
        <v>12514884.52</v>
      </c>
      <c r="W376" s="192">
        <v>325923.13999999996</v>
      </c>
      <c r="X376" s="192">
        <v>5780273.8200000012</v>
      </c>
      <c r="Y376" s="192">
        <v>449117.82999999996</v>
      </c>
      <c r="Z376" s="192">
        <v>43427877.380000003</v>
      </c>
      <c r="AA376" s="193">
        <v>577279.38999999966</v>
      </c>
      <c r="AB376" s="193">
        <v>-191298.16999999993</v>
      </c>
      <c r="AC376" s="193">
        <v>3278931.1400000025</v>
      </c>
      <c r="AD376" s="193">
        <v>585532.49000000209</v>
      </c>
      <c r="AE376" s="193">
        <v>-34366.959999999963</v>
      </c>
      <c r="AF376" s="193">
        <v>623773.4299999997</v>
      </c>
      <c r="AG376" s="193">
        <v>67376.140000000072</v>
      </c>
      <c r="AH376" s="193">
        <v>4839851.3199999928</v>
      </c>
      <c r="AI376" s="194">
        <v>10.036515112213291</v>
      </c>
      <c r="AJ376" s="194">
        <v>-8.1317723077381601</v>
      </c>
      <c r="AK376" s="194">
        <v>19.631348180453202</v>
      </c>
      <c r="AL376" s="194">
        <v>4.6786887171372964</v>
      </c>
      <c r="AM376" s="194">
        <v>-10.544498313313982</v>
      </c>
      <c r="AN376" s="194">
        <v>10.791416625311353</v>
      </c>
      <c r="AO376" s="194">
        <v>15.001884917372369</v>
      </c>
      <c r="AP376" s="194">
        <v>11.144572592509224</v>
      </c>
    </row>
    <row r="377" spans="1:42" ht="12" customHeight="1">
      <c r="A377" s="189" t="s">
        <v>643</v>
      </c>
      <c r="B377" s="189"/>
      <c r="C377" s="189" t="s">
        <v>334</v>
      </c>
      <c r="D377" s="189" t="s">
        <v>755</v>
      </c>
      <c r="E377" s="189" t="s">
        <v>873</v>
      </c>
      <c r="F377" s="190" t="s">
        <v>724</v>
      </c>
      <c r="G377" s="189" t="s">
        <v>681</v>
      </c>
      <c r="H377" s="197"/>
      <c r="I377" s="195"/>
      <c r="J377" s="195"/>
      <c r="K377" s="192">
        <v>3107138.1800000006</v>
      </c>
      <c r="L377" s="192">
        <v>1318992.71</v>
      </c>
      <c r="M377" s="192">
        <v>12080248.469999999</v>
      </c>
      <c r="N377" s="192">
        <v>7713643.2699999996</v>
      </c>
      <c r="O377" s="192">
        <v>208925.06</v>
      </c>
      <c r="P377" s="192">
        <v>3951745.3800000004</v>
      </c>
      <c r="Q377" s="192">
        <v>294556.81</v>
      </c>
      <c r="R377" s="192">
        <v>28380693.069999997</v>
      </c>
      <c r="S377" s="192">
        <v>2743725.22</v>
      </c>
      <c r="T377" s="192">
        <v>871338.2100000002</v>
      </c>
      <c r="U377" s="192">
        <v>9800260.5300000031</v>
      </c>
      <c r="V377" s="192">
        <v>6529315.4100000001</v>
      </c>
      <c r="W377" s="192">
        <v>199808.8</v>
      </c>
      <c r="X377" s="192">
        <v>3329835.85</v>
      </c>
      <c r="Y377" s="192">
        <v>253525.37</v>
      </c>
      <c r="Z377" s="192">
        <v>23474284.020000007</v>
      </c>
      <c r="AA377" s="193">
        <v>363412.96000000043</v>
      </c>
      <c r="AB377" s="193">
        <v>447654.49999999977</v>
      </c>
      <c r="AC377" s="193">
        <v>2279987.9399999958</v>
      </c>
      <c r="AD377" s="193">
        <v>1184327.8599999994</v>
      </c>
      <c r="AE377" s="193">
        <v>9116.2600000000093</v>
      </c>
      <c r="AF377" s="193">
        <v>621909.53000000026</v>
      </c>
      <c r="AG377" s="193">
        <v>41031.440000000002</v>
      </c>
      <c r="AH377" s="193">
        <v>4906409.0499999896</v>
      </c>
      <c r="AI377" s="194">
        <v>13.245238894585823</v>
      </c>
      <c r="AJ377" s="194">
        <v>51.375515828692933</v>
      </c>
      <c r="AK377" s="194">
        <v>23.264564579896888</v>
      </c>
      <c r="AL377" s="194">
        <v>18.138622284751893</v>
      </c>
      <c r="AM377" s="194">
        <v>4.5624917421054576</v>
      </c>
      <c r="AN377" s="194">
        <v>18.676882525605588</v>
      </c>
      <c r="AO377" s="194">
        <v>16.18435267444832</v>
      </c>
      <c r="AP377" s="194">
        <v>20.901208513195744</v>
      </c>
    </row>
    <row r="378" spans="1:42" ht="12" customHeight="1">
      <c r="A378" s="189" t="s">
        <v>644</v>
      </c>
      <c r="B378" s="189"/>
      <c r="C378" s="189" t="s">
        <v>335</v>
      </c>
      <c r="D378" s="189" t="s">
        <v>755</v>
      </c>
      <c r="E378" s="189" t="s">
        <v>873</v>
      </c>
      <c r="F378" s="190" t="s">
        <v>724</v>
      </c>
      <c r="G378" s="189" t="s">
        <v>681</v>
      </c>
      <c r="H378" s="197"/>
      <c r="I378" s="195"/>
      <c r="J378" s="195"/>
      <c r="K378" s="192">
        <v>2977656.1100000003</v>
      </c>
      <c r="L378" s="192">
        <v>1422168.15</v>
      </c>
      <c r="M378" s="192">
        <v>12168202.019999996</v>
      </c>
      <c r="N378" s="192">
        <v>6518680.959999999</v>
      </c>
      <c r="O378" s="192">
        <v>79669.8</v>
      </c>
      <c r="P378" s="192">
        <v>3850557.43</v>
      </c>
      <c r="Q378" s="192">
        <v>394637.75</v>
      </c>
      <c r="R378" s="192">
        <v>27016934.469999995</v>
      </c>
      <c r="S378" s="192">
        <v>2591477.1899999995</v>
      </c>
      <c r="T378" s="192">
        <v>678757.20999999985</v>
      </c>
      <c r="U378" s="192">
        <v>9620286.040000001</v>
      </c>
      <c r="V378" s="192">
        <v>5514059.2399999993</v>
      </c>
      <c r="W378" s="192">
        <v>110694.79000000001</v>
      </c>
      <c r="X378" s="192">
        <v>3242677.5100000002</v>
      </c>
      <c r="Y378" s="192">
        <v>363069.86</v>
      </c>
      <c r="Z378" s="192">
        <v>21757951.98</v>
      </c>
      <c r="AA378" s="193">
        <v>386178.92000000086</v>
      </c>
      <c r="AB378" s="193">
        <v>743410.94000000006</v>
      </c>
      <c r="AC378" s="193">
        <v>2547915.9799999949</v>
      </c>
      <c r="AD378" s="193">
        <v>1004621.7199999997</v>
      </c>
      <c r="AE378" s="193">
        <v>-31024.990000000005</v>
      </c>
      <c r="AF378" s="193">
        <v>607879.91999999993</v>
      </c>
      <c r="AG378" s="193">
        <v>31567.890000000014</v>
      </c>
      <c r="AH378" s="193">
        <v>5258982.4899999946</v>
      </c>
      <c r="AI378" s="194">
        <v>14.901883817082757</v>
      </c>
      <c r="AJ378" s="194">
        <v>109.52531023574691</v>
      </c>
      <c r="AK378" s="194">
        <v>26.484825600881972</v>
      </c>
      <c r="AL378" s="194">
        <v>18.219276875233568</v>
      </c>
      <c r="AM378" s="194">
        <v>-28.027506985649463</v>
      </c>
      <c r="AN378" s="194">
        <v>18.746234188425351</v>
      </c>
      <c r="AO378" s="194">
        <v>8.6947151162588963</v>
      </c>
      <c r="AP378" s="194">
        <v>24.170392943389494</v>
      </c>
    </row>
    <row r="379" spans="1:42" ht="12" customHeight="1">
      <c r="A379" s="189" t="s">
        <v>835</v>
      </c>
      <c r="B379" s="189"/>
      <c r="C379" s="189" t="s">
        <v>350</v>
      </c>
      <c r="D379" s="189" t="s">
        <v>756</v>
      </c>
      <c r="E379" s="189" t="s">
        <v>873</v>
      </c>
      <c r="F379" s="190" t="s">
        <v>724</v>
      </c>
      <c r="G379" s="189" t="s">
        <v>681</v>
      </c>
      <c r="H379" s="197"/>
      <c r="I379" s="195"/>
      <c r="J379" s="195"/>
      <c r="K379" s="192" t="s">
        <v>987</v>
      </c>
      <c r="L379" s="192">
        <v>747142</v>
      </c>
      <c r="M379" s="192">
        <v>11320372</v>
      </c>
      <c r="N379" s="192">
        <v>7179228</v>
      </c>
      <c r="O379" s="192">
        <v>108454</v>
      </c>
      <c r="P379" s="192">
        <v>3572270</v>
      </c>
      <c r="Q379" s="192">
        <v>293599</v>
      </c>
      <c r="R379" s="192" t="s">
        <v>987</v>
      </c>
      <c r="S379" s="192" t="s">
        <v>987</v>
      </c>
      <c r="T379" s="192">
        <v>744746</v>
      </c>
      <c r="U379" s="192">
        <v>10190914</v>
      </c>
      <c r="V379" s="192">
        <v>6566498</v>
      </c>
      <c r="W379" s="192">
        <v>156729</v>
      </c>
      <c r="X379" s="192">
        <v>3286424</v>
      </c>
      <c r="Y379" s="192">
        <v>278083</v>
      </c>
      <c r="Z379" s="192" t="s">
        <v>987</v>
      </c>
      <c r="AA379" s="193" t="s">
        <v>985</v>
      </c>
      <c r="AB379" s="193">
        <v>2396</v>
      </c>
      <c r="AC379" s="193">
        <v>1129458</v>
      </c>
      <c r="AD379" s="193">
        <v>612730</v>
      </c>
      <c r="AE379" s="193">
        <v>-48275</v>
      </c>
      <c r="AF379" s="193">
        <v>285846</v>
      </c>
      <c r="AG379" s="193">
        <v>15516</v>
      </c>
      <c r="AH379" s="193" t="s">
        <v>985</v>
      </c>
      <c r="AI379" s="194" t="s">
        <v>985</v>
      </c>
      <c r="AJ379" s="194">
        <v>0.32172042548734736</v>
      </c>
      <c r="AK379" s="194">
        <v>11.082990200878939</v>
      </c>
      <c r="AL379" s="194">
        <v>9.3311533788634371</v>
      </c>
      <c r="AM379" s="194">
        <v>-30.801574692622296</v>
      </c>
      <c r="AN379" s="194">
        <v>8.6977821486211155</v>
      </c>
      <c r="AO379" s="194">
        <v>5.5796291035410288</v>
      </c>
      <c r="AP379" s="194" t="s">
        <v>985</v>
      </c>
    </row>
    <row r="380" spans="1:42" ht="12" customHeight="1">
      <c r="A380" s="189" t="s">
        <v>836</v>
      </c>
      <c r="B380" s="189"/>
      <c r="C380" s="189" t="s">
        <v>352</v>
      </c>
      <c r="D380" s="189" t="s">
        <v>755</v>
      </c>
      <c r="E380" s="189" t="s">
        <v>874</v>
      </c>
      <c r="F380" s="190" t="s">
        <v>724</v>
      </c>
      <c r="G380" s="189" t="s">
        <v>681</v>
      </c>
      <c r="H380" s="197"/>
      <c r="I380" s="195"/>
      <c r="J380" s="195"/>
      <c r="K380" s="192">
        <v>5167605.709999999</v>
      </c>
      <c r="L380" s="192">
        <v>2481008.54</v>
      </c>
      <c r="M380" s="192">
        <v>20140736.419999994</v>
      </c>
      <c r="N380" s="192">
        <v>13052953.01</v>
      </c>
      <c r="O380" s="192">
        <v>110234.73999999999</v>
      </c>
      <c r="P380" s="192">
        <v>6499177.129999999</v>
      </c>
      <c r="Q380" s="192">
        <v>2012.2</v>
      </c>
      <c r="R380" s="192">
        <v>47451715.549999997</v>
      </c>
      <c r="S380" s="192">
        <v>4925411.43</v>
      </c>
      <c r="T380" s="192">
        <v>1888062.7100000002</v>
      </c>
      <c r="U380" s="192">
        <v>15485686.970000003</v>
      </c>
      <c r="V380" s="192">
        <v>11993277.749999996</v>
      </c>
      <c r="W380" s="192">
        <v>128047.29</v>
      </c>
      <c r="X380" s="192">
        <v>5628551.2299999995</v>
      </c>
      <c r="Y380" s="192">
        <v>0</v>
      </c>
      <c r="Z380" s="192">
        <v>40049037.379999995</v>
      </c>
      <c r="AA380" s="193">
        <v>242194.27999999933</v>
      </c>
      <c r="AB380" s="193">
        <v>592945.82999999984</v>
      </c>
      <c r="AC380" s="193">
        <v>4655049.4499999918</v>
      </c>
      <c r="AD380" s="193">
        <v>1059675.2600000035</v>
      </c>
      <c r="AE380" s="193">
        <v>-17812.550000000003</v>
      </c>
      <c r="AF380" s="193">
        <v>870625.89999999944</v>
      </c>
      <c r="AG380" s="193">
        <v>2012.2</v>
      </c>
      <c r="AH380" s="193">
        <v>7402678.1700000018</v>
      </c>
      <c r="AI380" s="194">
        <v>4.9172395736288639</v>
      </c>
      <c r="AJ380" s="194">
        <v>31.404986013414764</v>
      </c>
      <c r="AK380" s="194">
        <v>30.06033545052339</v>
      </c>
      <c r="AL380" s="194">
        <v>8.8355767463152759</v>
      </c>
      <c r="AM380" s="194">
        <v>-13.910915256386922</v>
      </c>
      <c r="AN380" s="194">
        <v>15.468028350876351</v>
      </c>
      <c r="AO380" s="194" t="s">
        <v>985</v>
      </c>
      <c r="AP380" s="194">
        <v>18.484035208538643</v>
      </c>
    </row>
    <row r="381" spans="1:42" ht="12" customHeight="1">
      <c r="A381" s="189" t="s">
        <v>645</v>
      </c>
      <c r="B381" s="189"/>
      <c r="C381" s="189" t="s">
        <v>336</v>
      </c>
      <c r="D381" s="189" t="s">
        <v>755</v>
      </c>
      <c r="E381" s="189" t="s">
        <v>871</v>
      </c>
      <c r="F381" s="190" t="s">
        <v>724</v>
      </c>
      <c r="G381" s="189" t="s">
        <v>681</v>
      </c>
      <c r="H381" s="197"/>
      <c r="I381" s="195"/>
      <c r="J381" s="195"/>
      <c r="K381" s="192">
        <v>3439114.42</v>
      </c>
      <c r="L381" s="192">
        <v>1593717.77</v>
      </c>
      <c r="M381" s="192">
        <v>10373370.640000001</v>
      </c>
      <c r="N381" s="192">
        <v>8734610.2499999981</v>
      </c>
      <c r="O381" s="192">
        <v>99007.909999999989</v>
      </c>
      <c r="P381" s="192">
        <v>3737836.9400000004</v>
      </c>
      <c r="Q381" s="192">
        <v>453658.91000000003</v>
      </c>
      <c r="R381" s="192">
        <v>27977657.93</v>
      </c>
      <c r="S381" s="192">
        <v>3239189.79</v>
      </c>
      <c r="T381" s="192">
        <v>1516481.5200000005</v>
      </c>
      <c r="U381" s="192">
        <v>8870925.1700000018</v>
      </c>
      <c r="V381" s="192">
        <v>8139660.2599999998</v>
      </c>
      <c r="W381" s="192">
        <v>81873.319999999992</v>
      </c>
      <c r="X381" s="192">
        <v>3427166.87</v>
      </c>
      <c r="Y381" s="192">
        <v>463710.71</v>
      </c>
      <c r="Z381" s="192">
        <v>25275296.930000003</v>
      </c>
      <c r="AA381" s="193">
        <v>199924.62999999989</v>
      </c>
      <c r="AB381" s="193">
        <v>77236.249999999534</v>
      </c>
      <c r="AC381" s="193">
        <v>1502445.4699999988</v>
      </c>
      <c r="AD381" s="193">
        <v>594949.98999999836</v>
      </c>
      <c r="AE381" s="193">
        <v>17134.589999999997</v>
      </c>
      <c r="AF381" s="193">
        <v>310670.0700000003</v>
      </c>
      <c r="AG381" s="193">
        <v>-10051.799999999988</v>
      </c>
      <c r="AH381" s="193">
        <v>2702360.9999999963</v>
      </c>
      <c r="AI381" s="194">
        <v>6.1720566858171004</v>
      </c>
      <c r="AJ381" s="194">
        <v>5.0931217414373444</v>
      </c>
      <c r="AK381" s="194">
        <v>16.936739305174395</v>
      </c>
      <c r="AL381" s="194">
        <v>7.3092730039815983</v>
      </c>
      <c r="AM381" s="194">
        <v>20.928172938388229</v>
      </c>
      <c r="AN381" s="194">
        <v>9.0649239381798843</v>
      </c>
      <c r="AO381" s="194">
        <v>-2.1676876947698682</v>
      </c>
      <c r="AP381" s="194">
        <v>10.691708222001077</v>
      </c>
    </row>
    <row r="382" spans="1:42" ht="12" customHeight="1">
      <c r="A382" s="189" t="s">
        <v>646</v>
      </c>
      <c r="B382" s="189"/>
      <c r="C382" s="189" t="s">
        <v>337</v>
      </c>
      <c r="D382" s="189" t="s">
        <v>755</v>
      </c>
      <c r="E382" s="189" t="s">
        <v>871</v>
      </c>
      <c r="F382" s="190" t="s">
        <v>724</v>
      </c>
      <c r="G382" s="189" t="s">
        <v>681</v>
      </c>
      <c r="H382" s="197"/>
      <c r="I382" s="195"/>
      <c r="J382" s="195"/>
      <c r="K382" s="192">
        <v>4024344.28</v>
      </c>
      <c r="L382" s="192">
        <v>1861736.3399999999</v>
      </c>
      <c r="M382" s="192">
        <v>18776122.140000001</v>
      </c>
      <c r="N382" s="192">
        <v>14606306.959999999</v>
      </c>
      <c r="O382" s="192">
        <v>115354.84</v>
      </c>
      <c r="P382" s="192">
        <v>6103136.629999999</v>
      </c>
      <c r="Q382" s="192">
        <v>368379.61</v>
      </c>
      <c r="R382" s="192">
        <v>45487001.189999998</v>
      </c>
      <c r="S382" s="192">
        <v>3694239.9899999993</v>
      </c>
      <c r="T382" s="192">
        <v>1744293.9300000002</v>
      </c>
      <c r="U382" s="192">
        <v>15680022.330000002</v>
      </c>
      <c r="V382" s="192">
        <v>13343395.770000001</v>
      </c>
      <c r="W382" s="192">
        <v>139349.10999999999</v>
      </c>
      <c r="X382" s="192">
        <v>5263505.3</v>
      </c>
      <c r="Y382" s="192">
        <v>292925.03000000003</v>
      </c>
      <c r="Z382" s="192">
        <v>39864806.43</v>
      </c>
      <c r="AA382" s="193">
        <v>330104.2900000005</v>
      </c>
      <c r="AB382" s="193">
        <v>117442.40999999968</v>
      </c>
      <c r="AC382" s="193">
        <v>3096099.8099999987</v>
      </c>
      <c r="AD382" s="193">
        <v>1262911.1899999976</v>
      </c>
      <c r="AE382" s="193">
        <v>-23994.26999999999</v>
      </c>
      <c r="AF382" s="193">
        <v>839631.32999999914</v>
      </c>
      <c r="AG382" s="193">
        <v>75454.579999999958</v>
      </c>
      <c r="AH382" s="193">
        <v>5622194.7599999979</v>
      </c>
      <c r="AI382" s="194">
        <v>8.935648222464307</v>
      </c>
      <c r="AJ382" s="194">
        <v>6.732948385596897</v>
      </c>
      <c r="AK382" s="194">
        <v>19.745506382834328</v>
      </c>
      <c r="AL382" s="194">
        <v>9.4646910859033699</v>
      </c>
      <c r="AM382" s="194">
        <v>-17.218818261559036</v>
      </c>
      <c r="AN382" s="194">
        <v>15.951942330142598</v>
      </c>
      <c r="AO382" s="194">
        <v>25.75900734737484</v>
      </c>
      <c r="AP382" s="194">
        <v>14.103153291041826</v>
      </c>
    </row>
    <row r="383" spans="1:42" ht="12" customHeight="1">
      <c r="A383" s="189" t="s">
        <v>837</v>
      </c>
      <c r="B383" s="189"/>
      <c r="C383" s="189" t="s">
        <v>354</v>
      </c>
      <c r="D383" s="189" t="s">
        <v>755</v>
      </c>
      <c r="E383" s="189" t="s">
        <v>871</v>
      </c>
      <c r="F383" s="190" t="s">
        <v>724</v>
      </c>
      <c r="G383" s="189" t="s">
        <v>681</v>
      </c>
      <c r="H383" s="197"/>
      <c r="I383" s="195"/>
      <c r="J383" s="195"/>
      <c r="K383" s="192">
        <v>3717420.5500000003</v>
      </c>
      <c r="L383" s="192">
        <v>1752355.8599999999</v>
      </c>
      <c r="M383" s="192">
        <v>12813176.119999999</v>
      </c>
      <c r="N383" s="192">
        <v>12278487.449999997</v>
      </c>
      <c r="O383" s="192">
        <v>196601.45</v>
      </c>
      <c r="P383" s="192">
        <v>4509166.709999999</v>
      </c>
      <c r="Q383" s="192">
        <v>445845.27999999997</v>
      </c>
      <c r="R383" s="192">
        <v>35267208.139999993</v>
      </c>
      <c r="S383" s="192">
        <v>3341635.93</v>
      </c>
      <c r="T383" s="192">
        <v>1334103.5999999996</v>
      </c>
      <c r="U383" s="192">
        <v>10221917.129999999</v>
      </c>
      <c r="V383" s="192">
        <v>10762933.310000001</v>
      </c>
      <c r="W383" s="192">
        <v>222367.66</v>
      </c>
      <c r="X383" s="192">
        <v>3831782.9699999997</v>
      </c>
      <c r="Y383" s="192">
        <v>435314.26</v>
      </c>
      <c r="Z383" s="192">
        <v>29714740.599999998</v>
      </c>
      <c r="AA383" s="193">
        <v>375784.62000000011</v>
      </c>
      <c r="AB383" s="193">
        <v>418252.26000000024</v>
      </c>
      <c r="AC383" s="193">
        <v>2591258.9900000002</v>
      </c>
      <c r="AD383" s="193">
        <v>1515554.1399999969</v>
      </c>
      <c r="AE383" s="193">
        <v>-25766.209999999992</v>
      </c>
      <c r="AF383" s="193">
        <v>677383.73999999929</v>
      </c>
      <c r="AG383" s="193">
        <v>10531.01999999996</v>
      </c>
      <c r="AH383" s="193">
        <v>5552467.5399999954</v>
      </c>
      <c r="AI383" s="194">
        <v>11.245528473833476</v>
      </c>
      <c r="AJ383" s="194">
        <v>31.350808138138625</v>
      </c>
      <c r="AK383" s="194">
        <v>25.350029324685014</v>
      </c>
      <c r="AL383" s="194">
        <v>14.081236930009341</v>
      </c>
      <c r="AM383" s="194">
        <v>-11.587211018005043</v>
      </c>
      <c r="AN383" s="194">
        <v>17.678029922451461</v>
      </c>
      <c r="AO383" s="194">
        <v>2.4191764358925343</v>
      </c>
      <c r="AP383" s="194">
        <v>18.685902780520976</v>
      </c>
    </row>
    <row r="384" spans="1:42" ht="12" customHeight="1">
      <c r="A384" s="189" t="s">
        <v>838</v>
      </c>
      <c r="B384" s="189"/>
      <c r="C384" s="189" t="s">
        <v>355</v>
      </c>
      <c r="D384" s="189" t="s">
        <v>755</v>
      </c>
      <c r="E384" s="189" t="s">
        <v>871</v>
      </c>
      <c r="F384" s="190" t="s">
        <v>724</v>
      </c>
      <c r="G384" s="189" t="s">
        <v>681</v>
      </c>
      <c r="H384" s="197"/>
      <c r="I384" s="195"/>
      <c r="J384" s="195"/>
      <c r="K384" s="192">
        <v>3657665.13</v>
      </c>
      <c r="L384" s="192">
        <v>1795088.85</v>
      </c>
      <c r="M384" s="192">
        <v>11157072.09</v>
      </c>
      <c r="N384" s="192">
        <v>10586675.300000001</v>
      </c>
      <c r="O384" s="192">
        <v>87907.800000000017</v>
      </c>
      <c r="P384" s="192">
        <v>3915024.7</v>
      </c>
      <c r="Q384" s="192">
        <v>115430.73</v>
      </c>
      <c r="R384" s="192">
        <v>31199433.870000001</v>
      </c>
      <c r="S384" s="192">
        <v>3170556.3100000005</v>
      </c>
      <c r="T384" s="192">
        <v>1147854.3899999997</v>
      </c>
      <c r="U384" s="192">
        <v>10330460.159999995</v>
      </c>
      <c r="V384" s="192">
        <v>10723259.230000002</v>
      </c>
      <c r="W384" s="192">
        <v>140109.54</v>
      </c>
      <c r="X384" s="192">
        <v>3689276.0100000002</v>
      </c>
      <c r="Y384" s="192">
        <v>112802.47</v>
      </c>
      <c r="Z384" s="192">
        <v>29201515.639999997</v>
      </c>
      <c r="AA384" s="193">
        <v>487108.81999999937</v>
      </c>
      <c r="AB384" s="193">
        <v>647234.46000000043</v>
      </c>
      <c r="AC384" s="193">
        <v>826611.93000000529</v>
      </c>
      <c r="AD384" s="193">
        <v>-136583.93000000156</v>
      </c>
      <c r="AE384" s="193">
        <v>-52201.739999999991</v>
      </c>
      <c r="AF384" s="193">
        <v>225748.68999999994</v>
      </c>
      <c r="AG384" s="193">
        <v>2628.2599999999948</v>
      </c>
      <c r="AH384" s="193">
        <v>1997918.2300000042</v>
      </c>
      <c r="AI384" s="194">
        <v>15.363512657499506</v>
      </c>
      <c r="AJ384" s="194">
        <v>56.386460307043009</v>
      </c>
      <c r="AK384" s="194">
        <v>8.0016951539166055</v>
      </c>
      <c r="AL384" s="194">
        <v>-1.2737165732027309</v>
      </c>
      <c r="AM384" s="194">
        <v>-37.257805571269444</v>
      </c>
      <c r="AN384" s="194">
        <v>6.1190512552624092</v>
      </c>
      <c r="AO384" s="194">
        <v>2.3299667108353166</v>
      </c>
      <c r="AP384" s="194">
        <v>6.8418305906809582</v>
      </c>
    </row>
    <row r="385" spans="1:42" ht="12" customHeight="1">
      <c r="A385" s="189" t="s">
        <v>647</v>
      </c>
      <c r="B385" s="189"/>
      <c r="C385" s="189" t="s">
        <v>338</v>
      </c>
      <c r="D385" s="189" t="s">
        <v>755</v>
      </c>
      <c r="E385" s="189" t="s">
        <v>872</v>
      </c>
      <c r="F385" s="190" t="s">
        <v>724</v>
      </c>
      <c r="G385" s="189" t="s">
        <v>681</v>
      </c>
      <c r="H385" s="197"/>
      <c r="I385" s="195"/>
      <c r="J385" s="195"/>
      <c r="K385" s="192">
        <v>2786969.81</v>
      </c>
      <c r="L385" s="192">
        <v>1146360.1099999999</v>
      </c>
      <c r="M385" s="192">
        <v>11919919.570000002</v>
      </c>
      <c r="N385" s="192">
        <v>6246124.3399999999</v>
      </c>
      <c r="O385" s="192">
        <v>106746.59</v>
      </c>
      <c r="P385" s="192">
        <v>3616436.08</v>
      </c>
      <c r="Q385" s="192">
        <v>328731.05</v>
      </c>
      <c r="R385" s="192">
        <v>25822556.5</v>
      </c>
      <c r="S385" s="192">
        <v>1941484.9700000002</v>
      </c>
      <c r="T385" s="192">
        <v>781812.23</v>
      </c>
      <c r="U385" s="192">
        <v>9844366.8200000022</v>
      </c>
      <c r="V385" s="192">
        <v>5680199.3700000001</v>
      </c>
      <c r="W385" s="192">
        <v>118117.44</v>
      </c>
      <c r="X385" s="192">
        <v>3273174.3400000003</v>
      </c>
      <c r="Y385" s="192">
        <v>327237.71000000002</v>
      </c>
      <c r="Z385" s="192">
        <v>21639155.170000006</v>
      </c>
      <c r="AA385" s="193">
        <v>845484.83999999985</v>
      </c>
      <c r="AB385" s="193">
        <v>364547.87999999989</v>
      </c>
      <c r="AC385" s="193">
        <v>2075552.75</v>
      </c>
      <c r="AD385" s="193">
        <v>565924.96999999974</v>
      </c>
      <c r="AE385" s="193">
        <v>-11370.850000000006</v>
      </c>
      <c r="AF385" s="193">
        <v>343261.73999999976</v>
      </c>
      <c r="AG385" s="193">
        <v>1493.3399999999674</v>
      </c>
      <c r="AH385" s="193">
        <v>4183401.3299999945</v>
      </c>
      <c r="AI385" s="194">
        <v>43.548358759635406</v>
      </c>
      <c r="AJ385" s="194">
        <v>46.628572182862868</v>
      </c>
      <c r="AK385" s="194">
        <v>21.083659192618338</v>
      </c>
      <c r="AL385" s="194">
        <v>9.9631180727376432</v>
      </c>
      <c r="AM385" s="194">
        <v>-9.6267325129972381</v>
      </c>
      <c r="AN385" s="194">
        <v>10.487120585211471</v>
      </c>
      <c r="AO385" s="194">
        <v>0.45634716121194197</v>
      </c>
      <c r="AP385" s="194">
        <v>19.332553868830146</v>
      </c>
    </row>
    <row r="386" spans="1:42" ht="12" customHeight="1">
      <c r="A386" s="189" t="s">
        <v>648</v>
      </c>
      <c r="B386" s="189"/>
      <c r="C386" s="189" t="s">
        <v>340</v>
      </c>
      <c r="D386" s="189" t="s">
        <v>755</v>
      </c>
      <c r="E386" s="189" t="s">
        <v>873</v>
      </c>
      <c r="F386" s="190" t="s">
        <v>724</v>
      </c>
      <c r="G386" s="189" t="s">
        <v>681</v>
      </c>
      <c r="H386" s="197"/>
      <c r="I386" s="195"/>
      <c r="J386" s="195"/>
      <c r="K386" s="192">
        <v>2637288.09</v>
      </c>
      <c r="L386" s="192">
        <v>1191538.55</v>
      </c>
      <c r="M386" s="192">
        <v>10801639.17</v>
      </c>
      <c r="N386" s="192">
        <v>7313699.1099999994</v>
      </c>
      <c r="O386" s="192">
        <v>154234.66</v>
      </c>
      <c r="P386" s="192">
        <v>3407125.83</v>
      </c>
      <c r="Q386" s="192">
        <v>290304.76999999996</v>
      </c>
      <c r="R386" s="192">
        <v>25505525.409999996</v>
      </c>
      <c r="S386" s="192">
        <v>2317248.94</v>
      </c>
      <c r="T386" s="192">
        <v>605797.82000000007</v>
      </c>
      <c r="U386" s="192">
        <v>8537317.1399999987</v>
      </c>
      <c r="V386" s="192">
        <v>6359540.4600000009</v>
      </c>
      <c r="W386" s="192">
        <v>193086.96</v>
      </c>
      <c r="X386" s="192">
        <v>2883244.61</v>
      </c>
      <c r="Y386" s="192">
        <v>181225.03000000003</v>
      </c>
      <c r="Z386" s="192">
        <v>20896235.93</v>
      </c>
      <c r="AA386" s="193">
        <v>320039.14999999991</v>
      </c>
      <c r="AB386" s="193">
        <v>585740.73</v>
      </c>
      <c r="AC386" s="193">
        <v>2264322.0300000012</v>
      </c>
      <c r="AD386" s="193">
        <v>954158.64999999851</v>
      </c>
      <c r="AE386" s="193">
        <v>-38852.299999999988</v>
      </c>
      <c r="AF386" s="193">
        <v>523881.2200000002</v>
      </c>
      <c r="AG386" s="193">
        <v>109079.73999999993</v>
      </c>
      <c r="AH386" s="193">
        <v>4609289.4799999967</v>
      </c>
      <c r="AI386" s="194">
        <v>13.811168255405477</v>
      </c>
      <c r="AJ386" s="194">
        <v>96.689144573019419</v>
      </c>
      <c r="AK386" s="194">
        <v>26.522641631654338</v>
      </c>
      <c r="AL386" s="194">
        <v>15.003578576179047</v>
      </c>
      <c r="AM386" s="194">
        <v>-20.121659173669723</v>
      </c>
      <c r="AN386" s="194">
        <v>18.169849973291036</v>
      </c>
      <c r="AO386" s="194">
        <v>60.190217653709269</v>
      </c>
      <c r="AP386" s="194">
        <v>22.05798927347772</v>
      </c>
    </row>
    <row r="387" spans="1:42" ht="12" customHeight="1">
      <c r="A387" s="189" t="s">
        <v>649</v>
      </c>
      <c r="B387" s="189"/>
      <c r="C387" s="189" t="s">
        <v>341</v>
      </c>
      <c r="D387" s="189" t="s">
        <v>755</v>
      </c>
      <c r="E387" s="189" t="s">
        <v>871</v>
      </c>
      <c r="F387" s="190" t="s">
        <v>724</v>
      </c>
      <c r="G387" s="189" t="s">
        <v>681</v>
      </c>
      <c r="H387" s="197"/>
      <c r="I387" s="195"/>
      <c r="J387" s="195"/>
      <c r="K387" s="192">
        <v>2400879.9799999995</v>
      </c>
      <c r="L387" s="192">
        <v>1213297.26</v>
      </c>
      <c r="M387" s="192">
        <v>8148627.4600000009</v>
      </c>
      <c r="N387" s="192">
        <v>5538518.2300000004</v>
      </c>
      <c r="O387" s="192">
        <v>55226.8</v>
      </c>
      <c r="P387" s="192">
        <v>2871865.8200000003</v>
      </c>
      <c r="Q387" s="192">
        <v>167252.57</v>
      </c>
      <c r="R387" s="192">
        <v>20228415.550000001</v>
      </c>
      <c r="S387" s="192">
        <v>2215949.84</v>
      </c>
      <c r="T387" s="192">
        <v>675974.25999999989</v>
      </c>
      <c r="U387" s="192">
        <v>6923736.6999999993</v>
      </c>
      <c r="V387" s="192">
        <v>5474587.2500000009</v>
      </c>
      <c r="W387" s="192">
        <v>86513.96</v>
      </c>
      <c r="X387" s="192">
        <v>2530280.5599999996</v>
      </c>
      <c r="Y387" s="192">
        <v>159019.12000000002</v>
      </c>
      <c r="Z387" s="192">
        <v>17907042.57</v>
      </c>
      <c r="AA387" s="193">
        <v>184930.13999999966</v>
      </c>
      <c r="AB387" s="193">
        <v>537323.00000000012</v>
      </c>
      <c r="AC387" s="193">
        <v>1224890.7600000016</v>
      </c>
      <c r="AD387" s="193">
        <v>63930.979999999516</v>
      </c>
      <c r="AE387" s="193">
        <v>-31287.160000000003</v>
      </c>
      <c r="AF387" s="193">
        <v>341585.26000000071</v>
      </c>
      <c r="AG387" s="193">
        <v>8233.4499999999825</v>
      </c>
      <c r="AH387" s="193">
        <v>2321372.9800000004</v>
      </c>
      <c r="AI387" s="194">
        <v>8.34541182574781</v>
      </c>
      <c r="AJ387" s="194">
        <v>79.488677571835382</v>
      </c>
      <c r="AK387" s="194">
        <v>17.691180544170631</v>
      </c>
      <c r="AL387" s="194">
        <v>1.1677771689546002</v>
      </c>
      <c r="AM387" s="194">
        <v>-36.164290711002018</v>
      </c>
      <c r="AN387" s="194">
        <v>13.499896628064073</v>
      </c>
      <c r="AO387" s="194">
        <v>5.1776478199602547</v>
      </c>
      <c r="AP387" s="194">
        <v>12.963463793228701</v>
      </c>
    </row>
    <row r="388" spans="1:42" ht="12" customHeight="1">
      <c r="A388" s="189" t="s">
        <v>839</v>
      </c>
      <c r="B388" s="189"/>
      <c r="C388" s="189" t="s">
        <v>339</v>
      </c>
      <c r="D388" s="189" t="s">
        <v>756</v>
      </c>
      <c r="E388" s="189" t="s">
        <v>877</v>
      </c>
      <c r="F388" s="190" t="s">
        <v>724</v>
      </c>
      <c r="G388" s="189" t="s">
        <v>681</v>
      </c>
      <c r="H388" s="197"/>
      <c r="I388" s="195"/>
      <c r="J388" s="195"/>
      <c r="K388" s="192">
        <v>8249362</v>
      </c>
      <c r="L388" s="192">
        <v>3265776</v>
      </c>
      <c r="M388" s="192">
        <v>26309294</v>
      </c>
      <c r="N388" s="192">
        <v>23490169</v>
      </c>
      <c r="O388" s="192">
        <v>344519</v>
      </c>
      <c r="P388" s="192">
        <v>9245886</v>
      </c>
      <c r="Q388" s="192">
        <v>1114753</v>
      </c>
      <c r="R388" s="192">
        <v>70905006</v>
      </c>
      <c r="S388" s="192">
        <v>7932847</v>
      </c>
      <c r="T388" s="192">
        <v>2614319</v>
      </c>
      <c r="U388" s="192">
        <v>22637277</v>
      </c>
      <c r="V388" s="192" t="s">
        <v>987</v>
      </c>
      <c r="W388" s="192">
        <v>416182</v>
      </c>
      <c r="X388" s="192">
        <v>8156785</v>
      </c>
      <c r="Y388" s="192">
        <v>1076265</v>
      </c>
      <c r="Z388" s="192" t="s">
        <v>987</v>
      </c>
      <c r="AA388" s="193">
        <v>316515</v>
      </c>
      <c r="AB388" s="193">
        <v>651457</v>
      </c>
      <c r="AC388" s="193">
        <v>3672017</v>
      </c>
      <c r="AD388" s="193" t="s">
        <v>985</v>
      </c>
      <c r="AE388" s="193">
        <v>-71663</v>
      </c>
      <c r="AF388" s="193">
        <v>1089101</v>
      </c>
      <c r="AG388" s="193">
        <v>38488</v>
      </c>
      <c r="AH388" s="193" t="s">
        <v>985</v>
      </c>
      <c r="AI388" s="194">
        <v>3.9899294666845329</v>
      </c>
      <c r="AJ388" s="194">
        <v>24.918802946388716</v>
      </c>
      <c r="AK388" s="194">
        <v>16.221107335480323</v>
      </c>
      <c r="AL388" s="194" t="s">
        <v>985</v>
      </c>
      <c r="AM388" s="194">
        <v>-17.219149314482607</v>
      </c>
      <c r="AN388" s="194">
        <v>13.352086637075761</v>
      </c>
      <c r="AO388" s="194">
        <v>3.5760709490692348</v>
      </c>
      <c r="AP388" s="194" t="s">
        <v>985</v>
      </c>
    </row>
    <row r="389" spans="1:42" ht="12" customHeight="1">
      <c r="A389" s="189" t="s">
        <v>650</v>
      </c>
      <c r="B389" s="189"/>
      <c r="C389" s="189" t="s">
        <v>343</v>
      </c>
      <c r="D389" s="189" t="s">
        <v>755</v>
      </c>
      <c r="E389" s="189" t="s">
        <v>877</v>
      </c>
      <c r="F389" s="190" t="s">
        <v>724</v>
      </c>
      <c r="G389" s="189" t="s">
        <v>681</v>
      </c>
      <c r="H389" s="197"/>
      <c r="I389" s="195"/>
      <c r="J389" s="195"/>
      <c r="K389" s="192">
        <v>3269376.79</v>
      </c>
      <c r="L389" s="192">
        <v>1408341.6300000001</v>
      </c>
      <c r="M389" s="192">
        <v>9239233.8399999961</v>
      </c>
      <c r="N389" s="192">
        <v>6512769.7400000002</v>
      </c>
      <c r="O389" s="192">
        <v>79933.86</v>
      </c>
      <c r="P389" s="192">
        <v>3101792.3900000006</v>
      </c>
      <c r="Q389" s="192">
        <v>417295.75</v>
      </c>
      <c r="R389" s="192">
        <v>23611448.249999996</v>
      </c>
      <c r="S389" s="192">
        <v>3084934.46</v>
      </c>
      <c r="T389" s="192">
        <v>1218376.6800000002</v>
      </c>
      <c r="U389" s="192">
        <v>8853315.2000000011</v>
      </c>
      <c r="V389" s="192">
        <v>6559054.3999999994</v>
      </c>
      <c r="W389" s="192">
        <v>109497.64</v>
      </c>
      <c r="X389" s="192">
        <v>3179093.89</v>
      </c>
      <c r="Y389" s="192">
        <v>394140.18</v>
      </c>
      <c r="Z389" s="192">
        <v>23004272.270000003</v>
      </c>
      <c r="AA389" s="193">
        <v>184442.33000000007</v>
      </c>
      <c r="AB389" s="193">
        <v>189964.94999999995</v>
      </c>
      <c r="AC389" s="193">
        <v>385918.63999999501</v>
      </c>
      <c r="AD389" s="193">
        <v>-46284.659999999218</v>
      </c>
      <c r="AE389" s="193">
        <v>-29563.78</v>
      </c>
      <c r="AF389" s="193">
        <v>-77301.499999999534</v>
      </c>
      <c r="AG389" s="193">
        <v>23155.570000000007</v>
      </c>
      <c r="AH389" s="193">
        <v>607175.979999993</v>
      </c>
      <c r="AI389" s="194">
        <v>5.9788087037674078</v>
      </c>
      <c r="AJ389" s="194">
        <v>15.591643628635435</v>
      </c>
      <c r="AK389" s="194">
        <v>4.3590297112656167</v>
      </c>
      <c r="AL389" s="194">
        <v>-0.7056605598514204</v>
      </c>
      <c r="AM389" s="194">
        <v>-26.999467751085778</v>
      </c>
      <c r="AN389" s="194">
        <v>-2.4315576285165812</v>
      </c>
      <c r="AO389" s="194">
        <v>5.8749579908346332</v>
      </c>
      <c r="AP389" s="194">
        <v>2.6394052933889784</v>
      </c>
    </row>
    <row r="390" spans="1:42" ht="12" customHeight="1">
      <c r="A390" s="189" t="s">
        <v>651</v>
      </c>
      <c r="B390" s="189"/>
      <c r="C390" s="189" t="s">
        <v>344</v>
      </c>
      <c r="D390" s="189" t="s">
        <v>755</v>
      </c>
      <c r="E390" s="189" t="s">
        <v>871</v>
      </c>
      <c r="F390" s="190" t="s">
        <v>724</v>
      </c>
      <c r="G390" s="189" t="s">
        <v>681</v>
      </c>
      <c r="H390" s="197"/>
      <c r="I390" s="195"/>
      <c r="J390" s="195"/>
      <c r="K390" s="192">
        <v>2473157.6800000002</v>
      </c>
      <c r="L390" s="192">
        <v>1376273.9600000002</v>
      </c>
      <c r="M390" s="192">
        <v>7738108.6399999997</v>
      </c>
      <c r="N390" s="192">
        <v>6565552.2199999997</v>
      </c>
      <c r="O390" s="192">
        <v>80460.100000000006</v>
      </c>
      <c r="P390" s="192">
        <v>2717994.0799999996</v>
      </c>
      <c r="Q390" s="192">
        <v>75445.289999999994</v>
      </c>
      <c r="R390" s="192">
        <v>20951546.68</v>
      </c>
      <c r="S390" s="192">
        <v>2315676.0300000003</v>
      </c>
      <c r="T390" s="192">
        <v>1082252.0799999998</v>
      </c>
      <c r="U390" s="192">
        <v>7022557.6000000006</v>
      </c>
      <c r="V390" s="192">
        <v>6696758.9300000006</v>
      </c>
      <c r="W390" s="192">
        <v>81134.760000000009</v>
      </c>
      <c r="X390" s="192">
        <v>2604972.5999999996</v>
      </c>
      <c r="Y390" s="192">
        <v>70831.439999999988</v>
      </c>
      <c r="Z390" s="192">
        <v>19803352</v>
      </c>
      <c r="AA390" s="193">
        <v>157481.64999999991</v>
      </c>
      <c r="AB390" s="193">
        <v>294021.88000000035</v>
      </c>
      <c r="AC390" s="193">
        <v>715551.03999999911</v>
      </c>
      <c r="AD390" s="193">
        <v>-131206.71000000089</v>
      </c>
      <c r="AE390" s="193">
        <v>-674.66000000000349</v>
      </c>
      <c r="AF390" s="193">
        <v>113021.47999999998</v>
      </c>
      <c r="AG390" s="193">
        <v>4613.8500000000058</v>
      </c>
      <c r="AH390" s="193">
        <v>1148194.6799999997</v>
      </c>
      <c r="AI390" s="194">
        <v>6.8006771223520364</v>
      </c>
      <c r="AJ390" s="194">
        <v>27.16759666564932</v>
      </c>
      <c r="AK390" s="194">
        <v>10.189322477041685</v>
      </c>
      <c r="AL390" s="194">
        <v>-1.9592568789093454</v>
      </c>
      <c r="AM390" s="194">
        <v>-0.83153016043925365</v>
      </c>
      <c r="AN390" s="194">
        <v>4.3386821036044676</v>
      </c>
      <c r="AO390" s="194">
        <v>6.5138446994724468</v>
      </c>
      <c r="AP390" s="194">
        <v>5.7979814730354722</v>
      </c>
    </row>
    <row r="391" spans="1:42" ht="12" customHeight="1">
      <c r="A391" s="189" t="s">
        <v>652</v>
      </c>
      <c r="B391" s="189"/>
      <c r="C391" s="189" t="s">
        <v>346</v>
      </c>
      <c r="D391" s="189" t="s">
        <v>755</v>
      </c>
      <c r="E391" s="189" t="s">
        <v>873</v>
      </c>
      <c r="F391" s="190" t="s">
        <v>724</v>
      </c>
      <c r="G391" s="189" t="s">
        <v>681</v>
      </c>
      <c r="H391" s="197"/>
      <c r="I391" s="195"/>
      <c r="J391" s="195"/>
      <c r="K391" s="192">
        <v>3822199.53</v>
      </c>
      <c r="L391" s="192">
        <v>1582733.9500000002</v>
      </c>
      <c r="M391" s="192">
        <v>11128069.23</v>
      </c>
      <c r="N391" s="192">
        <v>8301360.1500000004</v>
      </c>
      <c r="O391" s="192">
        <v>107944.45000000001</v>
      </c>
      <c r="P391" s="192">
        <v>3737264.48</v>
      </c>
      <c r="Q391" s="192">
        <v>333704.73</v>
      </c>
      <c r="R391" s="192">
        <v>28679571.789999999</v>
      </c>
      <c r="S391" s="192">
        <v>3238866.16</v>
      </c>
      <c r="T391" s="192">
        <v>1082370.3900000001</v>
      </c>
      <c r="U391" s="192">
        <v>10256597.370000001</v>
      </c>
      <c r="V391" s="192">
        <v>8349573.5399999982</v>
      </c>
      <c r="W391" s="192">
        <v>138685.32</v>
      </c>
      <c r="X391" s="192">
        <v>3599785.8900000006</v>
      </c>
      <c r="Y391" s="192">
        <v>324212.08999999997</v>
      </c>
      <c r="Z391" s="192">
        <v>26665878.670000002</v>
      </c>
      <c r="AA391" s="193">
        <v>583333.36999999965</v>
      </c>
      <c r="AB391" s="193">
        <v>500363.56000000006</v>
      </c>
      <c r="AC391" s="193">
        <v>871471.8599999994</v>
      </c>
      <c r="AD391" s="193">
        <v>-48213.389999997802</v>
      </c>
      <c r="AE391" s="193">
        <v>-30740.869999999995</v>
      </c>
      <c r="AF391" s="193">
        <v>137478.58999999939</v>
      </c>
      <c r="AG391" s="193">
        <v>9492.640000000014</v>
      </c>
      <c r="AH391" s="193">
        <v>2013693.1199999973</v>
      </c>
      <c r="AI391" s="194">
        <v>18.010419115311628</v>
      </c>
      <c r="AJ391" s="194">
        <v>46.228496697881766</v>
      </c>
      <c r="AK391" s="194">
        <v>8.496695624896109</v>
      </c>
      <c r="AL391" s="194">
        <v>-0.57743535965068959</v>
      </c>
      <c r="AM391" s="194">
        <v>-22.165914892794707</v>
      </c>
      <c r="AN391" s="194">
        <v>3.8190768618185613</v>
      </c>
      <c r="AO391" s="194">
        <v>2.9279105538599794</v>
      </c>
      <c r="AP391" s="194">
        <v>7.5515723480189267</v>
      </c>
    </row>
    <row r="392" spans="1:42" ht="12" customHeight="1">
      <c r="A392" s="189" t="s">
        <v>840</v>
      </c>
      <c r="B392" s="189"/>
      <c r="C392" s="189" t="s">
        <v>351</v>
      </c>
      <c r="D392" s="189" t="s">
        <v>755</v>
      </c>
      <c r="E392" s="189" t="s">
        <v>873</v>
      </c>
      <c r="F392" s="190" t="s">
        <v>724</v>
      </c>
      <c r="G392" s="189" t="s">
        <v>681</v>
      </c>
      <c r="H392" s="197"/>
      <c r="I392" s="195"/>
      <c r="J392" s="195"/>
      <c r="K392" s="192">
        <v>2066275.97</v>
      </c>
      <c r="L392" s="192">
        <v>944220.66999999981</v>
      </c>
      <c r="M392" s="192">
        <v>6234525.5599999987</v>
      </c>
      <c r="N392" s="192">
        <v>4009217.6699999995</v>
      </c>
      <c r="O392" s="192">
        <v>56120.72</v>
      </c>
      <c r="P392" s="192">
        <v>2074032.01</v>
      </c>
      <c r="Q392" s="192">
        <v>157429.84999999998</v>
      </c>
      <c r="R392" s="192">
        <v>15384392.6</v>
      </c>
      <c r="S392" s="192">
        <v>1869769.9699999997</v>
      </c>
      <c r="T392" s="192">
        <v>741411.58000000019</v>
      </c>
      <c r="U392" s="192">
        <v>5793308.7000000011</v>
      </c>
      <c r="V392" s="192">
        <v>4080176.36</v>
      </c>
      <c r="W392" s="192">
        <v>72217.94</v>
      </c>
      <c r="X392" s="192">
        <v>2046405.3699999999</v>
      </c>
      <c r="Y392" s="192">
        <v>181534.03000000003</v>
      </c>
      <c r="Z392" s="192">
        <v>14603289.919999998</v>
      </c>
      <c r="AA392" s="193">
        <v>196506.00000000023</v>
      </c>
      <c r="AB392" s="193">
        <v>202809.08999999962</v>
      </c>
      <c r="AC392" s="193">
        <v>441216.85999999754</v>
      </c>
      <c r="AD392" s="193">
        <v>-70958.69000000041</v>
      </c>
      <c r="AE392" s="193">
        <v>-16097.220000000001</v>
      </c>
      <c r="AF392" s="193">
        <v>27626.64000000013</v>
      </c>
      <c r="AG392" s="193">
        <v>-24104.180000000051</v>
      </c>
      <c r="AH392" s="193">
        <v>781102.68000000156</v>
      </c>
      <c r="AI392" s="194">
        <v>10.509635043502183</v>
      </c>
      <c r="AJ392" s="194">
        <v>27.354454053711919</v>
      </c>
      <c r="AK392" s="194">
        <v>7.6159735800026924</v>
      </c>
      <c r="AL392" s="194">
        <v>-1.7391084046180889</v>
      </c>
      <c r="AM392" s="194">
        <v>-22.289780074037004</v>
      </c>
      <c r="AN392" s="194">
        <v>1.3500081853284098</v>
      </c>
      <c r="AO392" s="194">
        <v>-13.278050401899879</v>
      </c>
      <c r="AP392" s="194">
        <v>5.3488130707467434</v>
      </c>
    </row>
    <row r="393" spans="1:42" ht="12" customHeight="1">
      <c r="A393" s="189" t="s">
        <v>841</v>
      </c>
      <c r="B393" s="189"/>
      <c r="C393" s="189" t="s">
        <v>353</v>
      </c>
      <c r="D393" s="189" t="s">
        <v>755</v>
      </c>
      <c r="E393" s="189" t="s">
        <v>873</v>
      </c>
      <c r="F393" s="190" t="s">
        <v>724</v>
      </c>
      <c r="G393" s="189" t="s">
        <v>681</v>
      </c>
      <c r="H393" s="197"/>
      <c r="I393" s="195"/>
      <c r="J393" s="195"/>
      <c r="K393" s="192">
        <v>2918171.8299999996</v>
      </c>
      <c r="L393" s="192">
        <v>1182865.8999999999</v>
      </c>
      <c r="M393" s="192">
        <v>11329022.189999999</v>
      </c>
      <c r="N393" s="192">
        <v>6223776.790000001</v>
      </c>
      <c r="O393" s="192">
        <v>55753.89</v>
      </c>
      <c r="P393" s="192">
        <v>3572205.29</v>
      </c>
      <c r="Q393" s="192">
        <v>258925.45</v>
      </c>
      <c r="R393" s="192">
        <v>25281795.890000001</v>
      </c>
      <c r="S393" s="192">
        <v>2373546.35</v>
      </c>
      <c r="T393" s="192">
        <v>995917.43999999983</v>
      </c>
      <c r="U393" s="192">
        <v>8961496.8999999985</v>
      </c>
      <c r="V393" s="192">
        <v>5798019.3299999991</v>
      </c>
      <c r="W393" s="192">
        <v>85647.19</v>
      </c>
      <c r="X393" s="192">
        <v>3042079.96</v>
      </c>
      <c r="Y393" s="192">
        <v>222904.08000000002</v>
      </c>
      <c r="Z393" s="192">
        <v>21256707.169999998</v>
      </c>
      <c r="AA393" s="193">
        <v>544625.47999999952</v>
      </c>
      <c r="AB393" s="193">
        <v>186948.46000000008</v>
      </c>
      <c r="AC393" s="193">
        <v>2367525.290000001</v>
      </c>
      <c r="AD393" s="193">
        <v>425757.46000000183</v>
      </c>
      <c r="AE393" s="193">
        <v>-29893.300000000003</v>
      </c>
      <c r="AF393" s="193">
        <v>530125.33000000007</v>
      </c>
      <c r="AG393" s="193">
        <v>36021.369999999995</v>
      </c>
      <c r="AH393" s="193">
        <v>4025088.7200000025</v>
      </c>
      <c r="AI393" s="194">
        <v>22.945643340817824</v>
      </c>
      <c r="AJ393" s="194">
        <v>18.771481700330511</v>
      </c>
      <c r="AK393" s="194">
        <v>26.418859666179223</v>
      </c>
      <c r="AL393" s="194">
        <v>7.3431535110111801</v>
      </c>
      <c r="AM393" s="194">
        <v>-34.902838026559891</v>
      </c>
      <c r="AN393" s="194">
        <v>17.426410119739259</v>
      </c>
      <c r="AO393" s="194">
        <v>16.160031705117284</v>
      </c>
      <c r="AP393" s="194">
        <v>18.935617298622283</v>
      </c>
    </row>
    <row r="394" spans="1:42" ht="12" customHeight="1">
      <c r="A394" s="189" t="s">
        <v>842</v>
      </c>
      <c r="B394" s="189"/>
      <c r="C394" s="189" t="s">
        <v>345</v>
      </c>
      <c r="D394" s="189" t="s">
        <v>756</v>
      </c>
      <c r="E394" s="189" t="s">
        <v>871</v>
      </c>
      <c r="F394" s="190" t="s">
        <v>724</v>
      </c>
      <c r="G394" s="189" t="s">
        <v>681</v>
      </c>
      <c r="H394" s="197"/>
      <c r="I394" s="195"/>
      <c r="J394" s="195"/>
      <c r="K394" s="192">
        <v>3397651</v>
      </c>
      <c r="L394" s="192">
        <v>822829</v>
      </c>
      <c r="M394" s="192">
        <v>10712818</v>
      </c>
      <c r="N394" s="192">
        <v>7005047</v>
      </c>
      <c r="O394" s="192">
        <v>0</v>
      </c>
      <c r="P394" s="192">
        <v>3635537</v>
      </c>
      <c r="Q394" s="192">
        <v>120624</v>
      </c>
      <c r="R394" s="192">
        <v>25573882</v>
      </c>
      <c r="S394" s="192">
        <v>3100153</v>
      </c>
      <c r="T394" s="192">
        <v>772952</v>
      </c>
      <c r="U394" s="192">
        <v>9661277</v>
      </c>
      <c r="V394" s="192">
        <v>6941846</v>
      </c>
      <c r="W394" s="192">
        <v>0</v>
      </c>
      <c r="X394" s="192">
        <v>3339231</v>
      </c>
      <c r="Y394" s="192">
        <v>91310</v>
      </c>
      <c r="Z394" s="192">
        <v>23815459</v>
      </c>
      <c r="AA394" s="193">
        <v>297498</v>
      </c>
      <c r="AB394" s="193">
        <v>49877</v>
      </c>
      <c r="AC394" s="193">
        <v>1051541</v>
      </c>
      <c r="AD394" s="193">
        <v>63201</v>
      </c>
      <c r="AE394" s="193">
        <v>0</v>
      </c>
      <c r="AF394" s="193">
        <v>296306</v>
      </c>
      <c r="AG394" s="193">
        <v>29314</v>
      </c>
      <c r="AH394" s="193">
        <v>1758423</v>
      </c>
      <c r="AI394" s="194">
        <v>9.5962360567365543</v>
      </c>
      <c r="AJ394" s="194">
        <v>6.452793963920139</v>
      </c>
      <c r="AK394" s="194">
        <v>10.884078781717985</v>
      </c>
      <c r="AL394" s="194">
        <v>0.91043506295011445</v>
      </c>
      <c r="AM394" s="194" t="s">
        <v>985</v>
      </c>
      <c r="AN394" s="194">
        <v>8.873480151567831</v>
      </c>
      <c r="AO394" s="194">
        <v>32.103822144343447</v>
      </c>
      <c r="AP394" s="194">
        <v>7.3835360469013009</v>
      </c>
    </row>
    <row r="395" spans="1:42" ht="12" customHeight="1">
      <c r="A395" s="189" t="s">
        <v>843</v>
      </c>
      <c r="B395" s="189"/>
      <c r="C395" s="189" t="s">
        <v>342</v>
      </c>
      <c r="D395" s="189" t="s">
        <v>756</v>
      </c>
      <c r="E395" s="189" t="s">
        <v>877</v>
      </c>
      <c r="F395" s="190" t="s">
        <v>724</v>
      </c>
      <c r="G395" s="189" t="s">
        <v>681</v>
      </c>
      <c r="H395" s="197"/>
      <c r="I395" s="195"/>
      <c r="J395" s="195"/>
      <c r="K395" s="192">
        <v>2048833</v>
      </c>
      <c r="L395" s="192">
        <v>1171609</v>
      </c>
      <c r="M395" s="192">
        <v>7154726</v>
      </c>
      <c r="N395" s="192">
        <v>4837691</v>
      </c>
      <c r="O395" s="192">
        <v>59606</v>
      </c>
      <c r="P395" s="192">
        <v>2514992</v>
      </c>
      <c r="Q395" s="192">
        <v>253690</v>
      </c>
      <c r="R395" s="192">
        <v>17787457</v>
      </c>
      <c r="S395" s="192">
        <v>2207299</v>
      </c>
      <c r="T395" s="192">
        <v>1079886</v>
      </c>
      <c r="U395" s="192">
        <v>6121063</v>
      </c>
      <c r="V395" s="192">
        <v>4518605</v>
      </c>
      <c r="W395" s="192">
        <v>80350</v>
      </c>
      <c r="X395" s="192">
        <v>2269094</v>
      </c>
      <c r="Y395" s="192">
        <v>233617</v>
      </c>
      <c r="Z395" s="192">
        <v>16276297</v>
      </c>
      <c r="AA395" s="193">
        <v>-158466</v>
      </c>
      <c r="AB395" s="193">
        <v>91723</v>
      </c>
      <c r="AC395" s="193">
        <v>1033663</v>
      </c>
      <c r="AD395" s="193">
        <v>319086</v>
      </c>
      <c r="AE395" s="193">
        <v>-20744</v>
      </c>
      <c r="AF395" s="193">
        <v>245898</v>
      </c>
      <c r="AG395" s="193">
        <v>20073</v>
      </c>
      <c r="AH395" s="193">
        <v>1511160</v>
      </c>
      <c r="AI395" s="194">
        <v>-7.1791814339606912</v>
      </c>
      <c r="AJ395" s="194">
        <v>8.4937669346579181</v>
      </c>
      <c r="AK395" s="194">
        <v>16.886985152742259</v>
      </c>
      <c r="AL395" s="194">
        <v>7.061604189788663</v>
      </c>
      <c r="AM395" s="194">
        <v>-25.817050404480398</v>
      </c>
      <c r="AN395" s="194">
        <v>10.836836199822484</v>
      </c>
      <c r="AO395" s="194">
        <v>8.5922685421009604</v>
      </c>
      <c r="AP395" s="194">
        <v>9.2844213889682639</v>
      </c>
    </row>
    <row r="396" spans="1:42" ht="12" customHeight="1">
      <c r="A396" s="189" t="s">
        <v>653</v>
      </c>
      <c r="B396" s="189"/>
      <c r="C396" s="189" t="s">
        <v>347</v>
      </c>
      <c r="D396" s="189" t="s">
        <v>755</v>
      </c>
      <c r="E396" s="189" t="s">
        <v>873</v>
      </c>
      <c r="F396" s="190" t="s">
        <v>724</v>
      </c>
      <c r="G396" s="189" t="s">
        <v>681</v>
      </c>
      <c r="H396" s="197"/>
      <c r="I396" s="195"/>
      <c r="J396" s="195"/>
      <c r="K396" s="192">
        <v>2957472.3599999994</v>
      </c>
      <c r="L396" s="192">
        <v>705184.37000000011</v>
      </c>
      <c r="M396" s="192">
        <v>10001701.400000002</v>
      </c>
      <c r="N396" s="192">
        <v>5366800.6000000006</v>
      </c>
      <c r="O396" s="192">
        <v>51921.850000000006</v>
      </c>
      <c r="P396" s="192">
        <v>3138205.59</v>
      </c>
      <c r="Q396" s="192">
        <v>163888.95000000001</v>
      </c>
      <c r="R396" s="192">
        <v>22221286.170000006</v>
      </c>
      <c r="S396" s="192">
        <v>2588906.63</v>
      </c>
      <c r="T396" s="192">
        <v>670113.7699999999</v>
      </c>
      <c r="U396" s="192">
        <v>7875743.1700000009</v>
      </c>
      <c r="V396" s="192">
        <v>4686775.2299999995</v>
      </c>
      <c r="W396" s="192">
        <v>89495.57</v>
      </c>
      <c r="X396" s="192">
        <v>2631177.9499999997</v>
      </c>
      <c r="Y396" s="192">
        <v>169559.86000000002</v>
      </c>
      <c r="Z396" s="192">
        <v>18542212.32</v>
      </c>
      <c r="AA396" s="193">
        <v>368565.72999999952</v>
      </c>
      <c r="AB396" s="193">
        <v>35070.60000000021</v>
      </c>
      <c r="AC396" s="193">
        <v>2125958.2300000014</v>
      </c>
      <c r="AD396" s="193">
        <v>680025.37000000104</v>
      </c>
      <c r="AE396" s="193">
        <v>-37573.72</v>
      </c>
      <c r="AF396" s="193">
        <v>507027.64000000013</v>
      </c>
      <c r="AG396" s="193">
        <v>-5670.9100000000035</v>
      </c>
      <c r="AH396" s="193">
        <v>3679073.8500000052</v>
      </c>
      <c r="AI396" s="194">
        <v>14.236346947746025</v>
      </c>
      <c r="AJ396" s="194">
        <v>5.2335292259402779</v>
      </c>
      <c r="AK396" s="194">
        <v>26.993747562745895</v>
      </c>
      <c r="AL396" s="194">
        <v>14.509451309872206</v>
      </c>
      <c r="AM396" s="194">
        <v>-41.983888141055473</v>
      </c>
      <c r="AN396" s="194">
        <v>19.26998666129747</v>
      </c>
      <c r="AO396" s="194">
        <v>-3.3444884891978583</v>
      </c>
      <c r="AP396" s="194">
        <v>19.841612136172568</v>
      </c>
    </row>
    <row r="397" spans="1:42" ht="12" customHeight="1">
      <c r="A397" s="189" t="s">
        <v>654</v>
      </c>
      <c r="B397" s="189"/>
      <c r="C397" s="189" t="s">
        <v>348</v>
      </c>
      <c r="D397" s="189" t="s">
        <v>755</v>
      </c>
      <c r="E397" s="189" t="s">
        <v>877</v>
      </c>
      <c r="F397" s="190" t="s">
        <v>724</v>
      </c>
      <c r="G397" s="189" t="s">
        <v>681</v>
      </c>
      <c r="H397" s="197"/>
      <c r="I397" s="195"/>
      <c r="J397" s="195"/>
      <c r="K397" s="192">
        <v>4096051.8899999997</v>
      </c>
      <c r="L397" s="192">
        <v>2506251.3200000003</v>
      </c>
      <c r="M397" s="192">
        <v>15922315.280000001</v>
      </c>
      <c r="N397" s="192">
        <v>12494720.9</v>
      </c>
      <c r="O397" s="192">
        <v>254925.44</v>
      </c>
      <c r="P397" s="192">
        <v>5248705.2999999989</v>
      </c>
      <c r="Q397" s="192">
        <v>437777.63</v>
      </c>
      <c r="R397" s="192">
        <v>40522970.129999995</v>
      </c>
      <c r="S397" s="192">
        <v>3754964.8099999996</v>
      </c>
      <c r="T397" s="192">
        <v>2313072.4400000004</v>
      </c>
      <c r="U397" s="192">
        <v>13213035.299999999</v>
      </c>
      <c r="V397" s="192">
        <v>11124551.759999998</v>
      </c>
      <c r="W397" s="192">
        <v>392260.28</v>
      </c>
      <c r="X397" s="192">
        <v>4698340.4399999995</v>
      </c>
      <c r="Y397" s="192">
        <v>430154.3</v>
      </c>
      <c r="Z397" s="192">
        <v>35496225.029999994</v>
      </c>
      <c r="AA397" s="193">
        <v>341087.08000000007</v>
      </c>
      <c r="AB397" s="193">
        <v>193178.87999999989</v>
      </c>
      <c r="AC397" s="193">
        <v>2709279.9800000023</v>
      </c>
      <c r="AD397" s="193">
        <v>1370169.1400000025</v>
      </c>
      <c r="AE397" s="193">
        <v>-137334.84000000003</v>
      </c>
      <c r="AF397" s="193">
        <v>550364.8599999994</v>
      </c>
      <c r="AG397" s="193">
        <v>7623.3300000000163</v>
      </c>
      <c r="AH397" s="193">
        <v>5026745.1000000015</v>
      </c>
      <c r="AI397" s="194">
        <v>9.0836292018406457</v>
      </c>
      <c r="AJ397" s="194">
        <v>8.351613925243079</v>
      </c>
      <c r="AK397" s="194">
        <v>20.504599575239176</v>
      </c>
      <c r="AL397" s="194">
        <v>12.31662335310131</v>
      </c>
      <c r="AM397" s="194">
        <v>-35.011151269254185</v>
      </c>
      <c r="AN397" s="194">
        <v>11.71402683625028</v>
      </c>
      <c r="AO397" s="194">
        <v>1.7722314992550385</v>
      </c>
      <c r="AP397" s="194">
        <v>14.161351230311384</v>
      </c>
    </row>
    <row r="398" spans="1:42" ht="12" customHeight="1">
      <c r="A398" s="189" t="s">
        <v>655</v>
      </c>
      <c r="B398" s="189"/>
      <c r="C398" s="189" t="s">
        <v>349</v>
      </c>
      <c r="D398" s="189" t="s">
        <v>755</v>
      </c>
      <c r="E398" s="189" t="s">
        <v>872</v>
      </c>
      <c r="F398" s="190" t="s">
        <v>724</v>
      </c>
      <c r="G398" s="189" t="s">
        <v>681</v>
      </c>
      <c r="H398" s="197"/>
      <c r="I398" s="195"/>
      <c r="J398" s="195"/>
      <c r="K398" s="192">
        <v>3608229.81</v>
      </c>
      <c r="L398" s="192">
        <v>1983862.43</v>
      </c>
      <c r="M398" s="192">
        <v>14323623.310000001</v>
      </c>
      <c r="N398" s="192">
        <v>9240061.4100000039</v>
      </c>
      <c r="O398" s="192">
        <v>128727.92000000001</v>
      </c>
      <c r="P398" s="192">
        <v>4839179.82</v>
      </c>
      <c r="Q398" s="192">
        <v>426241.68999999994</v>
      </c>
      <c r="R398" s="192">
        <v>34123684.700000003</v>
      </c>
      <c r="S398" s="192">
        <v>3412111.0999999992</v>
      </c>
      <c r="T398" s="192">
        <v>1513140.3300000003</v>
      </c>
      <c r="U398" s="192">
        <v>12063574.130000001</v>
      </c>
      <c r="V398" s="192">
        <v>8628341.0199999977</v>
      </c>
      <c r="W398" s="192">
        <v>114539.66</v>
      </c>
      <c r="X398" s="192">
        <v>4179237.8</v>
      </c>
      <c r="Y398" s="192">
        <v>389336.04000000004</v>
      </c>
      <c r="Z398" s="192">
        <v>29910944.039999999</v>
      </c>
      <c r="AA398" s="193">
        <v>196118.71000000089</v>
      </c>
      <c r="AB398" s="193">
        <v>470722.09999999963</v>
      </c>
      <c r="AC398" s="193">
        <v>2260049.1799999997</v>
      </c>
      <c r="AD398" s="193">
        <v>611720.39000000618</v>
      </c>
      <c r="AE398" s="193">
        <v>14188.260000000009</v>
      </c>
      <c r="AF398" s="193">
        <v>659942.02000000048</v>
      </c>
      <c r="AG398" s="193">
        <v>36905.649999999907</v>
      </c>
      <c r="AH398" s="193">
        <v>4212740.6600000039</v>
      </c>
      <c r="AI398" s="194">
        <v>5.7477234548429834</v>
      </c>
      <c r="AJ398" s="194">
        <v>31.108952069237329</v>
      </c>
      <c r="AK398" s="194">
        <v>18.734490754109533</v>
      </c>
      <c r="AL398" s="194">
        <v>7.0896640337009567</v>
      </c>
      <c r="AM398" s="194">
        <v>12.387202825641362</v>
      </c>
      <c r="AN398" s="194">
        <v>15.790965998632586</v>
      </c>
      <c r="AO398" s="194">
        <v>9.4791250252609309</v>
      </c>
      <c r="AP398" s="194">
        <v>14.084278498085157</v>
      </c>
    </row>
    <row r="399" spans="1:42" ht="12" customHeight="1">
      <c r="A399" s="189" t="s">
        <v>844</v>
      </c>
      <c r="B399" s="189"/>
      <c r="C399" s="189" t="s">
        <v>365</v>
      </c>
      <c r="D399" s="189" t="s">
        <v>755</v>
      </c>
      <c r="E399" s="189" t="s">
        <v>873</v>
      </c>
      <c r="F399" s="190" t="s">
        <v>724</v>
      </c>
      <c r="G399" s="189" t="s">
        <v>681</v>
      </c>
      <c r="H399" s="197"/>
      <c r="I399" s="195"/>
      <c r="J399" s="195"/>
      <c r="K399" s="192">
        <v>4221961.9800000004</v>
      </c>
      <c r="L399" s="192">
        <v>2113220.6699999995</v>
      </c>
      <c r="M399" s="192">
        <v>15459327.470000001</v>
      </c>
      <c r="N399" s="192">
        <v>9452452.8099999987</v>
      </c>
      <c r="O399" s="192">
        <v>228742.49000000002</v>
      </c>
      <c r="P399" s="192">
        <v>4832906.0199999996</v>
      </c>
      <c r="Q399" s="192">
        <v>524478.88</v>
      </c>
      <c r="R399" s="192">
        <v>36308611.439999998</v>
      </c>
      <c r="S399" s="192">
        <v>4018399.32</v>
      </c>
      <c r="T399" s="192">
        <v>1637443.8599999999</v>
      </c>
      <c r="U399" s="192">
        <v>13130293.830000002</v>
      </c>
      <c r="V399" s="192">
        <v>8738188.8300000001</v>
      </c>
      <c r="W399" s="192">
        <v>289338.75</v>
      </c>
      <c r="X399" s="192">
        <v>4457423.12</v>
      </c>
      <c r="Y399" s="192">
        <v>452988.61</v>
      </c>
      <c r="Z399" s="192">
        <v>32271087.710000005</v>
      </c>
      <c r="AA399" s="193">
        <v>203562.66000000061</v>
      </c>
      <c r="AB399" s="193">
        <v>475776.80999999959</v>
      </c>
      <c r="AC399" s="193">
        <v>2329033.6399999987</v>
      </c>
      <c r="AD399" s="193">
        <v>714263.97999999858</v>
      </c>
      <c r="AE399" s="193">
        <v>-60596.25999999998</v>
      </c>
      <c r="AF399" s="193">
        <v>375482.89999999944</v>
      </c>
      <c r="AG399" s="193">
        <v>71490.270000000019</v>
      </c>
      <c r="AH399" s="193">
        <v>4037523.729999993</v>
      </c>
      <c r="AI399" s="194">
        <v>5.065764842902686</v>
      </c>
      <c r="AJ399" s="194">
        <v>29.056068523778251</v>
      </c>
      <c r="AK399" s="194">
        <v>17.737863829662665</v>
      </c>
      <c r="AL399" s="194">
        <v>8.1740506401942632</v>
      </c>
      <c r="AM399" s="194">
        <v>-20.943015755753414</v>
      </c>
      <c r="AN399" s="194">
        <v>8.4237661512376114</v>
      </c>
      <c r="AO399" s="194">
        <v>15.781913368638566</v>
      </c>
      <c r="AP399" s="194">
        <v>12.511272524442568</v>
      </c>
    </row>
    <row r="400" spans="1:42" ht="12" customHeight="1">
      <c r="A400" s="189" t="s">
        <v>656</v>
      </c>
      <c r="B400" s="189"/>
      <c r="C400" s="189" t="s">
        <v>357</v>
      </c>
      <c r="D400" s="189" t="s">
        <v>755</v>
      </c>
      <c r="E400" s="189" t="s">
        <v>877</v>
      </c>
      <c r="F400" s="190" t="s">
        <v>724</v>
      </c>
      <c r="G400" s="189" t="s">
        <v>681</v>
      </c>
      <c r="H400" s="197"/>
      <c r="I400" s="195"/>
      <c r="J400" s="195"/>
      <c r="K400" s="192">
        <v>89668932.079999998</v>
      </c>
      <c r="L400" s="192">
        <v>45478012.889999993</v>
      </c>
      <c r="M400" s="192">
        <v>271960836.47999996</v>
      </c>
      <c r="N400" s="192">
        <v>310300342.49000001</v>
      </c>
      <c r="O400" s="192">
        <v>6327695.9600000009</v>
      </c>
      <c r="P400" s="192">
        <v>96002516.750000015</v>
      </c>
      <c r="Q400" s="192">
        <v>11676039.240000002</v>
      </c>
      <c r="R400" s="192">
        <v>819738336.64999998</v>
      </c>
      <c r="S400" s="192">
        <v>87108025.840000004</v>
      </c>
      <c r="T400" s="192">
        <v>46001947.390000001</v>
      </c>
      <c r="U400" s="192">
        <v>237667086.07999998</v>
      </c>
      <c r="V400" s="192">
        <v>300039267.87000012</v>
      </c>
      <c r="W400" s="192">
        <v>6564847.0800000001</v>
      </c>
      <c r="X400" s="192">
        <v>89799462.050000012</v>
      </c>
      <c r="Y400" s="192">
        <v>10099703.460000001</v>
      </c>
      <c r="Z400" s="192">
        <v>767180636.31000018</v>
      </c>
      <c r="AA400" s="193">
        <v>2560906.2399999946</v>
      </c>
      <c r="AB400" s="193">
        <v>-523934.50000000745</v>
      </c>
      <c r="AC400" s="193">
        <v>34293750.399999976</v>
      </c>
      <c r="AD400" s="193">
        <v>10261074.619999886</v>
      </c>
      <c r="AE400" s="193">
        <v>-237151.11999999918</v>
      </c>
      <c r="AF400" s="193">
        <v>6203054.700000003</v>
      </c>
      <c r="AG400" s="193">
        <v>1576335.7800000012</v>
      </c>
      <c r="AH400" s="193">
        <v>52557700.339999795</v>
      </c>
      <c r="AI400" s="194">
        <v>2.9399199617999225</v>
      </c>
      <c r="AJ400" s="194">
        <v>-1.1389398269558941</v>
      </c>
      <c r="AK400" s="194">
        <v>14.429322530784308</v>
      </c>
      <c r="AL400" s="194">
        <v>3.4199105646550785</v>
      </c>
      <c r="AM400" s="194">
        <v>-3.6124393624108477</v>
      </c>
      <c r="AN400" s="194">
        <v>6.9076746768774235</v>
      </c>
      <c r="AO400" s="194">
        <v>15.607743200016696</v>
      </c>
      <c r="AP400" s="194">
        <v>6.8507595020636609</v>
      </c>
    </row>
    <row r="401" spans="1:42" ht="12" customHeight="1">
      <c r="A401" s="189" t="s">
        <v>845</v>
      </c>
      <c r="B401" s="189"/>
      <c r="C401" s="189" t="s">
        <v>358</v>
      </c>
      <c r="D401" s="189" t="s">
        <v>756</v>
      </c>
      <c r="E401" s="189" t="s">
        <v>871</v>
      </c>
      <c r="F401" s="190" t="s">
        <v>724</v>
      </c>
      <c r="G401" s="189" t="s">
        <v>681</v>
      </c>
      <c r="H401" s="197"/>
      <c r="I401" s="195"/>
      <c r="J401" s="195"/>
      <c r="K401" s="192">
        <v>11773012</v>
      </c>
      <c r="L401" s="192">
        <v>3343085</v>
      </c>
      <c r="M401" s="192">
        <v>38731557</v>
      </c>
      <c r="N401" s="192">
        <v>37672334</v>
      </c>
      <c r="O401" s="192">
        <v>736361</v>
      </c>
      <c r="P401" s="192">
        <v>12426451</v>
      </c>
      <c r="Q401" s="192">
        <v>1787655</v>
      </c>
      <c r="R401" s="192">
        <v>104682800</v>
      </c>
      <c r="S401" s="192">
        <v>10843320</v>
      </c>
      <c r="T401" s="192">
        <v>3067504</v>
      </c>
      <c r="U401" s="192">
        <v>33474061</v>
      </c>
      <c r="V401" s="192">
        <v>35683250</v>
      </c>
      <c r="W401" s="192">
        <v>661967</v>
      </c>
      <c r="X401" s="192">
        <v>11489880</v>
      </c>
      <c r="Y401" s="192">
        <v>1415667</v>
      </c>
      <c r="Z401" s="192">
        <v>95219982</v>
      </c>
      <c r="AA401" s="193">
        <v>929692</v>
      </c>
      <c r="AB401" s="193">
        <v>275581</v>
      </c>
      <c r="AC401" s="193">
        <v>5257496</v>
      </c>
      <c r="AD401" s="193">
        <v>1989084</v>
      </c>
      <c r="AE401" s="193">
        <v>74394</v>
      </c>
      <c r="AF401" s="193">
        <v>936571</v>
      </c>
      <c r="AG401" s="193">
        <v>371988</v>
      </c>
      <c r="AH401" s="193">
        <v>9462818</v>
      </c>
      <c r="AI401" s="194">
        <v>8.5738685199735869</v>
      </c>
      <c r="AJ401" s="194">
        <v>8.9838839655954814</v>
      </c>
      <c r="AK401" s="194">
        <v>15.706179181545973</v>
      </c>
      <c r="AL401" s="194">
        <v>5.574279248667092</v>
      </c>
      <c r="AM401" s="194">
        <v>11.238324569049514</v>
      </c>
      <c r="AN401" s="194">
        <v>8.1512687686903611</v>
      </c>
      <c r="AO401" s="194">
        <v>26.27651841852639</v>
      </c>
      <c r="AP401" s="194">
        <v>9.9378489695576704</v>
      </c>
    </row>
    <row r="402" spans="1:42" ht="12" customHeight="1">
      <c r="A402" s="189" t="s">
        <v>657</v>
      </c>
      <c r="B402" s="189"/>
      <c r="C402" s="189" t="s">
        <v>360</v>
      </c>
      <c r="D402" s="189" t="s">
        <v>755</v>
      </c>
      <c r="E402" s="189" t="s">
        <v>873</v>
      </c>
      <c r="F402" s="190" t="s">
        <v>724</v>
      </c>
      <c r="G402" s="189" t="s">
        <v>681</v>
      </c>
      <c r="H402" s="197"/>
      <c r="I402" s="195"/>
      <c r="J402" s="195"/>
      <c r="K402" s="192">
        <v>2150369.16</v>
      </c>
      <c r="L402" s="192">
        <v>759817.41</v>
      </c>
      <c r="M402" s="192">
        <v>8136848.04</v>
      </c>
      <c r="N402" s="192">
        <v>3787711.67</v>
      </c>
      <c r="O402" s="192">
        <v>73246.34</v>
      </c>
      <c r="P402" s="192">
        <v>2435035.08</v>
      </c>
      <c r="Q402" s="192">
        <v>155613.69</v>
      </c>
      <c r="R402" s="192">
        <v>17343027.699999999</v>
      </c>
      <c r="S402" s="192">
        <v>1942627.79</v>
      </c>
      <c r="T402" s="192">
        <v>356621.26999999996</v>
      </c>
      <c r="U402" s="192">
        <v>6382631.2899999991</v>
      </c>
      <c r="V402" s="192">
        <v>3328678.78</v>
      </c>
      <c r="W402" s="192">
        <v>94701.83</v>
      </c>
      <c r="X402" s="192">
        <v>2075995.0699999998</v>
      </c>
      <c r="Y402" s="192">
        <v>129000.43999999999</v>
      </c>
      <c r="Z402" s="192">
        <v>14181256.029999999</v>
      </c>
      <c r="AA402" s="193">
        <v>207741.37000000011</v>
      </c>
      <c r="AB402" s="193">
        <v>403196.14000000007</v>
      </c>
      <c r="AC402" s="193">
        <v>1754216.7500000009</v>
      </c>
      <c r="AD402" s="193">
        <v>459032.89000000013</v>
      </c>
      <c r="AE402" s="193">
        <v>-21455.490000000005</v>
      </c>
      <c r="AF402" s="193">
        <v>359040.01000000024</v>
      </c>
      <c r="AG402" s="193">
        <v>26613.250000000015</v>
      </c>
      <c r="AH402" s="193">
        <v>3161771.67</v>
      </c>
      <c r="AI402" s="194">
        <v>10.693832913818252</v>
      </c>
      <c r="AJ402" s="194">
        <v>113.06003705275351</v>
      </c>
      <c r="AK402" s="194">
        <v>27.484225083601864</v>
      </c>
      <c r="AL402" s="194">
        <v>13.790242926354107</v>
      </c>
      <c r="AM402" s="194">
        <v>-22.655834633818593</v>
      </c>
      <c r="AN402" s="194">
        <v>17.294839240634627</v>
      </c>
      <c r="AO402" s="194">
        <v>20.630355989483459</v>
      </c>
      <c r="AP402" s="194">
        <v>22.29542759337658</v>
      </c>
    </row>
    <row r="403" spans="1:42" ht="12" customHeight="1">
      <c r="A403" s="189" t="s">
        <v>658</v>
      </c>
      <c r="B403" s="189"/>
      <c r="C403" s="189" t="s">
        <v>361</v>
      </c>
      <c r="D403" s="189" t="s">
        <v>755</v>
      </c>
      <c r="E403" s="189" t="s">
        <v>877</v>
      </c>
      <c r="F403" s="190" t="s">
        <v>724</v>
      </c>
      <c r="G403" s="189" t="s">
        <v>681</v>
      </c>
      <c r="H403" s="197"/>
      <c r="I403" s="195"/>
      <c r="J403" s="195"/>
      <c r="K403" s="192">
        <v>3844832.0599999996</v>
      </c>
      <c r="L403" s="192">
        <v>2253680.21</v>
      </c>
      <c r="M403" s="192">
        <v>13717497.859999999</v>
      </c>
      <c r="N403" s="192">
        <v>11202169.470000001</v>
      </c>
      <c r="O403" s="192">
        <v>238013.03999999998</v>
      </c>
      <c r="P403" s="192">
        <v>4683762.0299999993</v>
      </c>
      <c r="Q403" s="192">
        <v>456351.25</v>
      </c>
      <c r="R403" s="192">
        <v>35939954.670000002</v>
      </c>
      <c r="S403" s="192">
        <v>3504178.1999999997</v>
      </c>
      <c r="T403" s="192">
        <v>2229927.1</v>
      </c>
      <c r="U403" s="192">
        <v>11085247.360000001</v>
      </c>
      <c r="V403" s="192">
        <v>9762979.5800000001</v>
      </c>
      <c r="W403" s="192">
        <v>307140.77999999997</v>
      </c>
      <c r="X403" s="192">
        <v>4057434.3</v>
      </c>
      <c r="Y403" s="192">
        <v>325627.43</v>
      </c>
      <c r="Z403" s="192">
        <v>30946907.320000004</v>
      </c>
      <c r="AA403" s="193">
        <v>340653.85999999987</v>
      </c>
      <c r="AB403" s="193">
        <v>23753.10999999987</v>
      </c>
      <c r="AC403" s="193">
        <v>2632250.4999999981</v>
      </c>
      <c r="AD403" s="193">
        <v>1439189.8900000006</v>
      </c>
      <c r="AE403" s="193">
        <v>-69127.739999999991</v>
      </c>
      <c r="AF403" s="193">
        <v>626327.72999999952</v>
      </c>
      <c r="AG403" s="193">
        <v>130723.82</v>
      </c>
      <c r="AH403" s="193">
        <v>4993047.3499999978</v>
      </c>
      <c r="AI403" s="194">
        <v>9.7213623439584183</v>
      </c>
      <c r="AJ403" s="194">
        <v>1.0651967053093292</v>
      </c>
      <c r="AK403" s="194">
        <v>23.745527858026957</v>
      </c>
      <c r="AL403" s="194">
        <v>14.741297758609065</v>
      </c>
      <c r="AM403" s="194">
        <v>-22.506858255683273</v>
      </c>
      <c r="AN403" s="194">
        <v>15.436546440197429</v>
      </c>
      <c r="AO403" s="194">
        <v>40.145211353969785</v>
      </c>
      <c r="AP403" s="194">
        <v>16.134236931562949</v>
      </c>
    </row>
    <row r="404" spans="1:42" ht="12" customHeight="1">
      <c r="A404" s="189" t="s">
        <v>659</v>
      </c>
      <c r="B404" s="189"/>
      <c r="C404" s="189" t="s">
        <v>362</v>
      </c>
      <c r="D404" s="189" t="s">
        <v>755</v>
      </c>
      <c r="E404" s="189" t="s">
        <v>872</v>
      </c>
      <c r="F404" s="190" t="s">
        <v>724</v>
      </c>
      <c r="G404" s="189" t="s">
        <v>681</v>
      </c>
      <c r="H404" s="197"/>
      <c r="I404" s="195"/>
      <c r="J404" s="195"/>
      <c r="K404" s="192">
        <v>6661123.7600000007</v>
      </c>
      <c r="L404" s="192">
        <v>2787681.5899999994</v>
      </c>
      <c r="M404" s="192">
        <v>23067901.59</v>
      </c>
      <c r="N404" s="192">
        <v>13926955.99</v>
      </c>
      <c r="O404" s="192">
        <v>479191.10000000003</v>
      </c>
      <c r="P404" s="192">
        <v>7501651.5600000005</v>
      </c>
      <c r="Q404" s="192">
        <v>694066.19</v>
      </c>
      <c r="R404" s="192">
        <v>54424505.590000004</v>
      </c>
      <c r="S404" s="192">
        <v>6339206.0899999989</v>
      </c>
      <c r="T404" s="192">
        <v>2193089.65</v>
      </c>
      <c r="U404" s="192">
        <v>19049767.379999999</v>
      </c>
      <c r="V404" s="192">
        <v>12890250.43</v>
      </c>
      <c r="W404" s="192">
        <v>572186.52</v>
      </c>
      <c r="X404" s="192">
        <v>6661209.4400000004</v>
      </c>
      <c r="Y404" s="192">
        <v>593158.34999999986</v>
      </c>
      <c r="Z404" s="192">
        <v>47705709.509999998</v>
      </c>
      <c r="AA404" s="193">
        <v>321917.67000000179</v>
      </c>
      <c r="AB404" s="193">
        <v>594591.93999999948</v>
      </c>
      <c r="AC404" s="193">
        <v>4018134.2100000009</v>
      </c>
      <c r="AD404" s="193">
        <v>1036705.5600000005</v>
      </c>
      <c r="AE404" s="193">
        <v>-92995.419999999984</v>
      </c>
      <c r="AF404" s="193">
        <v>840442.12000000011</v>
      </c>
      <c r="AG404" s="193">
        <v>100907.84000000008</v>
      </c>
      <c r="AH404" s="193">
        <v>6718796.0800000057</v>
      </c>
      <c r="AI404" s="194">
        <v>5.0782016774596119</v>
      </c>
      <c r="AJ404" s="194">
        <v>27.112067215309665</v>
      </c>
      <c r="AK404" s="194">
        <v>21.092825596487682</v>
      </c>
      <c r="AL404" s="194">
        <v>8.0425556169741572</v>
      </c>
      <c r="AM404" s="194">
        <v>-16.25264083467048</v>
      </c>
      <c r="AN404" s="194">
        <v>12.616959841454859</v>
      </c>
      <c r="AO404" s="194">
        <v>17.011956419394604</v>
      </c>
      <c r="AP404" s="194">
        <v>14.083840590593505</v>
      </c>
    </row>
    <row r="405" spans="1:42" ht="12" customHeight="1">
      <c r="A405" s="189" t="s">
        <v>660</v>
      </c>
      <c r="B405" s="189"/>
      <c r="C405" s="189" t="s">
        <v>366</v>
      </c>
      <c r="D405" s="189" t="s">
        <v>755</v>
      </c>
      <c r="E405" s="189" t="s">
        <v>871</v>
      </c>
      <c r="F405" s="190" t="s">
        <v>724</v>
      </c>
      <c r="G405" s="189" t="s">
        <v>681</v>
      </c>
      <c r="H405" s="197"/>
      <c r="I405" s="195"/>
      <c r="J405" s="195"/>
      <c r="K405" s="192">
        <v>3462528.9200000004</v>
      </c>
      <c r="L405" s="192">
        <v>1893913.4100000001</v>
      </c>
      <c r="M405" s="192">
        <v>12264706.059999999</v>
      </c>
      <c r="N405" s="192">
        <v>8786510.6399999987</v>
      </c>
      <c r="O405" s="192">
        <v>130691.66</v>
      </c>
      <c r="P405" s="192">
        <v>4272378.1099999994</v>
      </c>
      <c r="Q405" s="192">
        <v>360407.97</v>
      </c>
      <c r="R405" s="192">
        <v>30810728.800000001</v>
      </c>
      <c r="S405" s="192">
        <v>3016480.51</v>
      </c>
      <c r="T405" s="192">
        <v>1461675.13</v>
      </c>
      <c r="U405" s="192">
        <v>10378400.51</v>
      </c>
      <c r="V405" s="192">
        <v>8770524.0400000028</v>
      </c>
      <c r="W405" s="192">
        <v>140969.21000000002</v>
      </c>
      <c r="X405" s="192">
        <v>3923478.0800000005</v>
      </c>
      <c r="Y405" s="192">
        <v>303855.31999999995</v>
      </c>
      <c r="Z405" s="192">
        <v>27691527.480000004</v>
      </c>
      <c r="AA405" s="193">
        <v>446048.41000000061</v>
      </c>
      <c r="AB405" s="193">
        <v>432238.28000000026</v>
      </c>
      <c r="AC405" s="193">
        <v>1886305.5499999989</v>
      </c>
      <c r="AD405" s="193">
        <v>15986.599999995902</v>
      </c>
      <c r="AE405" s="193">
        <v>-10277.550000000017</v>
      </c>
      <c r="AF405" s="193">
        <v>348900.02999999886</v>
      </c>
      <c r="AG405" s="193">
        <v>56552.650000000023</v>
      </c>
      <c r="AH405" s="193">
        <v>3119201.3199999966</v>
      </c>
      <c r="AI405" s="194">
        <v>14.787047637844697</v>
      </c>
      <c r="AJ405" s="194">
        <v>29.571432880574516</v>
      </c>
      <c r="AK405" s="194">
        <v>18.175301176539378</v>
      </c>
      <c r="AL405" s="194">
        <v>0.18227645152199934</v>
      </c>
      <c r="AM405" s="194">
        <v>-7.2906346002790361</v>
      </c>
      <c r="AN405" s="194">
        <v>8.8926208554222086</v>
      </c>
      <c r="AO405" s="194">
        <v>18.6117030960656</v>
      </c>
      <c r="AP405" s="194">
        <v>11.264099902949797</v>
      </c>
    </row>
    <row r="406" spans="1:42" ht="12" customHeight="1">
      <c r="A406" s="189" t="s">
        <v>661</v>
      </c>
      <c r="B406" s="189"/>
      <c r="C406" s="189" t="s">
        <v>367</v>
      </c>
      <c r="D406" s="189" t="s">
        <v>756</v>
      </c>
      <c r="E406" s="189" t="s">
        <v>871</v>
      </c>
      <c r="F406" s="190" t="s">
        <v>724</v>
      </c>
      <c r="G406" s="189" t="s">
        <v>681</v>
      </c>
      <c r="H406" s="197"/>
      <c r="I406" s="195"/>
      <c r="J406" s="195"/>
      <c r="K406" s="192">
        <v>2317132</v>
      </c>
      <c r="L406" s="192">
        <v>496955</v>
      </c>
      <c r="M406" s="192">
        <v>6528311</v>
      </c>
      <c r="N406" s="192">
        <v>5800578</v>
      </c>
      <c r="O406" s="192">
        <v>56414</v>
      </c>
      <c r="P406" s="192">
        <v>2607483</v>
      </c>
      <c r="Q406" s="192">
        <v>198664</v>
      </c>
      <c r="R406" s="192">
        <v>17806873</v>
      </c>
      <c r="S406" s="192">
        <v>2025526</v>
      </c>
      <c r="T406" s="192">
        <v>363520</v>
      </c>
      <c r="U406" s="192" t="s">
        <v>987</v>
      </c>
      <c r="V406" s="192">
        <v>5372662</v>
      </c>
      <c r="W406" s="192">
        <v>78863</v>
      </c>
      <c r="X406" s="192">
        <v>2188850</v>
      </c>
      <c r="Y406" s="192">
        <v>73289</v>
      </c>
      <c r="Z406" s="192" t="s">
        <v>987</v>
      </c>
      <c r="AA406" s="193">
        <v>291606</v>
      </c>
      <c r="AB406" s="193">
        <v>133435</v>
      </c>
      <c r="AC406" s="193" t="s">
        <v>985</v>
      </c>
      <c r="AD406" s="193">
        <v>427916</v>
      </c>
      <c r="AE406" s="193">
        <v>-22449</v>
      </c>
      <c r="AF406" s="193">
        <v>418633</v>
      </c>
      <c r="AG406" s="193">
        <v>125375</v>
      </c>
      <c r="AH406" s="193" t="s">
        <v>985</v>
      </c>
      <c r="AI406" s="194">
        <v>14.39655674624764</v>
      </c>
      <c r="AJ406" s="194">
        <v>36.706371038732392</v>
      </c>
      <c r="AK406" s="194" t="s">
        <v>985</v>
      </c>
      <c r="AL406" s="194">
        <v>7.9646923629292141</v>
      </c>
      <c r="AM406" s="194">
        <v>-28.465820473479326</v>
      </c>
      <c r="AN406" s="194">
        <v>19.125705279027798</v>
      </c>
      <c r="AO406" s="194">
        <v>171.06932827573033</v>
      </c>
      <c r="AP406" s="194" t="s">
        <v>985</v>
      </c>
    </row>
    <row r="407" spans="1:42" ht="12" customHeight="1">
      <c r="A407" s="189" t="s">
        <v>662</v>
      </c>
      <c r="B407" s="189"/>
      <c r="C407" s="189" t="s">
        <v>368</v>
      </c>
      <c r="D407" s="189" t="s">
        <v>755</v>
      </c>
      <c r="E407" s="189" t="s">
        <v>877</v>
      </c>
      <c r="F407" s="190" t="s">
        <v>724</v>
      </c>
      <c r="G407" s="189" t="s">
        <v>681</v>
      </c>
      <c r="H407" s="197"/>
      <c r="I407" s="195"/>
      <c r="J407" s="195"/>
      <c r="K407" s="192">
        <v>3935930.44</v>
      </c>
      <c r="L407" s="192">
        <v>1324399.4200000002</v>
      </c>
      <c r="M407" s="192">
        <v>11852910.180000002</v>
      </c>
      <c r="N407" s="192">
        <v>10616848.299999999</v>
      </c>
      <c r="O407" s="192">
        <v>111035.20999999999</v>
      </c>
      <c r="P407" s="192">
        <v>4116165.9599999995</v>
      </c>
      <c r="Q407" s="192">
        <v>513165.38</v>
      </c>
      <c r="R407" s="192">
        <v>31957289.510000005</v>
      </c>
      <c r="S407" s="192">
        <v>3665323.6599999992</v>
      </c>
      <c r="T407" s="192">
        <v>1663911.48</v>
      </c>
      <c r="U407" s="192">
        <v>9728920.5900000017</v>
      </c>
      <c r="V407" s="192">
        <v>9587525.2200000007</v>
      </c>
      <c r="W407" s="192">
        <v>93609.44</v>
      </c>
      <c r="X407" s="192">
        <v>3625364.59</v>
      </c>
      <c r="Y407" s="192">
        <v>288752.14</v>
      </c>
      <c r="Z407" s="192">
        <v>28364654.980000004</v>
      </c>
      <c r="AA407" s="193">
        <v>270606.78000000073</v>
      </c>
      <c r="AB407" s="193">
        <v>-339512.05999999982</v>
      </c>
      <c r="AC407" s="193">
        <v>2123989.59</v>
      </c>
      <c r="AD407" s="193">
        <v>1029323.0799999982</v>
      </c>
      <c r="AE407" s="193">
        <v>17425.76999999999</v>
      </c>
      <c r="AF407" s="193">
        <v>490801.36999999965</v>
      </c>
      <c r="AG407" s="193">
        <v>224413.24</v>
      </c>
      <c r="AH407" s="193">
        <v>3592634.5300000012</v>
      </c>
      <c r="AI407" s="194">
        <v>7.3828890734304427</v>
      </c>
      <c r="AJ407" s="194">
        <v>-20.404454448502264</v>
      </c>
      <c r="AK407" s="194">
        <v>21.831708567784698</v>
      </c>
      <c r="AL407" s="194">
        <v>10.736066465335444</v>
      </c>
      <c r="AM407" s="194">
        <v>18.615398190609824</v>
      </c>
      <c r="AN407" s="194">
        <v>13.537986533928157</v>
      </c>
      <c r="AO407" s="194">
        <v>77.718295005536575</v>
      </c>
      <c r="AP407" s="194">
        <v>12.665884822266223</v>
      </c>
    </row>
    <row r="408" spans="1:42" ht="12" customHeight="1">
      <c r="A408" s="189" t="s">
        <v>663</v>
      </c>
      <c r="B408" s="189"/>
      <c r="C408" s="189" t="s">
        <v>369</v>
      </c>
      <c r="D408" s="189" t="s">
        <v>755</v>
      </c>
      <c r="E408" s="189" t="s">
        <v>871</v>
      </c>
      <c r="F408" s="190" t="s">
        <v>724</v>
      </c>
      <c r="G408" s="189" t="s">
        <v>681</v>
      </c>
      <c r="H408" s="197"/>
      <c r="I408" s="195"/>
      <c r="J408" s="195"/>
      <c r="K408" s="192">
        <v>6474413.0300000003</v>
      </c>
      <c r="L408" s="192">
        <v>2087264.4500000002</v>
      </c>
      <c r="M408" s="192">
        <v>21207056.650000006</v>
      </c>
      <c r="N408" s="192">
        <v>14889163.549999999</v>
      </c>
      <c r="O408" s="192">
        <v>113516.64</v>
      </c>
      <c r="P408" s="192">
        <v>7006341.8899999987</v>
      </c>
      <c r="Q408" s="192">
        <v>668982.19000000006</v>
      </c>
      <c r="R408" s="192">
        <v>51777756.210000008</v>
      </c>
      <c r="S408" s="192">
        <v>5993190.1500000013</v>
      </c>
      <c r="T408" s="192">
        <v>2414396.8000000003</v>
      </c>
      <c r="U408" s="192">
        <v>17805074.309999999</v>
      </c>
      <c r="V408" s="192">
        <v>14452902.870000003</v>
      </c>
      <c r="W408" s="192">
        <v>135251.31</v>
      </c>
      <c r="X408" s="192">
        <v>6355175.6400000006</v>
      </c>
      <c r="Y408" s="192">
        <v>559562.26</v>
      </c>
      <c r="Z408" s="192">
        <v>47155991.080000006</v>
      </c>
      <c r="AA408" s="193">
        <v>481222.87999999896</v>
      </c>
      <c r="AB408" s="193">
        <v>-327132.35000000009</v>
      </c>
      <c r="AC408" s="193">
        <v>3401982.3400000073</v>
      </c>
      <c r="AD408" s="193">
        <v>436260.67999999598</v>
      </c>
      <c r="AE408" s="193">
        <v>-21734.67</v>
      </c>
      <c r="AF408" s="193">
        <v>651166.24999999814</v>
      </c>
      <c r="AG408" s="193">
        <v>109419.93000000005</v>
      </c>
      <c r="AH408" s="193">
        <v>4621765.1300000027</v>
      </c>
      <c r="AI408" s="194">
        <v>8.0294946089771368</v>
      </c>
      <c r="AJ408" s="194">
        <v>-13.549237225629195</v>
      </c>
      <c r="AK408" s="194">
        <v>19.106813489058712</v>
      </c>
      <c r="AL408" s="194">
        <v>3.0184986637220508</v>
      </c>
      <c r="AM408" s="194">
        <v>-16.069840654408448</v>
      </c>
      <c r="AN408" s="194">
        <v>10.246235303104827</v>
      </c>
      <c r="AO408" s="194">
        <v>19.554558593712173</v>
      </c>
      <c r="AP408" s="194">
        <v>9.8010136658122438</v>
      </c>
    </row>
    <row r="409" spans="1:42" ht="12" customHeight="1">
      <c r="A409" s="189" t="s">
        <v>664</v>
      </c>
      <c r="B409" s="189"/>
      <c r="C409" s="189" t="s">
        <v>370</v>
      </c>
      <c r="D409" s="189" t="s">
        <v>755</v>
      </c>
      <c r="E409" s="189" t="s">
        <v>871</v>
      </c>
      <c r="F409" s="190" t="s">
        <v>724</v>
      </c>
      <c r="G409" s="189" t="s">
        <v>681</v>
      </c>
      <c r="H409" s="197"/>
      <c r="I409" s="195"/>
      <c r="J409" s="195"/>
      <c r="K409" s="192">
        <v>4248978.9400000004</v>
      </c>
      <c r="L409" s="192">
        <v>1308572.02</v>
      </c>
      <c r="M409" s="192">
        <v>12129356.849999998</v>
      </c>
      <c r="N409" s="192">
        <v>9190635.9100000001</v>
      </c>
      <c r="O409" s="192">
        <v>121078.92000000001</v>
      </c>
      <c r="P409" s="192">
        <v>4269760.0300000012</v>
      </c>
      <c r="Q409" s="192">
        <v>363311.63999999996</v>
      </c>
      <c r="R409" s="192">
        <v>31268382.670000002</v>
      </c>
      <c r="S409" s="192">
        <v>3986865.24</v>
      </c>
      <c r="T409" s="192">
        <v>1511342.02</v>
      </c>
      <c r="U409" s="192">
        <v>10655021.430000003</v>
      </c>
      <c r="V409" s="192">
        <v>8761257.0399999991</v>
      </c>
      <c r="W409" s="192">
        <v>163208.09999999998</v>
      </c>
      <c r="X409" s="192">
        <v>3795626.08</v>
      </c>
      <c r="Y409" s="192">
        <v>306133</v>
      </c>
      <c r="Z409" s="192">
        <v>28873319.910000004</v>
      </c>
      <c r="AA409" s="193">
        <v>262113.70000000019</v>
      </c>
      <c r="AB409" s="193">
        <v>-202770</v>
      </c>
      <c r="AC409" s="193">
        <v>1474335.4199999943</v>
      </c>
      <c r="AD409" s="193">
        <v>429378.87000000104</v>
      </c>
      <c r="AE409" s="193">
        <v>-42129.179999999964</v>
      </c>
      <c r="AF409" s="193">
        <v>474133.95000000112</v>
      </c>
      <c r="AG409" s="193">
        <v>57178.639999999956</v>
      </c>
      <c r="AH409" s="193">
        <v>2395062.7599999979</v>
      </c>
      <c r="AI409" s="194">
        <v>6.5744308929789703</v>
      </c>
      <c r="AJ409" s="194">
        <v>-13.416552793258537</v>
      </c>
      <c r="AK409" s="194">
        <v>13.837000982925229</v>
      </c>
      <c r="AL409" s="194">
        <v>4.9008820085936105</v>
      </c>
      <c r="AM409" s="194">
        <v>-25.813167361178746</v>
      </c>
      <c r="AN409" s="194">
        <v>12.491587422120388</v>
      </c>
      <c r="AO409" s="194">
        <v>18.677711974860586</v>
      </c>
      <c r="AP409" s="194">
        <v>8.2950722932643792</v>
      </c>
    </row>
    <row r="410" spans="1:42" ht="12" customHeight="1">
      <c r="A410" s="189" t="s">
        <v>665</v>
      </c>
      <c r="B410" s="189"/>
      <c r="C410" s="189" t="s">
        <v>371</v>
      </c>
      <c r="D410" s="189" t="s">
        <v>755</v>
      </c>
      <c r="E410" s="189" t="s">
        <v>871</v>
      </c>
      <c r="F410" s="190" t="s">
        <v>724</v>
      </c>
      <c r="G410" s="189" t="s">
        <v>681</v>
      </c>
      <c r="H410" s="197"/>
      <c r="I410" s="195"/>
      <c r="J410" s="195"/>
      <c r="K410" s="192">
        <v>5707852.7199999997</v>
      </c>
      <c r="L410" s="192">
        <v>1629420.6099999999</v>
      </c>
      <c r="M410" s="192">
        <v>16686147.210000001</v>
      </c>
      <c r="N410" s="192">
        <v>11087543.620000001</v>
      </c>
      <c r="O410" s="192">
        <v>190833.91999999998</v>
      </c>
      <c r="P410" s="192">
        <v>5697609.8399999989</v>
      </c>
      <c r="Q410" s="192">
        <v>441314.34</v>
      </c>
      <c r="R410" s="192">
        <v>40999407.919999994</v>
      </c>
      <c r="S410" s="192">
        <v>5259180.1899999995</v>
      </c>
      <c r="T410" s="192">
        <v>1425858.8800000004</v>
      </c>
      <c r="U410" s="192">
        <v>13907430.759999998</v>
      </c>
      <c r="V410" s="192">
        <v>10260055.129999999</v>
      </c>
      <c r="W410" s="192">
        <v>155632.82</v>
      </c>
      <c r="X410" s="192">
        <v>5100323.6300000008</v>
      </c>
      <c r="Y410" s="192">
        <v>396263.51000000007</v>
      </c>
      <c r="Z410" s="192">
        <v>36108481.409999996</v>
      </c>
      <c r="AA410" s="193">
        <v>448672.53000000026</v>
      </c>
      <c r="AB410" s="193">
        <v>203561.72999999952</v>
      </c>
      <c r="AC410" s="193">
        <v>2778716.450000003</v>
      </c>
      <c r="AD410" s="193">
        <v>827488.49000000209</v>
      </c>
      <c r="AE410" s="193">
        <v>35201.099999999977</v>
      </c>
      <c r="AF410" s="193">
        <v>597286.2099999981</v>
      </c>
      <c r="AG410" s="193">
        <v>45050.829999999958</v>
      </c>
      <c r="AH410" s="193">
        <v>4890926.5099999979</v>
      </c>
      <c r="AI410" s="194">
        <v>8.5312256623783842</v>
      </c>
      <c r="AJ410" s="194">
        <v>14.276428954876618</v>
      </c>
      <c r="AK410" s="194">
        <v>19.980084732774923</v>
      </c>
      <c r="AL410" s="194">
        <v>8.0651466246068999</v>
      </c>
      <c r="AM410" s="194">
        <v>22.618044188879939</v>
      </c>
      <c r="AN410" s="194">
        <v>11.710751186194788</v>
      </c>
      <c r="AO410" s="194">
        <v>11.368907018463535</v>
      </c>
      <c r="AP410" s="194">
        <v>13.54509056879221</v>
      </c>
    </row>
    <row r="411" spans="1:42" ht="12" customHeight="1">
      <c r="A411" s="189" t="s">
        <v>846</v>
      </c>
      <c r="B411" s="189"/>
      <c r="C411" s="189" t="s">
        <v>363</v>
      </c>
      <c r="D411" s="189" t="s">
        <v>755</v>
      </c>
      <c r="E411" s="189" t="s">
        <v>873</v>
      </c>
      <c r="F411" s="190" t="s">
        <v>724</v>
      </c>
      <c r="G411" s="189" t="s">
        <v>681</v>
      </c>
      <c r="H411" s="197"/>
      <c r="I411" s="195"/>
      <c r="J411" s="195"/>
      <c r="K411" s="192">
        <v>4537060.92</v>
      </c>
      <c r="L411" s="192">
        <v>1474374.27</v>
      </c>
      <c r="M411" s="192">
        <v>13299647.27</v>
      </c>
      <c r="N411" s="192">
        <v>8679077.629999999</v>
      </c>
      <c r="O411" s="192">
        <v>114410.85</v>
      </c>
      <c r="P411" s="192">
        <v>4401993.12</v>
      </c>
      <c r="Q411" s="192">
        <v>571767.96</v>
      </c>
      <c r="R411" s="192">
        <v>32506564.060000002</v>
      </c>
      <c r="S411" s="192">
        <v>4332316.88</v>
      </c>
      <c r="T411" s="192">
        <v>1105972.21</v>
      </c>
      <c r="U411" s="192">
        <v>11319866.700000001</v>
      </c>
      <c r="V411" s="192">
        <v>8049739.8500000006</v>
      </c>
      <c r="W411" s="192">
        <v>93516.57</v>
      </c>
      <c r="X411" s="192">
        <v>4025673.5799999996</v>
      </c>
      <c r="Y411" s="192">
        <v>483571.93</v>
      </c>
      <c r="Z411" s="192">
        <v>28927085.789999999</v>
      </c>
      <c r="AA411" s="193">
        <v>204744.04000000004</v>
      </c>
      <c r="AB411" s="193">
        <v>368402.06000000006</v>
      </c>
      <c r="AC411" s="193">
        <v>1979780.5699999984</v>
      </c>
      <c r="AD411" s="193">
        <v>629337.7799999984</v>
      </c>
      <c r="AE411" s="193">
        <v>20894.28</v>
      </c>
      <c r="AF411" s="193">
        <v>376319.5400000005</v>
      </c>
      <c r="AG411" s="193">
        <v>88196.02999999997</v>
      </c>
      <c r="AH411" s="193">
        <v>3579478.2700000033</v>
      </c>
      <c r="AI411" s="194">
        <v>4.7259710143824947</v>
      </c>
      <c r="AJ411" s="194">
        <v>33.310245652555778</v>
      </c>
      <c r="AK411" s="194">
        <v>17.489433599072314</v>
      </c>
      <c r="AL411" s="194">
        <v>7.8181132772880648</v>
      </c>
      <c r="AM411" s="194">
        <v>22.34286394379092</v>
      </c>
      <c r="AN411" s="194">
        <v>9.3479894115011817</v>
      </c>
      <c r="AO411" s="194">
        <v>18.238451102817312</v>
      </c>
      <c r="AP411" s="194">
        <v>12.374140609896548</v>
      </c>
    </row>
    <row r="412" spans="1:42" ht="12" customHeight="1">
      <c r="A412" s="189" t="s">
        <v>847</v>
      </c>
      <c r="B412" s="189"/>
      <c r="C412" s="189" t="s">
        <v>364</v>
      </c>
      <c r="D412" s="189" t="s">
        <v>755</v>
      </c>
      <c r="E412" s="189" t="s">
        <v>874</v>
      </c>
      <c r="F412" s="190" t="s">
        <v>724</v>
      </c>
      <c r="G412" s="189" t="s">
        <v>681</v>
      </c>
      <c r="H412" s="197"/>
      <c r="I412" s="195"/>
      <c r="J412" s="195"/>
      <c r="K412" s="192">
        <v>5313509.92</v>
      </c>
      <c r="L412" s="192">
        <v>1299779.4999999998</v>
      </c>
      <c r="M412" s="192">
        <v>14185500.449999997</v>
      </c>
      <c r="N412" s="192">
        <v>9318792.7599999979</v>
      </c>
      <c r="O412" s="192">
        <v>74169.39</v>
      </c>
      <c r="P412" s="192">
        <v>4710395.67</v>
      </c>
      <c r="Q412" s="192">
        <v>450557.82</v>
      </c>
      <c r="R412" s="192">
        <v>34902147.689999998</v>
      </c>
      <c r="S412" s="192">
        <v>5118474.9799999995</v>
      </c>
      <c r="T412" s="192">
        <v>1024011.49</v>
      </c>
      <c r="U412" s="192">
        <v>12355692.949999997</v>
      </c>
      <c r="V412" s="192">
        <v>9133564.2899999991</v>
      </c>
      <c r="W412" s="192">
        <v>95649.86</v>
      </c>
      <c r="X412" s="192">
        <v>4468691.97</v>
      </c>
      <c r="Y412" s="192">
        <v>409498.7</v>
      </c>
      <c r="Z412" s="192">
        <v>32196085.539999995</v>
      </c>
      <c r="AA412" s="193">
        <v>195034.94000000041</v>
      </c>
      <c r="AB412" s="193">
        <v>275768.00999999978</v>
      </c>
      <c r="AC412" s="193">
        <v>1829807.5</v>
      </c>
      <c r="AD412" s="193">
        <v>185228.46999999881</v>
      </c>
      <c r="AE412" s="193">
        <v>-21480.47</v>
      </c>
      <c r="AF412" s="193">
        <v>241703.70000000019</v>
      </c>
      <c r="AG412" s="193">
        <v>41059.119999999995</v>
      </c>
      <c r="AH412" s="193">
        <v>2706062.1500000022</v>
      </c>
      <c r="AI412" s="194">
        <v>3.8104111236663782</v>
      </c>
      <c r="AJ412" s="194">
        <v>26.930167551147282</v>
      </c>
      <c r="AK412" s="194">
        <v>14.809428393896763</v>
      </c>
      <c r="AL412" s="194">
        <v>2.0279976591701292</v>
      </c>
      <c r="AM412" s="194">
        <v>-22.457398264879846</v>
      </c>
      <c r="AN412" s="194">
        <v>5.4088243634300035</v>
      </c>
      <c r="AO412" s="194">
        <v>10.026678961373991</v>
      </c>
      <c r="AP412" s="194">
        <v>8.4049414846970336</v>
      </c>
    </row>
    <row r="413" spans="1:42" ht="12" customHeight="1">
      <c r="A413" s="189" t="s">
        <v>666</v>
      </c>
      <c r="B413" s="189"/>
      <c r="C413" s="189" t="s">
        <v>372</v>
      </c>
      <c r="D413" s="189" t="s">
        <v>755</v>
      </c>
      <c r="E413" s="189" t="s">
        <v>871</v>
      </c>
      <c r="F413" s="190" t="s">
        <v>724</v>
      </c>
      <c r="G413" s="189" t="s">
        <v>681</v>
      </c>
      <c r="H413" s="197"/>
      <c r="I413" s="195"/>
      <c r="J413" s="195"/>
      <c r="K413" s="192">
        <v>3552617.9099999997</v>
      </c>
      <c r="L413" s="192">
        <v>705382.91999999993</v>
      </c>
      <c r="M413" s="192">
        <v>8907527.790000001</v>
      </c>
      <c r="N413" s="192">
        <v>6317541.8500000015</v>
      </c>
      <c r="O413" s="192">
        <v>25544.04</v>
      </c>
      <c r="P413" s="192">
        <v>3206282.4000000008</v>
      </c>
      <c r="Q413" s="192">
        <v>263657.88</v>
      </c>
      <c r="R413" s="192">
        <v>22714896.910000004</v>
      </c>
      <c r="S413" s="192">
        <v>3561797.3</v>
      </c>
      <c r="T413" s="192">
        <v>639118.26</v>
      </c>
      <c r="U413" s="192">
        <v>7584863.3599999985</v>
      </c>
      <c r="V413" s="192">
        <v>5778874.6099999994</v>
      </c>
      <c r="W413" s="192">
        <v>29942.28</v>
      </c>
      <c r="X413" s="192">
        <v>2969206.32</v>
      </c>
      <c r="Y413" s="192">
        <v>271127.51</v>
      </c>
      <c r="Z413" s="192">
        <v>20563802.129999999</v>
      </c>
      <c r="AA413" s="193">
        <v>-9179.3900000001304</v>
      </c>
      <c r="AB413" s="193">
        <v>66264.659999999916</v>
      </c>
      <c r="AC413" s="193">
        <v>1322664.4300000025</v>
      </c>
      <c r="AD413" s="193">
        <v>538667.24000000209</v>
      </c>
      <c r="AE413" s="193">
        <v>-4398.239999999998</v>
      </c>
      <c r="AF413" s="193">
        <v>237076.08000000101</v>
      </c>
      <c r="AG413" s="193">
        <v>-7469.6300000000047</v>
      </c>
      <c r="AH413" s="193">
        <v>2151094.7800000049</v>
      </c>
      <c r="AI413" s="194">
        <v>-0.25771792235341778</v>
      </c>
      <c r="AJ413" s="194">
        <v>10.368137502439675</v>
      </c>
      <c r="AK413" s="194">
        <v>17.438210383265265</v>
      </c>
      <c r="AL413" s="194">
        <v>9.3213173213322609</v>
      </c>
      <c r="AM413" s="194">
        <v>-14.68906175481626</v>
      </c>
      <c r="AN413" s="194">
        <v>7.9844933106568705</v>
      </c>
      <c r="AO413" s="194">
        <v>-2.7550247483186063</v>
      </c>
      <c r="AP413" s="194">
        <v>10.460588788013228</v>
      </c>
    </row>
    <row r="414" spans="1:42" ht="12" customHeight="1">
      <c r="A414" s="189" t="s">
        <v>667</v>
      </c>
      <c r="B414" s="189"/>
      <c r="C414" s="189" t="s">
        <v>373</v>
      </c>
      <c r="D414" s="189" t="s">
        <v>755</v>
      </c>
      <c r="E414" s="189" t="s">
        <v>871</v>
      </c>
      <c r="F414" s="190" t="s">
        <v>724</v>
      </c>
      <c r="G414" s="189" t="s">
        <v>681</v>
      </c>
      <c r="H414" s="197"/>
      <c r="I414" s="195"/>
      <c r="J414" s="195"/>
      <c r="K414" s="192">
        <v>3167393.98</v>
      </c>
      <c r="L414" s="192">
        <v>1122108.8600000001</v>
      </c>
      <c r="M414" s="192">
        <v>10588531.039999999</v>
      </c>
      <c r="N414" s="192">
        <v>6919180.1800000006</v>
      </c>
      <c r="O414" s="192">
        <v>73488.490000000005</v>
      </c>
      <c r="P414" s="192">
        <v>3650310.35</v>
      </c>
      <c r="Q414" s="192">
        <v>402899.04</v>
      </c>
      <c r="R414" s="192">
        <v>25521012.899999999</v>
      </c>
      <c r="S414" s="192">
        <v>3099309.57</v>
      </c>
      <c r="T414" s="192">
        <v>950570.36999999988</v>
      </c>
      <c r="U414" s="192">
        <v>8788583.6199999992</v>
      </c>
      <c r="V414" s="192">
        <v>6950838.2600000007</v>
      </c>
      <c r="W414" s="192">
        <v>105554.89</v>
      </c>
      <c r="X414" s="192">
        <v>3266794.7600000002</v>
      </c>
      <c r="Y414" s="192">
        <v>348291.65</v>
      </c>
      <c r="Z414" s="192">
        <v>23161651.470000003</v>
      </c>
      <c r="AA414" s="193">
        <v>68084.410000000149</v>
      </c>
      <c r="AB414" s="193">
        <v>171538.49000000022</v>
      </c>
      <c r="AC414" s="193">
        <v>1799947.42</v>
      </c>
      <c r="AD414" s="193">
        <v>-31658.080000000075</v>
      </c>
      <c r="AE414" s="193">
        <v>-32066.399999999994</v>
      </c>
      <c r="AF414" s="193">
        <v>383515.58999999985</v>
      </c>
      <c r="AG414" s="193">
        <v>54607.389999999956</v>
      </c>
      <c r="AH414" s="193">
        <v>2359361.429999996</v>
      </c>
      <c r="AI414" s="194">
        <v>2.1967605514153319</v>
      </c>
      <c r="AJ414" s="194">
        <v>18.04584862033941</v>
      </c>
      <c r="AK414" s="194">
        <v>20.480517655926906</v>
      </c>
      <c r="AL414" s="194">
        <v>-0.45545700843282277</v>
      </c>
      <c r="AM414" s="194">
        <v>-30.378886283714561</v>
      </c>
      <c r="AN414" s="194">
        <v>11.739812818849991</v>
      </c>
      <c r="AO414" s="194">
        <v>15.67863886487085</v>
      </c>
      <c r="AP414" s="194">
        <v>10.186499149492624</v>
      </c>
    </row>
    <row r="415" spans="1:42" ht="12" customHeight="1">
      <c r="A415" s="189" t="s">
        <v>668</v>
      </c>
      <c r="B415" s="189"/>
      <c r="C415" s="189" t="s">
        <v>374</v>
      </c>
      <c r="D415" s="189" t="s">
        <v>755</v>
      </c>
      <c r="E415" s="189" t="s">
        <v>871</v>
      </c>
      <c r="F415" s="190" t="s">
        <v>724</v>
      </c>
      <c r="G415" s="189" t="s">
        <v>681</v>
      </c>
      <c r="H415" s="197"/>
      <c r="I415" s="195"/>
      <c r="J415" s="195"/>
      <c r="K415" s="192">
        <v>4501394</v>
      </c>
      <c r="L415" s="192">
        <v>1955838.5399999996</v>
      </c>
      <c r="M415" s="192">
        <v>15450201.090000002</v>
      </c>
      <c r="N415" s="192">
        <v>10304837.089999998</v>
      </c>
      <c r="O415" s="192">
        <v>216419.76</v>
      </c>
      <c r="P415" s="192">
        <v>5145585.0900000017</v>
      </c>
      <c r="Q415" s="192">
        <v>379352.68999999994</v>
      </c>
      <c r="R415" s="192">
        <v>37574275.57</v>
      </c>
      <c r="S415" s="192">
        <v>4092136.34</v>
      </c>
      <c r="T415" s="192">
        <v>1689140.6900000002</v>
      </c>
      <c r="U415" s="192">
        <v>12384525.400000004</v>
      </c>
      <c r="V415" s="192">
        <v>9384993.2299999967</v>
      </c>
      <c r="W415" s="192">
        <v>157727.58000000002</v>
      </c>
      <c r="X415" s="192">
        <v>4436890.5699999994</v>
      </c>
      <c r="Y415" s="192">
        <v>340407.39</v>
      </c>
      <c r="Z415" s="192">
        <v>32145413.809999999</v>
      </c>
      <c r="AA415" s="193">
        <v>409257.66000000015</v>
      </c>
      <c r="AB415" s="193">
        <v>266697.84999999939</v>
      </c>
      <c r="AC415" s="193">
        <v>3065675.6899999976</v>
      </c>
      <c r="AD415" s="193">
        <v>919843.86000000127</v>
      </c>
      <c r="AE415" s="193">
        <v>58692.179999999993</v>
      </c>
      <c r="AF415" s="193">
        <v>708694.52000000235</v>
      </c>
      <c r="AG415" s="193">
        <v>38945.29999999993</v>
      </c>
      <c r="AH415" s="193">
        <v>5428861.7600000016</v>
      </c>
      <c r="AI415" s="194">
        <v>10.001075868356825</v>
      </c>
      <c r="AJ415" s="194">
        <v>15.788966045214348</v>
      </c>
      <c r="AK415" s="194">
        <v>24.754082946125628</v>
      </c>
      <c r="AL415" s="194">
        <v>9.8012202828195498</v>
      </c>
      <c r="AM415" s="194">
        <v>37.211107911501585</v>
      </c>
      <c r="AN415" s="194">
        <v>15.972774374735197</v>
      </c>
      <c r="AO415" s="194">
        <v>11.44079157623456</v>
      </c>
      <c r="AP415" s="194">
        <v>16.888448822242747</v>
      </c>
    </row>
    <row r="416" spans="1:42" ht="12" customHeight="1">
      <c r="A416" s="189" t="s">
        <v>848</v>
      </c>
      <c r="B416" s="189"/>
      <c r="C416" s="189" t="s">
        <v>356</v>
      </c>
      <c r="D416" s="189" t="s">
        <v>755</v>
      </c>
      <c r="E416" s="189" t="s">
        <v>871</v>
      </c>
      <c r="F416" s="190" t="s">
        <v>724</v>
      </c>
      <c r="G416" s="189" t="s">
        <v>681</v>
      </c>
      <c r="H416" s="197"/>
      <c r="I416" s="195"/>
      <c r="J416" s="195"/>
      <c r="K416" s="192">
        <v>7079834.0600000005</v>
      </c>
      <c r="L416" s="192">
        <v>4877908.82</v>
      </c>
      <c r="M416" s="192">
        <v>24440848.160000011</v>
      </c>
      <c r="N416" s="192">
        <v>25623411.380000003</v>
      </c>
      <c r="O416" s="192">
        <v>237429.67</v>
      </c>
      <c r="P416" s="192">
        <v>8714108.6999999993</v>
      </c>
      <c r="Q416" s="192">
        <v>1286569.03</v>
      </c>
      <c r="R416" s="192">
        <v>70973540.790000021</v>
      </c>
      <c r="S416" s="192">
        <v>6562265.8900000006</v>
      </c>
      <c r="T416" s="192">
        <v>4507216.2</v>
      </c>
      <c r="U416" s="192">
        <v>21428816.529999994</v>
      </c>
      <c r="V416" s="192">
        <v>24754982.759999998</v>
      </c>
      <c r="W416" s="192">
        <v>252101.47000000003</v>
      </c>
      <c r="X416" s="192">
        <v>8312355.2200000016</v>
      </c>
      <c r="Y416" s="192">
        <v>1282637.3400000001</v>
      </c>
      <c r="Z416" s="192">
        <v>65817738.069999993</v>
      </c>
      <c r="AA416" s="193">
        <v>517568.16999999993</v>
      </c>
      <c r="AB416" s="193">
        <v>370692.62000000011</v>
      </c>
      <c r="AC416" s="193">
        <v>3012031.6300000176</v>
      </c>
      <c r="AD416" s="193">
        <v>868428.62000000477</v>
      </c>
      <c r="AE416" s="193">
        <v>-14671.800000000017</v>
      </c>
      <c r="AF416" s="193">
        <v>401753.47999999765</v>
      </c>
      <c r="AG416" s="193">
        <v>3931.6899999999441</v>
      </c>
      <c r="AH416" s="193">
        <v>5155802.7200000286</v>
      </c>
      <c r="AI416" s="194">
        <v>7.8870344279817024</v>
      </c>
      <c r="AJ416" s="194">
        <v>8.2244250897039315</v>
      </c>
      <c r="AK416" s="194">
        <v>14.055986833352287</v>
      </c>
      <c r="AL416" s="194">
        <v>3.5080962423582998</v>
      </c>
      <c r="AM416" s="194">
        <v>-5.8197994640808783</v>
      </c>
      <c r="AN416" s="194">
        <v>4.8332087521158362</v>
      </c>
      <c r="AO416" s="194">
        <v>0.30653169663686414</v>
      </c>
      <c r="AP416" s="194">
        <v>7.8334547360418423</v>
      </c>
    </row>
    <row r="417" spans="1:42" ht="12" customHeight="1">
      <c r="A417" s="189" t="s">
        <v>849</v>
      </c>
      <c r="B417" s="189"/>
      <c r="C417" s="189" t="s">
        <v>359</v>
      </c>
      <c r="D417" s="189" t="s">
        <v>755</v>
      </c>
      <c r="E417" s="189" t="s">
        <v>871</v>
      </c>
      <c r="F417" s="190" t="s">
        <v>724</v>
      </c>
      <c r="G417" s="189" t="s">
        <v>681</v>
      </c>
      <c r="H417" s="197"/>
      <c r="I417" s="195"/>
      <c r="J417" s="195"/>
      <c r="K417" s="192">
        <v>4109295.1799999997</v>
      </c>
      <c r="L417" s="192">
        <v>1257369.9699999997</v>
      </c>
      <c r="M417" s="192">
        <v>11434643.730000002</v>
      </c>
      <c r="N417" s="192">
        <v>10580290.040000001</v>
      </c>
      <c r="O417" s="192">
        <v>167395.53999999998</v>
      </c>
      <c r="P417" s="192">
        <v>4069454.2100000004</v>
      </c>
      <c r="Q417" s="192">
        <v>394179.82</v>
      </c>
      <c r="R417" s="192">
        <v>31618448.670000002</v>
      </c>
      <c r="S417" s="192">
        <v>3400103.830000001</v>
      </c>
      <c r="T417" s="192">
        <v>1288578.7199999997</v>
      </c>
      <c r="U417" s="192">
        <v>10835413.489999998</v>
      </c>
      <c r="V417" s="192">
        <v>10854810.249999996</v>
      </c>
      <c r="W417" s="192">
        <v>174785.76</v>
      </c>
      <c r="X417" s="192">
        <v>4007815.7199999997</v>
      </c>
      <c r="Y417" s="192">
        <v>404051.39999999997</v>
      </c>
      <c r="Z417" s="192">
        <v>30561507.769999996</v>
      </c>
      <c r="AA417" s="193">
        <v>709191.3499999987</v>
      </c>
      <c r="AB417" s="193">
        <v>-31208.75</v>
      </c>
      <c r="AC417" s="193">
        <v>599230.24000000395</v>
      </c>
      <c r="AD417" s="193">
        <v>-274520.20999999531</v>
      </c>
      <c r="AE417" s="193">
        <v>-7390.2200000000303</v>
      </c>
      <c r="AF417" s="193">
        <v>61638.490000000689</v>
      </c>
      <c r="AG417" s="193">
        <v>-9871.5799999999581</v>
      </c>
      <c r="AH417" s="193">
        <v>1056940.900000006</v>
      </c>
      <c r="AI417" s="194">
        <v>20.85793215320717</v>
      </c>
      <c r="AJ417" s="194">
        <v>-2.4219513729048705</v>
      </c>
      <c r="AK417" s="194">
        <v>5.5302941650822408</v>
      </c>
      <c r="AL417" s="194">
        <v>-2.5290189664991645</v>
      </c>
      <c r="AM417" s="194">
        <v>-4.2281590903057715</v>
      </c>
      <c r="AN417" s="194">
        <v>1.5379571893091106</v>
      </c>
      <c r="AO417" s="194">
        <v>-2.443149559684723</v>
      </c>
      <c r="AP417" s="194">
        <v>3.4584056125579243</v>
      </c>
    </row>
    <row r="418" spans="1:42" ht="12" customHeight="1">
      <c r="A418" s="189" t="s">
        <v>669</v>
      </c>
      <c r="B418" s="189"/>
      <c r="C418" s="189" t="s">
        <v>375</v>
      </c>
      <c r="D418" s="189" t="s">
        <v>755</v>
      </c>
      <c r="E418" s="189" t="s">
        <v>882</v>
      </c>
      <c r="F418" s="190" t="s">
        <v>726</v>
      </c>
      <c r="G418" s="189" t="s">
        <v>682</v>
      </c>
      <c r="H418" s="197"/>
      <c r="I418" s="195"/>
      <c r="J418" s="195"/>
      <c r="K418" s="192">
        <v>63292492.859999992</v>
      </c>
      <c r="L418" s="192">
        <v>49191141.660000004</v>
      </c>
      <c r="M418" s="192">
        <v>221217142.80000001</v>
      </c>
      <c r="N418" s="192">
        <v>205383284.30999994</v>
      </c>
      <c r="O418" s="192">
        <v>2201997.7999999998</v>
      </c>
      <c r="P418" s="192">
        <v>74136615.709999993</v>
      </c>
      <c r="Q418" s="192">
        <v>3622696.3200000008</v>
      </c>
      <c r="R418" s="192">
        <v>615422675.13999987</v>
      </c>
      <c r="S418" s="192">
        <v>64201764.820000008</v>
      </c>
      <c r="T418" s="192">
        <v>57621806.099999994</v>
      </c>
      <c r="U418" s="192">
        <v>189871293.10999998</v>
      </c>
      <c r="V418" s="192">
        <v>195539400.94999999</v>
      </c>
      <c r="W418" s="192">
        <v>2410444.6599999997</v>
      </c>
      <c r="X418" s="192">
        <v>70206425.339999974</v>
      </c>
      <c r="Y418" s="192">
        <v>3635871.74</v>
      </c>
      <c r="Z418" s="192">
        <v>579851134.98000002</v>
      </c>
      <c r="AA418" s="193">
        <v>-909271.9600000158</v>
      </c>
      <c r="AB418" s="193">
        <v>-8430664.4399999902</v>
      </c>
      <c r="AC418" s="193">
        <v>31345849.690000027</v>
      </c>
      <c r="AD418" s="193">
        <v>9843883.3599999547</v>
      </c>
      <c r="AE418" s="193">
        <v>-208446.85999999987</v>
      </c>
      <c r="AF418" s="193">
        <v>3930190.3700000197</v>
      </c>
      <c r="AG418" s="193">
        <v>-13175.41999999946</v>
      </c>
      <c r="AH418" s="193">
        <v>35571540.159999847</v>
      </c>
      <c r="AI418" s="194">
        <v>-1.4162725316808755</v>
      </c>
      <c r="AJ418" s="194">
        <v>-14.631031219967246</v>
      </c>
      <c r="AK418" s="194">
        <v>16.508998899501954</v>
      </c>
      <c r="AL418" s="194">
        <v>5.0342198616620832</v>
      </c>
      <c r="AM418" s="194">
        <v>-8.6476517573317739</v>
      </c>
      <c r="AN418" s="194">
        <v>5.5980493964286788</v>
      </c>
      <c r="AO418" s="194">
        <v>-0.36237306874855435</v>
      </c>
      <c r="AP418" s="194">
        <v>6.1345986950990046</v>
      </c>
    </row>
    <row r="419" spans="1:42" ht="12" customHeight="1">
      <c r="A419" s="189" t="s">
        <v>670</v>
      </c>
      <c r="B419" s="189"/>
      <c r="C419" s="189" t="s">
        <v>376</v>
      </c>
      <c r="D419" s="189" t="s">
        <v>755</v>
      </c>
      <c r="E419" s="189" t="s">
        <v>882</v>
      </c>
      <c r="F419" s="190" t="s">
        <v>726</v>
      </c>
      <c r="G419" s="189" t="s">
        <v>682</v>
      </c>
      <c r="H419" s="197"/>
      <c r="I419" s="195"/>
      <c r="J419" s="195"/>
      <c r="K419" s="192">
        <v>31333042.82</v>
      </c>
      <c r="L419" s="192">
        <v>22056455.620000005</v>
      </c>
      <c r="M419" s="192">
        <v>114496271.20999999</v>
      </c>
      <c r="N419" s="192">
        <v>109082421.24000001</v>
      </c>
      <c r="O419" s="192">
        <v>1585207.33</v>
      </c>
      <c r="P419" s="192">
        <v>36580220.849999994</v>
      </c>
      <c r="Q419" s="192">
        <v>1560660.5999999996</v>
      </c>
      <c r="R419" s="192">
        <v>315133619.06999993</v>
      </c>
      <c r="S419" s="192">
        <v>30649723.470000003</v>
      </c>
      <c r="T419" s="192">
        <v>21831184.670000002</v>
      </c>
      <c r="U419" s="192">
        <v>95993031.109999999</v>
      </c>
      <c r="V419" s="192">
        <v>98650893.380000025</v>
      </c>
      <c r="W419" s="192">
        <v>1768754.68</v>
      </c>
      <c r="X419" s="192">
        <v>33104657.599999998</v>
      </c>
      <c r="Y419" s="192">
        <v>1342631.58</v>
      </c>
      <c r="Z419" s="192">
        <v>281998244.91000003</v>
      </c>
      <c r="AA419" s="193">
        <v>683319.34999999776</v>
      </c>
      <c r="AB419" s="193">
        <v>225270.95000000298</v>
      </c>
      <c r="AC419" s="193">
        <v>18503240.099999994</v>
      </c>
      <c r="AD419" s="193">
        <v>10431527.859999985</v>
      </c>
      <c r="AE419" s="193">
        <v>-183547.34999999986</v>
      </c>
      <c r="AF419" s="193">
        <v>3475563.2499999963</v>
      </c>
      <c r="AG419" s="193">
        <v>218029.01999999955</v>
      </c>
      <c r="AH419" s="193">
        <v>33135374.159999907</v>
      </c>
      <c r="AI419" s="194">
        <v>2.2294470312883305</v>
      </c>
      <c r="AJ419" s="194">
        <v>1.031876892643238</v>
      </c>
      <c r="AK419" s="194">
        <v>19.275607704060128</v>
      </c>
      <c r="AL419" s="194">
        <v>10.574184888339611</v>
      </c>
      <c r="AM419" s="194">
        <v>-10.377207878257028</v>
      </c>
      <c r="AN419" s="194">
        <v>10.498713782196003</v>
      </c>
      <c r="AO419" s="194">
        <v>16.23893130831911</v>
      </c>
      <c r="AP419" s="194">
        <v>11.75020581088194</v>
      </c>
    </row>
    <row r="420" spans="1:42" ht="12" customHeight="1">
      <c r="A420" s="189" t="s">
        <v>855</v>
      </c>
      <c r="B420" s="189"/>
      <c r="C420" s="189" t="s">
        <v>377</v>
      </c>
      <c r="D420" s="189" t="s">
        <v>755</v>
      </c>
      <c r="E420" s="189" t="s">
        <v>882</v>
      </c>
      <c r="F420" s="190" t="s">
        <v>726</v>
      </c>
      <c r="G420" s="189" t="s">
        <v>682</v>
      </c>
      <c r="H420" s="197"/>
      <c r="I420" s="195"/>
      <c r="J420" s="195"/>
      <c r="K420" s="192">
        <v>21692704.099999998</v>
      </c>
      <c r="L420" s="192">
        <v>12383077.6</v>
      </c>
      <c r="M420" s="192">
        <v>75615845.610000014</v>
      </c>
      <c r="N420" s="192">
        <v>80258532.549999997</v>
      </c>
      <c r="O420" s="192">
        <v>1108596.5900000001</v>
      </c>
      <c r="P420" s="192">
        <v>25367917.940000001</v>
      </c>
      <c r="Q420" s="192">
        <v>1038235.8400000001</v>
      </c>
      <c r="R420" s="192">
        <v>216426674.39000002</v>
      </c>
      <c r="S420" s="192">
        <v>20893538.189999998</v>
      </c>
      <c r="T420" s="192">
        <v>12416507.539999999</v>
      </c>
      <c r="U420" s="192">
        <v>64192204.600000009</v>
      </c>
      <c r="V420" s="192">
        <v>74268856.159999996</v>
      </c>
      <c r="W420" s="192">
        <v>1417960.64</v>
      </c>
      <c r="X420" s="192">
        <v>23290695.23</v>
      </c>
      <c r="Y420" s="192">
        <v>975418.99</v>
      </c>
      <c r="Z420" s="192">
        <v>196479762.35999998</v>
      </c>
      <c r="AA420" s="193">
        <v>799165.91000000015</v>
      </c>
      <c r="AB420" s="193">
        <v>-33429.939999999478</v>
      </c>
      <c r="AC420" s="193">
        <v>11423641.010000005</v>
      </c>
      <c r="AD420" s="193">
        <v>5989676.3900000006</v>
      </c>
      <c r="AE420" s="193">
        <v>-309364.04999999981</v>
      </c>
      <c r="AF420" s="193">
        <v>2077222.7100000009</v>
      </c>
      <c r="AG420" s="193">
        <v>62816.850000000093</v>
      </c>
      <c r="AH420" s="193">
        <v>19946912.030000031</v>
      </c>
      <c r="AI420" s="194">
        <v>3.8249429212640225</v>
      </c>
      <c r="AJ420" s="194">
        <v>-0.26923786654423021</v>
      </c>
      <c r="AK420" s="194">
        <v>17.795994203944201</v>
      </c>
      <c r="AL420" s="194">
        <v>8.0648561182849399</v>
      </c>
      <c r="AM420" s="194">
        <v>-21.817534371052773</v>
      </c>
      <c r="AN420" s="194">
        <v>8.9186805695881368</v>
      </c>
      <c r="AO420" s="194">
        <v>6.4399863693447355</v>
      </c>
      <c r="AP420" s="194">
        <v>10.152145844645469</v>
      </c>
    </row>
    <row r="421" spans="1:42" ht="12" customHeight="1">
      <c r="A421" s="189" t="s">
        <v>856</v>
      </c>
      <c r="B421" s="189"/>
      <c r="C421" s="189" t="s">
        <v>378</v>
      </c>
      <c r="D421" s="189" t="s">
        <v>755</v>
      </c>
      <c r="E421" s="189" t="s">
        <v>882</v>
      </c>
      <c r="F421" s="190" t="s">
        <v>726</v>
      </c>
      <c r="G421" s="189" t="s">
        <v>682</v>
      </c>
      <c r="H421" s="197"/>
      <c r="I421" s="195"/>
      <c r="J421" s="195"/>
      <c r="K421" s="192">
        <v>46927316.210000001</v>
      </c>
      <c r="L421" s="192">
        <v>32195592.09</v>
      </c>
      <c r="M421" s="192">
        <v>161363330.08000001</v>
      </c>
      <c r="N421" s="192">
        <v>152008772.19999996</v>
      </c>
      <c r="O421" s="192">
        <v>2289587.8400000003</v>
      </c>
      <c r="P421" s="192">
        <v>53014010.650000006</v>
      </c>
      <c r="Q421" s="192">
        <v>2242238.39</v>
      </c>
      <c r="R421" s="192">
        <v>447798609.06999993</v>
      </c>
      <c r="S421" s="192">
        <v>45676302.420000002</v>
      </c>
      <c r="T421" s="192">
        <v>34167910.230000004</v>
      </c>
      <c r="U421" s="192">
        <v>141076820.33000001</v>
      </c>
      <c r="V421" s="192">
        <v>146220913.56999999</v>
      </c>
      <c r="W421" s="192">
        <v>2595753.16</v>
      </c>
      <c r="X421" s="192">
        <v>50350304.650000013</v>
      </c>
      <c r="Y421" s="192">
        <v>2235717.27</v>
      </c>
      <c r="Z421" s="192">
        <v>420088004.36000007</v>
      </c>
      <c r="AA421" s="193">
        <v>1251013.7899999991</v>
      </c>
      <c r="AB421" s="193">
        <v>-1972318.1400000043</v>
      </c>
      <c r="AC421" s="193">
        <v>20286509.75</v>
      </c>
      <c r="AD421" s="193">
        <v>5787858.6299999654</v>
      </c>
      <c r="AE421" s="193">
        <v>-306165.31999999983</v>
      </c>
      <c r="AF421" s="193">
        <v>2663705.9999999925</v>
      </c>
      <c r="AG421" s="193">
        <v>6521.1200000001118</v>
      </c>
      <c r="AH421" s="193">
        <v>27710604.709999859</v>
      </c>
      <c r="AI421" s="194">
        <v>2.7388683490549477</v>
      </c>
      <c r="AJ421" s="194">
        <v>-5.772428359602384</v>
      </c>
      <c r="AK421" s="194">
        <v>14.379761113517292</v>
      </c>
      <c r="AL421" s="194">
        <v>3.9582974067722243</v>
      </c>
      <c r="AM421" s="194">
        <v>-11.79485494683939</v>
      </c>
      <c r="AN421" s="194">
        <v>5.2903473345716723</v>
      </c>
      <c r="AO421" s="194">
        <v>0.29167909947755211</v>
      </c>
      <c r="AP421" s="194">
        <v>6.5963808588671053</v>
      </c>
    </row>
    <row r="422" spans="1:42" ht="12" customHeight="1">
      <c r="A422" s="189" t="s">
        <v>671</v>
      </c>
      <c r="B422" s="189"/>
      <c r="C422" s="189" t="s">
        <v>379</v>
      </c>
      <c r="D422" s="189" t="s">
        <v>755</v>
      </c>
      <c r="E422" s="189" t="s">
        <v>882</v>
      </c>
      <c r="F422" s="190" t="s">
        <v>726</v>
      </c>
      <c r="G422" s="189" t="s">
        <v>682</v>
      </c>
      <c r="H422" s="198"/>
      <c r="I422" s="195"/>
      <c r="J422" s="195"/>
      <c r="K422" s="192">
        <v>32223705.98</v>
      </c>
      <c r="L422" s="192">
        <v>23644357.910000004</v>
      </c>
      <c r="M422" s="192">
        <v>112483593.95999999</v>
      </c>
      <c r="N422" s="192">
        <v>120753270.96999997</v>
      </c>
      <c r="O422" s="192">
        <v>1350929.96</v>
      </c>
      <c r="P422" s="192">
        <v>37184896.25999999</v>
      </c>
      <c r="Q422" s="192">
        <v>1332114.21</v>
      </c>
      <c r="R422" s="192">
        <v>327640755.0399999</v>
      </c>
      <c r="S422" s="192">
        <v>32013862.320000004</v>
      </c>
      <c r="T422" s="192">
        <v>24376296.119999994</v>
      </c>
      <c r="U422" s="192">
        <v>99585920.570000008</v>
      </c>
      <c r="V422" s="192">
        <v>119515252.69000001</v>
      </c>
      <c r="W422" s="192">
        <v>1586762.4</v>
      </c>
      <c r="X422" s="192">
        <v>35394917.329999991</v>
      </c>
      <c r="Y422" s="192">
        <v>1256847.5399999998</v>
      </c>
      <c r="Z422" s="192">
        <v>312473011.42999995</v>
      </c>
      <c r="AA422" s="193">
        <v>209843.65999999642</v>
      </c>
      <c r="AB422" s="193">
        <v>-731938.20999998972</v>
      </c>
      <c r="AC422" s="193">
        <v>12897673.389999986</v>
      </c>
      <c r="AD422" s="193">
        <v>1238018.2799999565</v>
      </c>
      <c r="AE422" s="193">
        <v>-235832.43999999994</v>
      </c>
      <c r="AF422" s="193">
        <v>1789978.9299999997</v>
      </c>
      <c r="AG422" s="193">
        <v>75266.670000000158</v>
      </c>
      <c r="AH422" s="193">
        <v>15167743.609999955</v>
      </c>
      <c r="AI422" s="194">
        <v>0.65547748629162095</v>
      </c>
      <c r="AJ422" s="194">
        <v>-3.00266376153618</v>
      </c>
      <c r="AK422" s="194">
        <v>12.951302067779826</v>
      </c>
      <c r="AL422" s="194">
        <v>1.0358663452029357</v>
      </c>
      <c r="AM422" s="194">
        <v>-14.862492330294691</v>
      </c>
      <c r="AN422" s="194">
        <v>5.0571637540818637</v>
      </c>
      <c r="AO422" s="194">
        <v>5.9885282506102664</v>
      </c>
      <c r="AP422" s="194">
        <v>4.8540971716521586</v>
      </c>
    </row>
    <row r="423" spans="1:42" ht="12" customHeight="1">
      <c r="A423" s="189" t="s">
        <v>672</v>
      </c>
      <c r="B423" s="189"/>
      <c r="C423" s="189" t="s">
        <v>380</v>
      </c>
      <c r="D423" s="189" t="s">
        <v>755</v>
      </c>
      <c r="E423" s="189" t="s">
        <v>882</v>
      </c>
      <c r="F423" s="190" t="s">
        <v>726</v>
      </c>
      <c r="G423" s="189" t="s">
        <v>682</v>
      </c>
      <c r="H423" s="197"/>
      <c r="I423" s="195"/>
      <c r="J423" s="195"/>
      <c r="K423" s="192">
        <v>35604157.740000002</v>
      </c>
      <c r="L423" s="192">
        <v>23321216.43</v>
      </c>
      <c r="M423" s="192">
        <v>129779623.60999997</v>
      </c>
      <c r="N423" s="192">
        <v>128464370.56999998</v>
      </c>
      <c r="O423" s="192">
        <v>1716518.51</v>
      </c>
      <c r="P423" s="192">
        <v>41501468.769999996</v>
      </c>
      <c r="Q423" s="192">
        <v>1586393.3399999999</v>
      </c>
      <c r="R423" s="192">
        <v>360387355.62999994</v>
      </c>
      <c r="S423" s="192">
        <v>36447714.5</v>
      </c>
      <c r="T423" s="192">
        <v>26495787.399999999</v>
      </c>
      <c r="U423" s="192">
        <v>111213409.19</v>
      </c>
      <c r="V423" s="192">
        <v>120662350.18999998</v>
      </c>
      <c r="W423" s="192">
        <v>2018783.54</v>
      </c>
      <c r="X423" s="192">
        <v>38448503.809999995</v>
      </c>
      <c r="Y423" s="192">
        <v>1392393.18</v>
      </c>
      <c r="Z423" s="192">
        <v>335286548.63</v>
      </c>
      <c r="AA423" s="193">
        <v>-843556.75999999791</v>
      </c>
      <c r="AB423" s="193">
        <v>-3174570.9699999988</v>
      </c>
      <c r="AC423" s="193">
        <v>18566214.419999972</v>
      </c>
      <c r="AD423" s="193">
        <v>7802020.3799999952</v>
      </c>
      <c r="AE423" s="193">
        <v>-302265.03000000003</v>
      </c>
      <c r="AF423" s="193">
        <v>3052964.9600000009</v>
      </c>
      <c r="AG423" s="193">
        <v>194000.15999999992</v>
      </c>
      <c r="AH423" s="193">
        <v>25100806.99999994</v>
      </c>
      <c r="AI423" s="194">
        <v>-2.3144297840677992</v>
      </c>
      <c r="AJ423" s="194">
        <v>-11.981417732843067</v>
      </c>
      <c r="AK423" s="194">
        <v>16.694222895623088</v>
      </c>
      <c r="AL423" s="194">
        <v>6.4659940467880883</v>
      </c>
      <c r="AM423" s="194">
        <v>-14.97263198411059</v>
      </c>
      <c r="AN423" s="194">
        <v>7.9403999049917813</v>
      </c>
      <c r="AO423" s="194">
        <v>13.932857671710222</v>
      </c>
      <c r="AP423" s="194">
        <v>7.4863745958683019</v>
      </c>
    </row>
    <row r="424" spans="1:42" ht="12" customHeight="1">
      <c r="A424" s="189" t="s">
        <v>673</v>
      </c>
      <c r="B424" s="189"/>
      <c r="C424" s="189" t="s">
        <v>381</v>
      </c>
      <c r="D424" s="189" t="s">
        <v>755</v>
      </c>
      <c r="E424" s="189" t="s">
        <v>882</v>
      </c>
      <c r="F424" s="190" t="s">
        <v>726</v>
      </c>
      <c r="G424" s="189" t="s">
        <v>682</v>
      </c>
      <c r="H424" s="197"/>
      <c r="I424" s="195"/>
      <c r="J424" s="195"/>
      <c r="K424" s="192">
        <v>37779663.829999998</v>
      </c>
      <c r="L424" s="192">
        <v>29461146.879999999</v>
      </c>
      <c r="M424" s="192">
        <v>140504515.32000002</v>
      </c>
      <c r="N424" s="192">
        <v>131697733.61</v>
      </c>
      <c r="O424" s="192">
        <v>1698452.47</v>
      </c>
      <c r="P424" s="192">
        <v>46945668.609999999</v>
      </c>
      <c r="Q424" s="192">
        <v>2270702.5400000005</v>
      </c>
      <c r="R424" s="192">
        <v>388087180.72000009</v>
      </c>
      <c r="S424" s="192">
        <v>39023110.380000003</v>
      </c>
      <c r="T424" s="192">
        <v>32415517.690000001</v>
      </c>
      <c r="U424" s="192">
        <v>121613450.11000001</v>
      </c>
      <c r="V424" s="192">
        <v>125510761.94999997</v>
      </c>
      <c r="W424" s="192">
        <v>1976345.59</v>
      </c>
      <c r="X424" s="192">
        <v>44239607.410000004</v>
      </c>
      <c r="Y424" s="192">
        <v>2222207.66</v>
      </c>
      <c r="Z424" s="192">
        <v>364778793.13</v>
      </c>
      <c r="AA424" s="193">
        <v>-1243446.5500000045</v>
      </c>
      <c r="AB424" s="193">
        <v>-2954370.8100000024</v>
      </c>
      <c r="AC424" s="193">
        <v>18891065.210000008</v>
      </c>
      <c r="AD424" s="193">
        <v>6186971.6600000262</v>
      </c>
      <c r="AE424" s="193">
        <v>-277893.12000000011</v>
      </c>
      <c r="AF424" s="193">
        <v>2706061.1999999955</v>
      </c>
      <c r="AG424" s="193">
        <v>48494.880000000354</v>
      </c>
      <c r="AH424" s="193">
        <v>23308387.590000093</v>
      </c>
      <c r="AI424" s="194">
        <v>-3.186436288372573</v>
      </c>
      <c r="AJ424" s="194">
        <v>-9.114063326872019</v>
      </c>
      <c r="AK424" s="194">
        <v>15.533697294923332</v>
      </c>
      <c r="AL424" s="194">
        <v>4.9294351845818172</v>
      </c>
      <c r="AM424" s="194">
        <v>-14.060957830760767</v>
      </c>
      <c r="AN424" s="194">
        <v>6.1168291457042008</v>
      </c>
      <c r="AO424" s="194">
        <v>2.1822839005064156</v>
      </c>
      <c r="AP424" s="194">
        <v>6.3897320866713434</v>
      </c>
    </row>
    <row r="425" spans="1:42" ht="12" customHeight="1">
      <c r="A425" s="189" t="s">
        <v>674</v>
      </c>
      <c r="B425" s="189"/>
      <c r="C425" s="189" t="s">
        <v>382</v>
      </c>
      <c r="D425" s="189" t="s">
        <v>755</v>
      </c>
      <c r="E425" s="189" t="s">
        <v>882</v>
      </c>
      <c r="F425" s="190" t="s">
        <v>726</v>
      </c>
      <c r="G425" s="189" t="s">
        <v>682</v>
      </c>
      <c r="H425" s="198"/>
      <c r="I425" s="195"/>
      <c r="J425" s="195"/>
      <c r="K425" s="192">
        <v>42363274.410000004</v>
      </c>
      <c r="L425" s="192">
        <v>30720823.699999999</v>
      </c>
      <c r="M425" s="192">
        <v>159224511.60999998</v>
      </c>
      <c r="N425" s="192">
        <v>152101348.58999997</v>
      </c>
      <c r="O425" s="192">
        <v>1887404.9300000002</v>
      </c>
      <c r="P425" s="192">
        <v>53190825.769999996</v>
      </c>
      <c r="Q425" s="192">
        <v>2687751.61</v>
      </c>
      <c r="R425" s="192">
        <v>439488189.00999993</v>
      </c>
      <c r="S425" s="192">
        <v>42093083.93</v>
      </c>
      <c r="T425" s="192">
        <v>36490198.380000003</v>
      </c>
      <c r="U425" s="192">
        <v>137032521.68999997</v>
      </c>
      <c r="V425" s="192">
        <v>145363392.95000002</v>
      </c>
      <c r="W425" s="192">
        <v>2381003.5300000003</v>
      </c>
      <c r="X425" s="192">
        <v>50195768.49000001</v>
      </c>
      <c r="Y425" s="192">
        <v>2442683.8699999996</v>
      </c>
      <c r="Z425" s="192">
        <v>413555968.96999997</v>
      </c>
      <c r="AA425" s="193">
        <v>270190.48000000417</v>
      </c>
      <c r="AB425" s="193">
        <v>-5769374.6800000034</v>
      </c>
      <c r="AC425" s="193">
        <v>22191989.920000017</v>
      </c>
      <c r="AD425" s="193">
        <v>6737955.6399999559</v>
      </c>
      <c r="AE425" s="193">
        <v>-493598.60000000009</v>
      </c>
      <c r="AF425" s="193">
        <v>2995057.2799999863</v>
      </c>
      <c r="AG425" s="193">
        <v>245067.74000000022</v>
      </c>
      <c r="AH425" s="193">
        <v>25932220.039999962</v>
      </c>
      <c r="AI425" s="194">
        <v>0.64188806039805923</v>
      </c>
      <c r="AJ425" s="194">
        <v>-15.810751752893054</v>
      </c>
      <c r="AK425" s="194">
        <v>16.194688418712424</v>
      </c>
      <c r="AL425" s="194">
        <v>4.6352492902512115</v>
      </c>
      <c r="AM425" s="194">
        <v>-20.730695850753321</v>
      </c>
      <c r="AN425" s="194">
        <v>5.9667525173893114</v>
      </c>
      <c r="AO425" s="194">
        <v>10.032724373784818</v>
      </c>
      <c r="AP425" s="194">
        <v>6.270546669798188</v>
      </c>
    </row>
    <row r="426" spans="1:42" ht="12" customHeight="1">
      <c r="A426" s="189" t="s">
        <v>675</v>
      </c>
      <c r="B426" s="189"/>
      <c r="C426" s="189" t="s">
        <v>383</v>
      </c>
      <c r="D426" s="189" t="s">
        <v>755</v>
      </c>
      <c r="E426" s="189" t="s">
        <v>882</v>
      </c>
      <c r="F426" s="190" t="s">
        <v>726</v>
      </c>
      <c r="G426" s="189" t="s">
        <v>682</v>
      </c>
      <c r="H426" s="198"/>
      <c r="I426" s="195"/>
      <c r="J426" s="195"/>
      <c r="K426" s="192">
        <v>50146662.469999991</v>
      </c>
      <c r="L426" s="192">
        <v>30761274.470000006</v>
      </c>
      <c r="M426" s="192">
        <v>150518447.22</v>
      </c>
      <c r="N426" s="192">
        <v>149459049.01000002</v>
      </c>
      <c r="O426" s="192">
        <v>1564355.51</v>
      </c>
      <c r="P426" s="192">
        <v>50755831.870000005</v>
      </c>
      <c r="Q426" s="192">
        <v>1994258.98</v>
      </c>
      <c r="R426" s="192">
        <v>433205620.55000001</v>
      </c>
      <c r="S426" s="192">
        <v>49912973.530000001</v>
      </c>
      <c r="T426" s="192">
        <v>37551240.740000002</v>
      </c>
      <c r="U426" s="192">
        <v>131789129.09</v>
      </c>
      <c r="V426" s="192">
        <v>144722218.47999999</v>
      </c>
      <c r="W426" s="192">
        <v>1755206.2799999998</v>
      </c>
      <c r="X426" s="192">
        <v>48298005.049999997</v>
      </c>
      <c r="Y426" s="192">
        <v>2111261.6599999997</v>
      </c>
      <c r="Z426" s="192">
        <v>414028773.17000002</v>
      </c>
      <c r="AA426" s="193">
        <v>233688.93999999017</v>
      </c>
      <c r="AB426" s="193">
        <v>-6789966.2699999958</v>
      </c>
      <c r="AC426" s="193">
        <v>18729318.129999995</v>
      </c>
      <c r="AD426" s="193">
        <v>4736830.530000031</v>
      </c>
      <c r="AE426" s="193">
        <v>-190850.76999999979</v>
      </c>
      <c r="AF426" s="193">
        <v>2457826.8200000077</v>
      </c>
      <c r="AG426" s="193">
        <v>-117002.6799999997</v>
      </c>
      <c r="AH426" s="193">
        <v>19176847.379999995</v>
      </c>
      <c r="AI426" s="194">
        <v>0.46819278330418906</v>
      </c>
      <c r="AJ426" s="194">
        <v>-18.081869296977043</v>
      </c>
      <c r="AK426" s="194">
        <v>14.211580468985098</v>
      </c>
      <c r="AL426" s="194">
        <v>3.2730499710067957</v>
      </c>
      <c r="AM426" s="194">
        <v>-10.873409705439284</v>
      </c>
      <c r="AN426" s="194">
        <v>5.0888785519310131</v>
      </c>
      <c r="AO426" s="194">
        <v>-5.5418370075455128</v>
      </c>
      <c r="AP426" s="194">
        <v>4.6317668294338548</v>
      </c>
    </row>
    <row r="427" spans="1:42" ht="12" customHeight="1">
      <c r="A427" s="189" t="s">
        <v>676</v>
      </c>
      <c r="B427" s="189"/>
      <c r="C427" s="189" t="s">
        <v>384</v>
      </c>
      <c r="D427" s="189" t="s">
        <v>755</v>
      </c>
      <c r="E427" s="189" t="s">
        <v>882</v>
      </c>
      <c r="F427" s="190" t="s">
        <v>726</v>
      </c>
      <c r="G427" s="189" t="s">
        <v>682</v>
      </c>
      <c r="H427" s="198"/>
      <c r="I427" s="195"/>
      <c r="J427" s="195"/>
      <c r="K427" s="192">
        <v>69137793.769999996</v>
      </c>
      <c r="L427" s="192">
        <v>52542627.119999997</v>
      </c>
      <c r="M427" s="192">
        <v>246357094.16000003</v>
      </c>
      <c r="N427" s="192">
        <v>235913477.31999996</v>
      </c>
      <c r="O427" s="192">
        <v>2368524.96</v>
      </c>
      <c r="P427" s="192">
        <v>81837842.690000042</v>
      </c>
      <c r="Q427" s="192">
        <v>3667164.2800000003</v>
      </c>
      <c r="R427" s="192">
        <v>688157360.0200001</v>
      </c>
      <c r="S427" s="192">
        <v>69792171.720000014</v>
      </c>
      <c r="T427" s="192">
        <v>56784864.150000013</v>
      </c>
      <c r="U427" s="192">
        <v>213330530.39999998</v>
      </c>
      <c r="V427" s="192">
        <v>225699294</v>
      </c>
      <c r="W427" s="192">
        <v>2836234.17</v>
      </c>
      <c r="X427" s="192">
        <v>76974820.060000017</v>
      </c>
      <c r="Y427" s="192">
        <v>3529659.1700000009</v>
      </c>
      <c r="Z427" s="192">
        <v>645417914.5</v>
      </c>
      <c r="AA427" s="193">
        <v>-654377.95000001788</v>
      </c>
      <c r="AB427" s="193">
        <v>-4242237.0300000161</v>
      </c>
      <c r="AC427" s="193">
        <v>33026563.76000005</v>
      </c>
      <c r="AD427" s="193">
        <v>10214183.319999963</v>
      </c>
      <c r="AE427" s="193">
        <v>-467709.20999999996</v>
      </c>
      <c r="AF427" s="193">
        <v>4863022.630000025</v>
      </c>
      <c r="AG427" s="193">
        <v>137505.1099999994</v>
      </c>
      <c r="AH427" s="193">
        <v>42739445.5200001</v>
      </c>
      <c r="AI427" s="194">
        <v>-0.93760938207414435</v>
      </c>
      <c r="AJ427" s="194">
        <v>-7.470717934261387</v>
      </c>
      <c r="AK427" s="194">
        <v>15.481405168812188</v>
      </c>
      <c r="AL427" s="194">
        <v>4.5255716750270221</v>
      </c>
      <c r="AM427" s="194">
        <v>-16.490500500528135</v>
      </c>
      <c r="AN427" s="194">
        <v>6.317679763602456</v>
      </c>
      <c r="AO427" s="194">
        <v>3.8957050348858289</v>
      </c>
      <c r="AP427" s="194">
        <v>6.621980047317094</v>
      </c>
    </row>
    <row r="428" spans="1:42" ht="12" customHeight="1">
      <c r="A428" s="189" t="s">
        <v>857</v>
      </c>
      <c r="B428" s="189"/>
      <c r="C428" s="189" t="s">
        <v>385</v>
      </c>
      <c r="D428" s="189" t="s">
        <v>755</v>
      </c>
      <c r="E428" s="189" t="s">
        <v>882</v>
      </c>
      <c r="F428" s="190" t="s">
        <v>726</v>
      </c>
      <c r="G428" s="189" t="s">
        <v>682</v>
      </c>
      <c r="H428" s="197"/>
      <c r="I428" s="195"/>
      <c r="J428" s="195"/>
      <c r="K428" s="192">
        <v>38865884.559999995</v>
      </c>
      <c r="L428" s="192">
        <v>30166378.539999999</v>
      </c>
      <c r="M428" s="192">
        <v>143722447.60000008</v>
      </c>
      <c r="N428" s="192">
        <v>122963701.82000002</v>
      </c>
      <c r="O428" s="192">
        <v>1926406.94</v>
      </c>
      <c r="P428" s="192">
        <v>47343801.619999997</v>
      </c>
      <c r="Q428" s="192">
        <v>2162775.0099999998</v>
      </c>
      <c r="R428" s="192">
        <v>384988621.0800001</v>
      </c>
      <c r="S428" s="192">
        <v>37157664.939999998</v>
      </c>
      <c r="T428" s="192">
        <v>32889308.120000005</v>
      </c>
      <c r="U428" s="192">
        <v>122565269.04000002</v>
      </c>
      <c r="V428" s="192">
        <v>117034064.17</v>
      </c>
      <c r="W428" s="192">
        <v>2518648.71</v>
      </c>
      <c r="X428" s="192">
        <v>43298746.959999993</v>
      </c>
      <c r="Y428" s="192">
        <v>1920918.78</v>
      </c>
      <c r="Z428" s="192">
        <v>355463701.94</v>
      </c>
      <c r="AA428" s="193">
        <v>1708219.6199999973</v>
      </c>
      <c r="AB428" s="193">
        <v>-2722929.5800000057</v>
      </c>
      <c r="AC428" s="193">
        <v>21157178.560000062</v>
      </c>
      <c r="AD428" s="193">
        <v>5929637.6500000209</v>
      </c>
      <c r="AE428" s="193">
        <v>-592241.77</v>
      </c>
      <c r="AF428" s="193">
        <v>4045054.6600000039</v>
      </c>
      <c r="AG428" s="193">
        <v>241856.22999999975</v>
      </c>
      <c r="AH428" s="193">
        <v>29524919.140000105</v>
      </c>
      <c r="AI428" s="194">
        <v>4.5972200426435013</v>
      </c>
      <c r="AJ428" s="194">
        <v>-8.2790722445881766</v>
      </c>
      <c r="AK428" s="194">
        <v>17.261968847875877</v>
      </c>
      <c r="AL428" s="194">
        <v>5.0665912459357267</v>
      </c>
      <c r="AM428" s="194">
        <v>-23.514266505232484</v>
      </c>
      <c r="AN428" s="194">
        <v>9.342197971079587</v>
      </c>
      <c r="AO428" s="194">
        <v>12.590653624616015</v>
      </c>
      <c r="AP428" s="194">
        <v>8.3060292735553976</v>
      </c>
    </row>
    <row r="429" spans="1:42" ht="12" customHeight="1">
      <c r="A429" s="189" t="s">
        <v>858</v>
      </c>
      <c r="B429" s="189"/>
      <c r="C429" s="189" t="s">
        <v>386</v>
      </c>
      <c r="D429" s="189" t="s">
        <v>755</v>
      </c>
      <c r="E429" s="189" t="s">
        <v>882</v>
      </c>
      <c r="F429" s="190" t="s">
        <v>726</v>
      </c>
      <c r="G429" s="189" t="s">
        <v>682</v>
      </c>
      <c r="H429" s="197"/>
      <c r="I429" s="195"/>
      <c r="J429" s="195"/>
      <c r="K429" s="192">
        <v>42338485.689999998</v>
      </c>
      <c r="L429" s="192">
        <v>28424274.110000003</v>
      </c>
      <c r="M429" s="192">
        <v>150614642.40000001</v>
      </c>
      <c r="N429" s="192">
        <v>131577569.15000004</v>
      </c>
      <c r="O429" s="192">
        <v>1704835.4200000004</v>
      </c>
      <c r="P429" s="192">
        <v>48913571.13000001</v>
      </c>
      <c r="Q429" s="192">
        <v>2131743.48</v>
      </c>
      <c r="R429" s="192">
        <v>403573377.90000004</v>
      </c>
      <c r="S429" s="192">
        <v>40099186.579999998</v>
      </c>
      <c r="T429" s="192">
        <v>27162419.920000002</v>
      </c>
      <c r="U429" s="192">
        <v>128991897.04000002</v>
      </c>
      <c r="V429" s="192">
        <v>124885384.14999998</v>
      </c>
      <c r="W429" s="192">
        <v>2119494.33</v>
      </c>
      <c r="X429" s="192">
        <v>45668967.959999993</v>
      </c>
      <c r="Y429" s="192">
        <v>1950998.5999999999</v>
      </c>
      <c r="Z429" s="192">
        <v>368927349.97999996</v>
      </c>
      <c r="AA429" s="193">
        <v>2239299.1099999994</v>
      </c>
      <c r="AB429" s="193">
        <v>1261854.1900000013</v>
      </c>
      <c r="AC429" s="193">
        <v>21622745.359999985</v>
      </c>
      <c r="AD429" s="193">
        <v>6692185.0000000596</v>
      </c>
      <c r="AE429" s="193">
        <v>-414658.90999999968</v>
      </c>
      <c r="AF429" s="193">
        <v>3244603.1700000167</v>
      </c>
      <c r="AG429" s="193">
        <v>180744.88000000012</v>
      </c>
      <c r="AH429" s="193">
        <v>34646027.920000076</v>
      </c>
      <c r="AI429" s="194">
        <v>5.584400335733692</v>
      </c>
      <c r="AJ429" s="194">
        <v>4.6455882565561977</v>
      </c>
      <c r="AK429" s="194">
        <v>16.762871045531512</v>
      </c>
      <c r="AL429" s="194">
        <v>5.3586615003418405</v>
      </c>
      <c r="AM429" s="194">
        <v>-19.564049034280721</v>
      </c>
      <c r="AN429" s="194">
        <v>7.1046124204993246</v>
      </c>
      <c r="AO429" s="194">
        <v>9.2642239722775876</v>
      </c>
      <c r="AP429" s="194">
        <v>9.3910163943872096</v>
      </c>
    </row>
  </sheetData>
  <autoFilter ref="A6:AP429" xr:uid="{6EDE7891-BB0B-4563-89AD-0BFE635FCCD5}"/>
  <sortState xmlns:xlrd2="http://schemas.microsoft.com/office/spreadsheetml/2017/richdata2" ref="A26:J429">
    <sortCondition ref="A26:A429"/>
  </sortState>
  <mergeCells count="6">
    <mergeCell ref="A5:G5"/>
    <mergeCell ref="AI5:AP5"/>
    <mergeCell ref="I5:J5"/>
    <mergeCell ref="K5:R5"/>
    <mergeCell ref="S5:Z5"/>
    <mergeCell ref="AA5:AH5"/>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13</vt:i4>
      </vt:variant>
    </vt:vector>
  </HeadingPairs>
  <TitlesOfParts>
    <vt:vector size="24" baseType="lpstr">
      <vt:lpstr>Deckblatt</vt:lpstr>
      <vt:lpstr>Impressum</vt:lpstr>
      <vt:lpstr>Inhaltsverzeichnis</vt:lpstr>
      <vt:lpstr>1</vt:lpstr>
      <vt:lpstr>2</vt:lpstr>
      <vt:lpstr>3</vt:lpstr>
      <vt:lpstr>4</vt:lpstr>
      <vt:lpstr>Methodische Hinweise</vt:lpstr>
      <vt:lpstr>Glossar</vt:lpstr>
      <vt:lpstr>Statistik-Infoseite</vt:lpstr>
      <vt:lpstr>Daten</vt:lpstr>
      <vt:lpstr>'1'!Druckbereich</vt:lpstr>
      <vt:lpstr>'2'!Druckbereich</vt:lpstr>
      <vt:lpstr>'3'!Druckbereich</vt:lpstr>
      <vt:lpstr>'4'!Druckbereich</vt:lpstr>
      <vt:lpstr>Glossar!Druckbereich</vt:lpstr>
      <vt:lpstr>Inhaltsverzeichnis!Druckbereich</vt:lpstr>
      <vt:lpstr>'Methodische Hinweise'!Druckbereich</vt:lpstr>
      <vt:lpstr>'Statistik-Infoseite'!Druckbereich</vt:lpstr>
      <vt:lpstr>'2'!Drucktitel</vt:lpstr>
      <vt:lpstr>'3'!Drucktitel</vt:lpstr>
      <vt:lpstr>'4'!Drucktitel</vt:lpstr>
      <vt:lpstr>Glossar!Drucktitel</vt:lpstr>
      <vt:lpstr>'Methodische Hinweise'!Drucktitel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Hüser Annette</dc:creator>
  <cp:lastModifiedBy>Löser Annette</cp:lastModifiedBy>
  <cp:lastPrinted>2025-11-11T14:06:47Z</cp:lastPrinted>
  <dcterms:created xsi:type="dcterms:W3CDTF">2006-09-21T08:52:22Z</dcterms:created>
  <dcterms:modified xsi:type="dcterms:W3CDTF">2025-11-17T07:45:03Z</dcterms:modified>
</cp:coreProperties>
</file>